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통합대시보드" sheetId="1" state="visible" r:id="rId1"/>
    <sheet name="01_간트차트_통합로드맵" sheetId="2" state="visible" r:id="rId2"/>
    <sheet name="02_SWEA_통합_코딩테스트_DB" sheetId="3" state="visible" r:id="rId3"/>
    <sheet name="05_SSAFY_알고리즘_이론_로드맵" sheetId="4" state="visible" r:id="rId4"/>
    <sheet name="06_SWEA_생성문제_358_업로드_DB" sheetId="5" state="visible" r:id="rId5"/>
    <sheet name="03_보안기사_필기_DB" sheetId="6" state="visible" r:id="rId6"/>
    <sheet name="04_보안기사_실기_DB" sheetId="7" state="visible" r:id="rId7"/>
    <sheet name="08_빅분기_필기_DB" sheetId="8" state="visible" r:id="rId8"/>
    <sheet name="09_빅분기_실기_DB" sheetId="9" state="visible" r:id="rId9"/>
  </sheets>
  <definedNames>
    <definedName name="_xlnm._FilterDatabase" localSheetId="2" hidden="1">'02_SWEA_통합_코딩테스트_DB'!$A$3:$L$1060</definedName>
    <definedName name="_xlnm._FilterDatabase" localSheetId="4" hidden="1">'06_SWEA_생성문제_358_업로드_DB'!$A$1:$M$359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-mm-dd"/>
    <numFmt numFmtId="166" formatCode="0.0%"/>
    <numFmt numFmtId="167" formatCode="#,##0;;&quot;&quot;"/>
  </numFmts>
  <fonts count="55">
    <font>
      <name val="Malgun Gothic"/>
      <color theme="1"/>
      <sz val="11"/>
      <scheme val="minor"/>
    </font>
    <font>
      <name val="Malgun Gothic"/>
      <b val="1"/>
      <color rgb="FFFFFFFF"/>
      <sz val="13"/>
    </font>
    <font/>
    <font>
      <name val="Malgun Gothic"/>
      <color rgb="FFCBD5E1"/>
      <sz val="9"/>
    </font>
    <font>
      <name val="Malgun Gothic"/>
      <color theme="1"/>
      <sz val="11"/>
    </font>
    <font>
      <name val="Malgun Gothic"/>
      <color rgb="FF1E293B"/>
      <sz val="9"/>
    </font>
    <font>
      <name val="Malgun Gothic"/>
      <color rgb="FF94A3B8"/>
      <sz val="9"/>
    </font>
    <font>
      <name val="Malgun Gothic"/>
      <b val="1"/>
      <color rgb="FFFFFFFF"/>
      <sz val="14"/>
    </font>
    <font>
      <name val="Malgun Gothic"/>
      <b val="1"/>
      <color rgb="FF64748B"/>
      <sz val="9"/>
    </font>
    <font>
      <name val="Malgun Gothic"/>
      <color rgb="FFE2E8F0"/>
      <sz val="9"/>
    </font>
    <font>
      <name val="Malgun Gothic"/>
      <b val="1"/>
      <color rgb="FF475569"/>
      <sz val="9"/>
    </font>
    <font>
      <name val="Malgun Gothic"/>
      <b val="1"/>
      <color rgb="FFFFFFFF"/>
      <sz val="10"/>
    </font>
    <font>
      <name val="Malgun Gothic"/>
      <b val="1"/>
      <color rgb="FF1E293B"/>
      <sz val="9"/>
    </font>
    <font>
      <name val="Malgun Gothic"/>
      <b val="1"/>
      <color rgb="FF1E40AF"/>
      <sz val="13"/>
    </font>
    <font>
      <name val="Malgun Gothic"/>
      <color rgb="FF64748B"/>
      <sz val="9"/>
    </font>
    <font>
      <name val="Malgun Gothic"/>
      <b val="1"/>
      <color rgb="FF047857"/>
      <sz val="13"/>
    </font>
    <font>
      <name val="Malgun Gothic"/>
      <color theme="1"/>
      <sz val="10"/>
    </font>
    <font>
      <name val="Malgun Gothic"/>
      <color theme="1"/>
      <sz val="9"/>
    </font>
    <font>
      <name val="Malgun Gothic"/>
      <b val="1"/>
      <color rgb="FFB45309"/>
      <sz val="13"/>
    </font>
    <font>
      <name val="Malgun Gothic"/>
      <b val="1"/>
      <color theme="1"/>
      <sz val="9"/>
    </font>
    <font>
      <name val="Malgun Gothic"/>
      <b val="1"/>
      <color rgb="FF6D28D9"/>
      <sz val="13"/>
    </font>
    <font>
      <name val="Malgun Gothic"/>
      <color rgb="FF64748B"/>
      <sz val="8"/>
    </font>
    <font>
      <name val="Malgun Gothic"/>
      <b val="1"/>
      <color rgb="FF1E3A8A"/>
      <sz val="10"/>
    </font>
    <font>
      <name val="Malgun Gothic"/>
      <b val="1"/>
      <color rgb="FF92400E"/>
      <sz val="10"/>
    </font>
    <font>
      <name val="Malgun Gothic"/>
      <b val="1"/>
      <color rgb="FF065F46"/>
      <sz val="10"/>
    </font>
    <font>
      <name val="Malgun Gothic"/>
      <b val="1"/>
      <color rgb="FFFFFFFF"/>
      <sz val="9"/>
    </font>
    <font>
      <name val="Malgun Gothic"/>
      <b val="1"/>
      <color rgb="FF4C1D95"/>
      <sz val="10"/>
    </font>
    <font>
      <name val="Malgun Gothic"/>
      <b val="1"/>
      <color rgb="FFFFFFFF"/>
      <sz val="8"/>
    </font>
    <font>
      <name val="Malgun Gothic"/>
      <b val="1"/>
      <color rgb="FF1E40AF"/>
      <sz val="14"/>
    </font>
    <font>
      <name val="Malgun Gothic"/>
      <b val="1"/>
      <color rgb="FF047857"/>
      <sz val="14"/>
    </font>
    <font>
      <name val="Malgun Gothic"/>
      <b val="1"/>
      <color rgb="FF6D28D9"/>
      <sz val="14"/>
    </font>
    <font>
      <name val="Malgun Gothic"/>
      <color rgb="FF475569"/>
      <sz val="8"/>
    </font>
    <font>
      <name val="Malgun Gothic"/>
      <b val="1"/>
      <color rgb="FF64748B"/>
      <sz val="8"/>
    </font>
    <font>
      <name val="Malgun Gothic"/>
      <b val="1"/>
      <color rgb="FFE2E8F0"/>
      <sz val="8"/>
    </font>
    <font>
      <name val="Malgun Gothic"/>
      <b val="1"/>
      <color rgb="FF94A3B8"/>
      <sz val="7"/>
    </font>
    <font>
      <name val="Malgun Gothic"/>
      <color theme="1"/>
      <sz val="8"/>
    </font>
    <font>
      <name val="Malgun Gothic"/>
      <b val="1"/>
      <color rgb="FF1E293B"/>
      <sz val="10"/>
    </font>
    <font>
      <name val="Malgun Gothic"/>
      <color rgb="FF1E293B"/>
      <sz val="10"/>
    </font>
    <font>
      <name val="Malgun Gothic"/>
      <b val="1"/>
      <color rgb="FF065F46"/>
      <sz val="8"/>
    </font>
    <font>
      <name val="Malgun Gothic"/>
      <b val="1"/>
      <color rgb="FF92400E"/>
      <sz val="8"/>
    </font>
    <font>
      <name val="Malgun Gothic"/>
      <b val="1"/>
      <color rgb="FF9D174D"/>
      <sz val="8"/>
    </font>
    <font>
      <name val="Malgun Gothic"/>
      <color rgb="FF334155"/>
      <sz val="7"/>
    </font>
    <font>
      <name val="Malgun Gothic"/>
      <b val="1"/>
      <color rgb="FF7C3AED"/>
      <sz val="8"/>
    </font>
    <font>
      <name val="Malgun Gothic"/>
      <b val="1"/>
      <color rgb="FF059669"/>
      <sz val="8"/>
    </font>
    <font>
      <name val="Malgun Gothic"/>
      <b val="1"/>
      <color rgb="FFDB2777"/>
      <sz val="8"/>
    </font>
    <font>
      <name val="Malgun Gothic"/>
      <b val="1"/>
      <color rgb="FF1E40AF"/>
      <sz val="9"/>
    </font>
    <font>
      <name val="Malgun Gothic"/>
      <i val="1"/>
      <color rgb="FF6366F1"/>
      <sz val="9"/>
    </font>
    <font>
      <name val="Malgun Gothic"/>
      <color rgb="FF334155"/>
      <sz val="9"/>
    </font>
    <font>
      <name val="Malgun Gothic"/>
      <b val="1"/>
      <color rgb="FFFFFFFF"/>
      <sz val="11"/>
    </font>
    <font>
      <name val="Malgun Gothic"/>
      <b val="1"/>
      <color rgb="FF0F172A"/>
      <sz val="9"/>
    </font>
    <font>
      <name val="Malgun Gothic"/>
      <b val="1"/>
      <color rgb="FF92400E"/>
      <sz val="9"/>
    </font>
    <font>
      <name val="Malgun Gothic"/>
      <b val="1"/>
      <color rgb="FF1D4ED8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29">
    <fill>
      <patternFill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ECFDF5"/>
        <bgColor rgb="FFECFDF5"/>
      </patternFill>
    </fill>
    <fill>
      <patternFill patternType="solid">
        <fgColor rgb="FFEFF6FF"/>
        <bgColor rgb="FFEFF6FF"/>
      </patternFill>
    </fill>
    <fill>
      <patternFill patternType="solid">
        <fgColor rgb="FFFFFBEB"/>
        <bgColor rgb="FFFFFBEB"/>
      </patternFill>
    </fill>
    <fill>
      <patternFill patternType="solid">
        <fgColor rgb="FFF5F3FF"/>
        <bgColor rgb="FFF5F3FF"/>
      </patternFill>
    </fill>
    <fill>
      <patternFill patternType="solid">
        <fgColor rgb="FFFFFFFF"/>
        <bgColor rgb="FFFFFFFF"/>
      </patternFill>
    </fill>
    <fill>
      <patternFill patternType="solid">
        <fgColor rgb="FF334155"/>
        <bgColor rgb="FF334155"/>
      </patternFill>
    </fill>
    <fill>
      <patternFill patternType="solid">
        <fgColor rgb="FFF0FDF4"/>
        <bgColor rgb="FFF0FDF4"/>
      </patternFill>
    </fill>
    <fill>
      <patternFill patternType="solid">
        <fgColor rgb="FFFDF2F8"/>
        <bgColor rgb="FFFDF2F8"/>
      </patternFill>
    </fill>
    <fill>
      <patternFill patternType="solid">
        <fgColor rgb="FFEBEDF0"/>
        <bgColor rgb="FFEBEDF0"/>
      </patternFill>
    </fill>
    <fill>
      <patternFill patternType="solid">
        <fgColor rgb="FF0F766E"/>
        <bgColor rgb="FF0F766E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3E8FF"/>
        <bgColor rgb="FFF3E8FF"/>
      </patternFill>
    </fill>
    <fill>
      <patternFill patternType="solid">
        <fgColor rgb="FFFEF2F2"/>
        <bgColor rgb="FFFEF2F2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001F497D"/>
        <bgColor rgb="001F497D"/>
      </patternFill>
    </fill>
    <fill>
      <patternFill patternType="solid">
        <fgColor rgb="00EBF1F5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E4D6"/>
        <bgColor rgb="00FCE4D6"/>
      </patternFill>
    </fill>
  </fills>
  <borders count="33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/>
      <top/>
      <bottom/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CBD5E1"/>
      </top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E2E8F0"/>
      </left>
      <top style="thin">
        <color rgb="FFE2E8F0"/>
      </top>
      <bottom style="medium">
        <color rgb="FF0F172A"/>
      </bottom>
    </border>
    <border>
      <top style="thin">
        <color rgb="FFE2E8F0"/>
      </top>
      <bottom style="medium">
        <color rgb="FF0F172A"/>
      </bottom>
    </border>
    <border>
      <right style="thin">
        <color rgb="FFE2E8F0"/>
      </right>
      <top style="thin">
        <color rgb="FFE2E8F0"/>
      </top>
      <bottom style="medium">
        <color rgb="FF0F172A"/>
      </bottom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right style="thin">
        <color rgb="FFCBD5E1"/>
      </right>
      <top style="thin">
        <color rgb="FFCBD5E1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3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" fillId="0" borderId="6" pivotButton="0" quotePrefix="0" xfId="0"/>
    <xf numFmtId="0" fontId="10" fillId="5" borderId="7" applyAlignment="1" pivotButton="0" quotePrefix="0" xfId="0">
      <alignment horizontal="center" vertical="center"/>
    </xf>
    <xf numFmtId="0" fontId="2" fillId="0" borderId="8" pivotButton="0" quotePrefix="0" xfId="0"/>
    <xf numFmtId="0" fontId="10" fillId="5" borderId="7" applyAlignment="1" pivotButton="0" quotePrefix="0" xfId="0">
      <alignment horizontal="right" vertical="center"/>
    </xf>
    <xf numFmtId="0" fontId="2" fillId="0" borderId="9" pivotButton="0" quotePrefix="0" xfId="0"/>
    <xf numFmtId="0" fontId="11" fillId="2" borderId="7" applyAlignment="1" pivotButton="0" quotePrefix="0" xfId="0">
      <alignment horizontal="center" vertical="center" wrapText="1"/>
    </xf>
    <xf numFmtId="164" fontId="12" fillId="6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2" fillId="0" borderId="10" pivotButton="0" quotePrefix="0" xfId="0"/>
    <xf numFmtId="0" fontId="11" fillId="2" borderId="11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1" fillId="2" borderId="4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17" fillId="0" borderId="11" applyAlignment="1" pivotButton="0" quotePrefix="0" xfId="0">
      <alignment horizontal="left" vertical="center"/>
    </xf>
    <xf numFmtId="0" fontId="11" fillId="3" borderId="12" applyAlignment="1" pivotButton="0" quotePrefix="0" xfId="0">
      <alignment horizontal="center" vertical="center"/>
    </xf>
    <xf numFmtId="0" fontId="17" fillId="7" borderId="11" applyAlignment="1" pivotButton="0" quotePrefix="0" xfId="0">
      <alignment horizontal="center" vertical="center"/>
    </xf>
    <xf numFmtId="0" fontId="11" fillId="3" borderId="7" applyAlignment="1" pivotButton="0" quotePrefix="0" xfId="0">
      <alignment horizontal="center" vertical="center"/>
    </xf>
    <xf numFmtId="165" fontId="17" fillId="0" borderId="11" applyAlignment="1" pivotButton="0" quotePrefix="0" xfId="0">
      <alignment horizontal="center" vertical="center"/>
    </xf>
    <xf numFmtId="0" fontId="20" fillId="4" borderId="5" applyAlignment="1" pivotButton="0" quotePrefix="0" xfId="0">
      <alignment horizontal="center" vertical="center"/>
    </xf>
    <xf numFmtId="0" fontId="21" fillId="4" borderId="5" applyAlignment="1" pivotButton="0" quotePrefix="0" xfId="0">
      <alignment horizontal="center" vertical="center"/>
    </xf>
    <xf numFmtId="0" fontId="22" fillId="8" borderId="5" applyAlignment="1" pivotButton="0" quotePrefix="0" xfId="0">
      <alignment horizontal="center" vertical="center"/>
    </xf>
    <xf numFmtId="0" fontId="23" fillId="9" borderId="5" applyAlignment="1" pivotButton="0" quotePrefix="0" xfId="0">
      <alignment horizontal="center" vertical="center"/>
    </xf>
    <xf numFmtId="0" fontId="24" fillId="7" borderId="5" applyAlignment="1" pivotButton="0" quotePrefix="0" xfId="0">
      <alignment horizontal="center" vertical="center"/>
    </xf>
    <xf numFmtId="0" fontId="25" fillId="3" borderId="11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13" pivotButton="0" quotePrefix="0" xfId="0"/>
    <xf numFmtId="165" fontId="5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0" fontId="28" fillId="11" borderId="5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165" fontId="5" fillId="5" borderId="11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/>
    </xf>
    <xf numFmtId="0" fontId="5" fillId="5" borderId="11" applyAlignment="1" pivotButton="0" quotePrefix="0" xfId="0">
      <alignment horizontal="left" vertical="center"/>
    </xf>
    <xf numFmtId="164" fontId="19" fillId="0" borderId="11" applyAlignment="1" pivotButton="0" quotePrefix="0" xfId="0">
      <alignment horizontal="center" vertical="center"/>
    </xf>
    <xf numFmtId="0" fontId="17" fillId="5" borderId="11" applyAlignment="1" pivotButton="0" quotePrefix="0" xfId="0">
      <alignment horizontal="left" vertical="center"/>
    </xf>
    <xf numFmtId="0" fontId="29" fillId="11" borderId="5" applyAlignment="1" pivotButton="0" quotePrefix="0" xfId="0">
      <alignment horizontal="center" vertical="center"/>
    </xf>
    <xf numFmtId="0" fontId="30" fillId="11" borderId="5" applyAlignment="1" pivotButton="0" quotePrefix="0" xfId="0">
      <alignment horizontal="center" vertical="center"/>
    </xf>
    <xf numFmtId="0" fontId="31" fillId="11" borderId="5" applyAlignment="1" pivotButton="0" quotePrefix="0" xfId="0">
      <alignment horizontal="center" vertical="center"/>
    </xf>
    <xf numFmtId="0" fontId="17" fillId="9" borderId="11" applyAlignment="1" pivotButton="0" quotePrefix="0" xfId="0">
      <alignment horizontal="center" vertical="center"/>
    </xf>
    <xf numFmtId="0" fontId="11" fillId="2" borderId="4" applyAlignment="1" pivotButton="0" quotePrefix="0" xfId="0">
      <alignment horizontal="left" vertical="center"/>
    </xf>
    <xf numFmtId="0" fontId="12" fillId="5" borderId="4" applyAlignment="1" pivotButton="0" quotePrefix="0" xfId="0">
      <alignment horizontal="center" vertical="center"/>
    </xf>
    <xf numFmtId="0" fontId="17" fillId="11" borderId="11" applyAlignment="1" pivotButton="0" quotePrefix="0" xfId="0">
      <alignment horizontal="center" vertical="center"/>
    </xf>
    <xf numFmtId="0" fontId="19" fillId="11" borderId="11" applyAlignment="1" pivotButton="0" quotePrefix="0" xfId="0">
      <alignment horizontal="center" vertical="center"/>
    </xf>
    <xf numFmtId="0" fontId="32" fillId="4" borderId="11" applyAlignment="1" pivotButton="0" quotePrefix="0" xfId="0">
      <alignment horizontal="center" vertical="center"/>
    </xf>
    <xf numFmtId="0" fontId="17" fillId="11" borderId="11" applyAlignment="1" pivotButton="0" quotePrefix="0" xfId="0">
      <alignment horizontal="left" vertical="center"/>
    </xf>
    <xf numFmtId="0" fontId="17" fillId="10" borderId="11" applyAlignment="1" pivotButton="0" quotePrefix="0" xfId="0">
      <alignment horizontal="center" vertical="center"/>
    </xf>
    <xf numFmtId="0" fontId="33" fillId="12" borderId="1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35" fillId="0" borderId="7" applyAlignment="1" pivotButton="0" quotePrefix="0" xfId="0">
      <alignment horizontal="center" vertical="center"/>
    </xf>
    <xf numFmtId="0" fontId="36" fillId="8" borderId="7" applyAlignment="1" pivotButton="0" quotePrefix="0" xfId="0">
      <alignment horizontal="left" vertical="center"/>
    </xf>
    <xf numFmtId="0" fontId="36" fillId="11" borderId="7" applyAlignment="1" pivotButton="0" quotePrefix="0" xfId="0">
      <alignment horizontal="left" vertical="center"/>
    </xf>
    <xf numFmtId="165" fontId="37" fillId="11" borderId="7" applyAlignment="1" pivotButton="0" quotePrefix="0" xfId="0">
      <alignment horizontal="center" vertical="center"/>
    </xf>
    <xf numFmtId="164" fontId="37" fillId="11" borderId="7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21" fillId="4" borderId="11" applyAlignment="1" pivotButton="0" quotePrefix="0" xfId="0">
      <alignment horizontal="center" vertical="center"/>
    </xf>
    <xf numFmtId="0" fontId="19" fillId="11" borderId="7" applyAlignment="1" pivotButton="0" quotePrefix="0" xfId="0">
      <alignment horizontal="center" vertical="center"/>
    </xf>
    <xf numFmtId="166" fontId="19" fillId="11" borderId="7" applyAlignment="1" pivotButton="0" quotePrefix="0" xfId="0">
      <alignment horizontal="center" vertical="center"/>
    </xf>
    <xf numFmtId="0" fontId="36" fillId="13" borderId="7" applyAlignment="1" pivotButton="0" quotePrefix="0" xfId="0">
      <alignment horizontal="left" vertical="center"/>
    </xf>
    <xf numFmtId="0" fontId="17" fillId="11" borderId="7" applyAlignment="1" pivotButton="0" quotePrefix="0" xfId="0">
      <alignment horizontal="left" vertical="center"/>
    </xf>
    <xf numFmtId="0" fontId="37" fillId="13" borderId="7" applyAlignment="1" pivotButton="0" quotePrefix="0" xfId="0">
      <alignment horizontal="center" vertical="center"/>
    </xf>
    <xf numFmtId="0" fontId="37" fillId="11" borderId="7" applyAlignment="1" pivotButton="0" quotePrefix="0" xfId="0">
      <alignment horizontal="center" vertical="center"/>
    </xf>
    <xf numFmtId="0" fontId="38" fillId="11" borderId="11" applyAlignment="1" pivotButton="0" quotePrefix="0" xfId="0">
      <alignment horizontal="center" vertical="center"/>
    </xf>
    <xf numFmtId="0" fontId="36" fillId="9" borderId="7" applyAlignment="1" pivotButton="0" quotePrefix="0" xfId="0">
      <alignment horizontal="left" vertical="center"/>
    </xf>
    <xf numFmtId="0" fontId="37" fillId="9" borderId="7" applyAlignment="1" pivotButton="0" quotePrefix="0" xfId="0">
      <alignment horizontal="center" vertical="center"/>
    </xf>
    <xf numFmtId="166" fontId="37" fillId="11" borderId="7" applyAlignment="1" pivotButton="0" quotePrefix="0" xfId="0">
      <alignment horizontal="center" vertical="center"/>
    </xf>
    <xf numFmtId="0" fontId="39" fillId="11" borderId="11" applyAlignment="1" pivotButton="0" quotePrefix="0" xfId="0">
      <alignment horizontal="center" vertical="center"/>
    </xf>
    <xf numFmtId="0" fontId="36" fillId="14" borderId="7" applyAlignment="1" pivotButton="0" quotePrefix="0" xfId="0">
      <alignment horizontal="left" vertical="center"/>
    </xf>
    <xf numFmtId="0" fontId="37" fillId="14" borderId="7" applyAlignment="1" pivotButton="0" quotePrefix="0" xfId="0">
      <alignment horizontal="center" vertical="center"/>
    </xf>
    <xf numFmtId="0" fontId="40" fillId="11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9" fillId="4" borderId="11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165" fontId="19" fillId="4" borderId="11" applyAlignment="1" pivotButton="0" quotePrefix="0" xfId="0">
      <alignment horizontal="center" vertical="center"/>
    </xf>
    <xf numFmtId="164" fontId="17" fillId="4" borderId="11" applyAlignment="1" pivotButton="0" quotePrefix="0" xfId="0">
      <alignment horizontal="center" vertical="center"/>
    </xf>
    <xf numFmtId="166" fontId="19" fillId="11" borderId="11" applyAlignment="1" pivotButton="0" quotePrefix="0" xfId="0">
      <alignment horizontal="center" vertical="center"/>
    </xf>
    <xf numFmtId="167" fontId="41" fillId="15" borderId="14" applyAlignment="1" pivotButton="0" quotePrefix="0" xfId="0">
      <alignment horizontal="center" vertical="center"/>
    </xf>
    <xf numFmtId="0" fontId="19" fillId="0" borderId="15" applyAlignment="1" pivotButton="0" quotePrefix="0" xfId="0">
      <alignment horizontal="center" vertical="center"/>
    </xf>
    <xf numFmtId="0" fontId="19" fillId="0" borderId="15" applyAlignment="1" pivotButton="0" quotePrefix="0" xfId="0">
      <alignment horizontal="left" vertical="center"/>
    </xf>
    <xf numFmtId="0" fontId="17" fillId="0" borderId="15" applyAlignment="1" pivotButton="0" quotePrefix="0" xfId="0">
      <alignment horizontal="left" vertical="center"/>
    </xf>
    <xf numFmtId="164" fontId="17" fillId="0" borderId="15" applyAlignment="1" pivotButton="0" quotePrefix="0" xfId="0">
      <alignment horizontal="center" vertical="center"/>
    </xf>
    <xf numFmtId="0" fontId="42" fillId="0" borderId="15" applyAlignment="1" pivotButton="0" quotePrefix="0" xfId="0">
      <alignment horizontal="center" vertical="center"/>
    </xf>
    <xf numFmtId="166" fontId="42" fillId="0" borderId="1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166" fontId="4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164" fontId="12" fillId="4" borderId="7" applyAlignment="1" pivotButton="0" quotePrefix="0" xfId="0">
      <alignment horizontal="center" vertical="center"/>
    </xf>
    <xf numFmtId="164" fontId="45" fillId="8" borderId="7" applyAlignment="1" pivotButton="0" quotePrefix="0" xfId="0">
      <alignment horizontal="center" vertical="center"/>
    </xf>
    <xf numFmtId="164" fontId="19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46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164" fontId="17" fillId="4" borderId="7" applyAlignment="1" pivotButton="0" quotePrefix="0" xfId="0">
      <alignment horizontal="center" vertical="center"/>
    </xf>
    <xf numFmtId="165" fontId="17" fillId="8" borderId="7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0" fontId="17" fillId="8" borderId="11" applyAlignment="1" pivotButton="0" quotePrefix="0" xfId="0">
      <alignment horizontal="center" vertical="center"/>
    </xf>
    <xf numFmtId="0" fontId="1" fillId="2" borderId="16" applyAlignment="1" pivotButton="0" quotePrefix="0" xfId="0">
      <alignment horizontal="left" vertical="center"/>
    </xf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11" fillId="16" borderId="7" applyAlignment="1" pivotButton="0" quotePrefix="0" xfId="0">
      <alignment horizontal="center" vertical="center" wrapText="1"/>
    </xf>
    <xf numFmtId="0" fontId="4" fillId="16" borderId="22" applyAlignment="1" pivotButton="0" quotePrefix="0" xfId="0">
      <alignment vertical="center"/>
    </xf>
    <xf numFmtId="0" fontId="47" fillId="0" borderId="7" applyAlignment="1" pivotButton="0" quotePrefix="0" xfId="0">
      <alignment horizontal="center" vertical="center" wrapText="1"/>
    </xf>
    <xf numFmtId="0" fontId="47" fillId="0" borderId="7" applyAlignment="1" pivotButton="0" quotePrefix="0" xfId="0">
      <alignment horizontal="left" vertical="center" wrapText="1"/>
    </xf>
    <xf numFmtId="0" fontId="47" fillId="4" borderId="7" applyAlignment="1" pivotButton="0" quotePrefix="0" xfId="0">
      <alignment horizontal="center" vertical="center" wrapText="1"/>
    </xf>
    <xf numFmtId="0" fontId="47" fillId="4" borderId="7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/>
    </xf>
    <xf numFmtId="0" fontId="9" fillId="3" borderId="4" applyAlignment="1" pivotButton="0" quotePrefix="0" xfId="0">
      <alignment horizontal="left" vertical="center"/>
    </xf>
    <xf numFmtId="0" fontId="11" fillId="2" borderId="22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164" fontId="5" fillId="8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center" vertical="center"/>
    </xf>
    <xf numFmtId="164" fontId="5" fillId="13" borderId="7" applyAlignment="1" pivotButton="0" quotePrefix="0" xfId="0">
      <alignment horizontal="center" vertical="center"/>
    </xf>
    <xf numFmtId="0" fontId="5" fillId="17" borderId="7" applyAlignment="1" pivotButton="0" quotePrefix="0" xfId="0">
      <alignment horizontal="center" vertical="center"/>
    </xf>
    <xf numFmtId="164" fontId="5" fillId="17" borderId="7" applyAlignment="1" pivotButton="0" quotePrefix="0" xfId="0">
      <alignment horizontal="center" vertical="center"/>
    </xf>
    <xf numFmtId="0" fontId="5" fillId="18" borderId="7" applyAlignment="1" pivotButton="0" quotePrefix="0" xfId="0">
      <alignment horizontal="center" vertical="center"/>
    </xf>
    <xf numFmtId="164" fontId="5" fillId="18" borderId="7" applyAlignment="1" pivotButton="0" quotePrefix="0" xfId="0">
      <alignment horizontal="center" vertical="center"/>
    </xf>
    <xf numFmtId="0" fontId="5" fillId="19" borderId="7" applyAlignment="1" pivotButton="0" quotePrefix="0" xfId="0">
      <alignment horizontal="center" vertical="center"/>
    </xf>
    <xf numFmtId="164" fontId="5" fillId="19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0" fontId="21" fillId="11" borderId="4" applyAlignment="1" pivotButton="0" quotePrefix="0" xfId="0">
      <alignment horizontal="center" vertical="center"/>
    </xf>
    <xf numFmtId="0" fontId="48" fillId="2" borderId="4" applyAlignment="1" pivotButton="0" quotePrefix="0" xfId="0">
      <alignment horizontal="left" vertical="center"/>
    </xf>
    <xf numFmtId="0" fontId="10" fillId="4" borderId="5" applyAlignment="1" pivotButton="0" quotePrefix="0" xfId="0">
      <alignment horizontal="center" vertical="center"/>
    </xf>
    <xf numFmtId="0" fontId="49" fillId="11" borderId="5" applyAlignment="1" pivotButton="0" quotePrefix="0" xfId="0">
      <alignment horizontal="center" vertical="center"/>
    </xf>
    <xf numFmtId="0" fontId="47" fillId="11" borderId="5" applyAlignment="1" pivotButton="0" quotePrefix="0" xfId="0">
      <alignment horizontal="left" vertical="center"/>
    </xf>
    <xf numFmtId="0" fontId="49" fillId="11" borderId="5" applyAlignment="1" pivotButton="0" quotePrefix="0" xfId="0">
      <alignment horizontal="left" vertical="center"/>
    </xf>
    <xf numFmtId="0" fontId="50" fillId="9" borderId="5" applyAlignment="1" pivotButton="0" quotePrefix="0" xfId="0">
      <alignment horizontal="center" vertical="center"/>
    </xf>
    <xf numFmtId="0" fontId="49" fillId="4" borderId="5" applyAlignment="1" pivotButton="0" quotePrefix="0" xfId="0">
      <alignment horizontal="center" vertical="center"/>
    </xf>
    <xf numFmtId="0" fontId="17" fillId="4" borderId="5" applyAlignment="1" pivotButton="0" quotePrefix="0" xfId="0">
      <alignment horizontal="left" vertical="center"/>
    </xf>
    <xf numFmtId="0" fontId="51" fillId="20" borderId="5" applyAlignment="1" pivotButton="0" quotePrefix="0" xfId="0">
      <alignment horizontal="left" vertical="center"/>
    </xf>
    <xf numFmtId="0" fontId="17" fillId="11" borderId="22" applyAlignment="1" pivotButton="0" quotePrefix="0" xfId="0">
      <alignment vertical="center"/>
    </xf>
    <xf numFmtId="0" fontId="47" fillId="11" borderId="5" applyAlignment="1" pivotButton="0" quotePrefix="0" xfId="0">
      <alignment horizontal="center" vertical="center"/>
    </xf>
    <xf numFmtId="0" fontId="45" fillId="11" borderId="5" applyAlignment="1" pivotButton="0" quotePrefix="0" xfId="0">
      <alignment horizontal="center" vertical="center"/>
    </xf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horizontal="left" vertical="center"/>
    </xf>
    <xf numFmtId="0" fontId="45" fillId="4" borderId="5" applyAlignment="1" pivotButton="0" quotePrefix="0" xfId="0">
      <alignment horizontal="center" vertical="center"/>
    </xf>
    <xf numFmtId="0" fontId="47" fillId="21" borderId="5" applyAlignment="1" pivotButton="0" quotePrefix="0" xfId="0">
      <alignment horizontal="center" vertical="center"/>
    </xf>
    <xf numFmtId="0" fontId="47" fillId="21" borderId="5" applyAlignment="1" pivotButton="0" quotePrefix="0" xfId="0">
      <alignment horizontal="left" vertical="center"/>
    </xf>
    <xf numFmtId="0" fontId="49" fillId="21" borderId="5" applyAlignment="1" pivotButton="0" quotePrefix="0" xfId="0">
      <alignment horizontal="center" vertical="center"/>
    </xf>
    <xf numFmtId="0" fontId="45" fillId="21" borderId="5" applyAlignment="1" pivotButton="0" quotePrefix="0" xfId="0">
      <alignment horizontal="center" vertical="center"/>
    </xf>
    <xf numFmtId="0" fontId="16" fillId="21" borderId="22" applyAlignment="1" pivotButton="0" quotePrefix="0" xfId="0">
      <alignment vertical="center"/>
    </xf>
    <xf numFmtId="0" fontId="47" fillId="22" borderId="5" applyAlignment="1" pivotButton="0" quotePrefix="0" xfId="0">
      <alignment horizontal="center" vertical="center"/>
    </xf>
    <xf numFmtId="0" fontId="47" fillId="22" borderId="5" applyAlignment="1" pivotButton="0" quotePrefix="0" xfId="0">
      <alignment horizontal="left" vertical="center"/>
    </xf>
    <xf numFmtId="0" fontId="49" fillId="22" borderId="5" applyAlignment="1" pivotButton="0" quotePrefix="0" xfId="0">
      <alignment horizontal="center" vertical="center"/>
    </xf>
    <xf numFmtId="0" fontId="45" fillId="22" borderId="5" applyAlignment="1" pivotButton="0" quotePrefix="0" xfId="0">
      <alignment horizontal="center" vertical="center"/>
    </xf>
    <xf numFmtId="0" fontId="49" fillId="5" borderId="23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49" fillId="5" borderId="23" applyAlignment="1" pivotButton="0" quotePrefix="0" xfId="0">
      <alignment horizontal="left" vertical="center"/>
    </xf>
    <xf numFmtId="0" fontId="47" fillId="5" borderId="23" applyAlignment="1" pivotButton="0" quotePrefix="0" xfId="0">
      <alignment horizontal="center" vertical="center"/>
    </xf>
    <xf numFmtId="166" fontId="10" fillId="4" borderId="5" applyAlignment="1" pivotButton="0" quotePrefix="0" xfId="0">
      <alignment horizontal="center" vertical="center"/>
    </xf>
    <xf numFmtId="166" fontId="49" fillId="11" borderId="5" applyAlignment="1" pivotButton="0" quotePrefix="0" xfId="0">
      <alignment horizontal="center" vertical="center"/>
    </xf>
    <xf numFmtId="0" fontId="17" fillId="11" borderId="5" applyAlignment="1" pivotButton="0" quotePrefix="0" xfId="0">
      <alignment horizontal="center" vertical="center"/>
    </xf>
    <xf numFmtId="166" fontId="49" fillId="4" borderId="5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47" fillId="5" borderId="23" applyAlignment="1" pivotButton="0" quotePrefix="0" xfId="0">
      <alignment horizontal="left" vertical="center"/>
    </xf>
    <xf numFmtId="166" fontId="49" fillId="5" borderId="23" applyAlignment="1" pivotButton="0" quotePrefix="0" xfId="0">
      <alignment horizontal="center" vertical="center"/>
    </xf>
    <xf numFmtId="0" fontId="17" fillId="5" borderId="23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/>
    </xf>
    <xf numFmtId="164" fontId="10" fillId="4" borderId="5" applyAlignment="1" pivotButton="0" quotePrefix="0" xfId="0">
      <alignment horizontal="center" vertical="center"/>
    </xf>
    <xf numFmtId="164" fontId="47" fillId="4" borderId="5" applyAlignment="1" pivotButton="0" quotePrefix="0" xfId="0">
      <alignment horizontal="center" vertical="center"/>
    </xf>
    <xf numFmtId="164" fontId="49" fillId="4" borderId="5" applyAlignment="1" pivotButton="0" quotePrefix="0" xfId="0">
      <alignment horizontal="center" vertical="center"/>
    </xf>
    <xf numFmtId="164" fontId="47" fillId="11" borderId="5" applyAlignment="1" pivotButton="0" quotePrefix="0" xfId="0">
      <alignment horizontal="center" vertical="center"/>
    </xf>
    <xf numFmtId="164" fontId="49" fillId="11" borderId="5" applyAlignment="1" pivotButton="0" quotePrefix="0" xfId="0">
      <alignment horizontal="center" vertical="center"/>
    </xf>
    <xf numFmtId="164" fontId="17" fillId="11" borderId="22" applyAlignment="1" pivotButton="0" quotePrefix="0" xfId="0">
      <alignment vertical="center"/>
    </xf>
    <xf numFmtId="0" fontId="17" fillId="11" borderId="22" pivotButton="0" quotePrefix="0" xfId="0"/>
    <xf numFmtId="0" fontId="0" fillId="0" borderId="0" pivotButton="0" quotePrefix="0" xfId="0"/>
    <xf numFmtId="0" fontId="7" fillId="2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23" fillId="9" borderId="11" applyAlignment="1" pivotButton="0" quotePrefix="0" xfId="0">
      <alignment horizontal="center" vertical="center"/>
    </xf>
    <xf numFmtId="0" fontId="24" fillId="7" borderId="11" applyAlignment="1" pivotButton="0" quotePrefix="0" xfId="0">
      <alignment horizontal="center" vertical="center"/>
    </xf>
    <xf numFmtId="0" fontId="26" fillId="10" borderId="11" applyAlignment="1" pivotButton="0" quotePrefix="0" xfId="0">
      <alignment horizontal="center" vertical="center"/>
    </xf>
    <xf numFmtId="0" fontId="28" fillId="11" borderId="11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29" fillId="11" borderId="11" applyAlignment="1" pivotButton="0" quotePrefix="0" xfId="0">
      <alignment horizontal="center" vertical="center"/>
    </xf>
    <xf numFmtId="0" fontId="30" fillId="11" borderId="11" applyAlignment="1" pivotButton="0" quotePrefix="0" xfId="0">
      <alignment horizontal="center" vertical="center"/>
    </xf>
    <xf numFmtId="0" fontId="31" fillId="11" borderId="11" applyAlignment="1" pivotButton="0" quotePrefix="0" xfId="0">
      <alignment horizontal="center" vertical="center"/>
    </xf>
    <xf numFmtId="0" fontId="11" fillId="2" borderId="22" applyAlignment="1" pivotButton="0" quotePrefix="0" xfId="0">
      <alignment horizontal="left" vertical="center"/>
    </xf>
    <xf numFmtId="0" fontId="12" fillId="5" borderId="22" applyAlignment="1" pivotButton="0" quotePrefix="0" xfId="0">
      <alignment horizontal="center" vertical="center"/>
    </xf>
    <xf numFmtId="0" fontId="21" fillId="11" borderId="11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48" fillId="2" borderId="22" applyAlignment="1" pivotButton="0" quotePrefix="0" xfId="0">
      <alignment horizontal="left" vertical="center"/>
    </xf>
    <xf numFmtId="0" fontId="10" fillId="4" borderId="11" applyAlignment="1" pivotButton="0" quotePrefix="0" xfId="0">
      <alignment horizontal="center" vertical="center"/>
    </xf>
    <xf numFmtId="0" fontId="49" fillId="11" borderId="11" applyAlignment="1" pivotButton="0" quotePrefix="0" xfId="0">
      <alignment horizontal="center" vertical="center"/>
    </xf>
    <xf numFmtId="0" fontId="47" fillId="11" borderId="11" applyAlignment="1" pivotButton="0" quotePrefix="0" xfId="0">
      <alignment horizontal="left" vertical="center"/>
    </xf>
    <xf numFmtId="0" fontId="49" fillId="11" borderId="11" applyAlignment="1" pivotButton="0" quotePrefix="0" xfId="0">
      <alignment horizontal="left" vertical="center"/>
    </xf>
    <xf numFmtId="0" fontId="50" fillId="9" borderId="11" applyAlignment="1" pivotButton="0" quotePrefix="0" xfId="0">
      <alignment horizontal="center" vertical="center"/>
    </xf>
    <xf numFmtId="0" fontId="49" fillId="4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left" vertical="center"/>
    </xf>
    <xf numFmtId="0" fontId="51" fillId="20" borderId="11" applyAlignment="1" pivotButton="0" quotePrefix="0" xfId="0">
      <alignment horizontal="left" vertical="center"/>
    </xf>
    <xf numFmtId="0" fontId="47" fillId="11" borderId="11" applyAlignment="1" pivotButton="0" quotePrefix="0" xfId="0">
      <alignment horizontal="center" vertical="center"/>
    </xf>
    <xf numFmtId="0" fontId="45" fillId="11" borderId="11" applyAlignment="1" pivotButton="0" quotePrefix="0" xfId="0">
      <alignment horizontal="center" vertical="center"/>
    </xf>
    <xf numFmtId="0" fontId="47" fillId="4" borderId="11" applyAlignment="1" pivotButton="0" quotePrefix="0" xfId="0">
      <alignment horizontal="center" vertical="center"/>
    </xf>
    <xf numFmtId="0" fontId="47" fillId="4" borderId="11" applyAlignment="1" pivotButton="0" quotePrefix="0" xfId="0">
      <alignment horizontal="left" vertical="center"/>
    </xf>
    <xf numFmtId="0" fontId="45" fillId="4" borderId="11" applyAlignment="1" pivotButton="0" quotePrefix="0" xfId="0">
      <alignment horizontal="center" vertical="center"/>
    </xf>
    <xf numFmtId="0" fontId="47" fillId="21" borderId="11" applyAlignment="1" pivotButton="0" quotePrefix="0" xfId="0">
      <alignment horizontal="center" vertical="center"/>
    </xf>
    <xf numFmtId="0" fontId="47" fillId="21" borderId="11" applyAlignment="1" pivotButton="0" quotePrefix="0" xfId="0">
      <alignment horizontal="left" vertical="center"/>
    </xf>
    <xf numFmtId="0" fontId="49" fillId="21" borderId="11" applyAlignment="1" pivotButton="0" quotePrefix="0" xfId="0">
      <alignment horizontal="center" vertical="center"/>
    </xf>
    <xf numFmtId="0" fontId="45" fillId="21" borderId="11" applyAlignment="1" pivotButton="0" quotePrefix="0" xfId="0">
      <alignment horizontal="center" vertical="center"/>
    </xf>
    <xf numFmtId="0" fontId="47" fillId="22" borderId="11" applyAlignment="1" pivotButton="0" quotePrefix="0" xfId="0">
      <alignment horizontal="center" vertical="center"/>
    </xf>
    <xf numFmtId="0" fontId="47" fillId="22" borderId="11" applyAlignment="1" pivotButton="0" quotePrefix="0" xfId="0">
      <alignment horizontal="left" vertical="center"/>
    </xf>
    <xf numFmtId="0" fontId="49" fillId="22" borderId="11" applyAlignment="1" pivotButton="0" quotePrefix="0" xfId="0">
      <alignment horizontal="center" vertical="center"/>
    </xf>
    <xf numFmtId="0" fontId="45" fillId="22" borderId="11" applyAlignment="1" pivotButton="0" quotePrefix="0" xfId="0">
      <alignment horizontal="center" vertical="center"/>
    </xf>
    <xf numFmtId="0" fontId="49" fillId="5" borderId="2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49" fillId="5" borderId="28" applyAlignment="1" pivotButton="0" quotePrefix="0" xfId="0">
      <alignment horizontal="left" vertical="center"/>
    </xf>
    <xf numFmtId="0" fontId="47" fillId="5" borderId="28" applyAlignment="1" pivotButton="0" quotePrefix="0" xfId="0">
      <alignment horizontal="center" vertical="center"/>
    </xf>
    <xf numFmtId="166" fontId="10" fillId="4" borderId="11" applyAlignment="1" pivotButton="0" quotePrefix="0" xfId="0">
      <alignment horizontal="center" vertical="center"/>
    </xf>
    <xf numFmtId="166" fontId="49" fillId="11" borderId="11" applyAlignment="1" pivotButton="0" quotePrefix="0" xfId="0">
      <alignment horizontal="center" vertical="center"/>
    </xf>
    <xf numFmtId="166" fontId="49" fillId="4" borderId="11" applyAlignment="1" pivotButton="0" quotePrefix="0" xfId="0">
      <alignment horizontal="center" vertical="center"/>
    </xf>
    <xf numFmtId="0" fontId="47" fillId="5" borderId="28" applyAlignment="1" pivotButton="0" quotePrefix="0" xfId="0">
      <alignment horizontal="left" vertical="center"/>
    </xf>
    <xf numFmtId="166" fontId="49" fillId="5" borderId="28" applyAlignment="1" pivotButton="0" quotePrefix="0" xfId="0">
      <alignment horizontal="center" vertical="center"/>
    </xf>
    <xf numFmtId="0" fontId="17" fillId="5" borderId="28" applyAlignment="1" pivotButton="0" quotePrefix="0" xfId="0">
      <alignment horizontal="center" vertical="center"/>
    </xf>
    <xf numFmtId="0" fontId="11" fillId="4" borderId="11" applyAlignment="1" pivotButton="0" quotePrefix="0" xfId="0">
      <alignment horizontal="center" vertical="center"/>
    </xf>
    <xf numFmtId="164" fontId="10" fillId="4" borderId="11" applyAlignment="1" pivotButton="0" quotePrefix="0" xfId="0">
      <alignment horizontal="center" vertical="center"/>
    </xf>
    <xf numFmtId="164" fontId="47" fillId="4" borderId="11" applyAlignment="1" pivotButton="0" quotePrefix="0" xfId="0">
      <alignment horizontal="center" vertical="center"/>
    </xf>
    <xf numFmtId="164" fontId="49" fillId="4" borderId="11" applyAlignment="1" pivotButton="0" quotePrefix="0" xfId="0">
      <alignment horizontal="center" vertical="center"/>
    </xf>
    <xf numFmtId="164" fontId="47" fillId="11" borderId="11" applyAlignment="1" pivotButton="0" quotePrefix="0" xfId="0">
      <alignment horizontal="center" vertical="center"/>
    </xf>
    <xf numFmtId="164" fontId="49" fillId="11" borderId="11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3" borderId="7" applyAlignment="1" pivotButton="0" quotePrefix="0" xfId="0">
      <alignment horizontal="left" vertical="center"/>
    </xf>
    <xf numFmtId="0" fontId="14" fillId="4" borderId="7" applyAlignment="1" pivotButton="0" quotePrefix="0" xfId="0">
      <alignment horizontal="left" vertical="center"/>
    </xf>
    <xf numFmtId="0" fontId="0" fillId="0" borderId="13" pivotButton="0" quotePrefix="0" xfId="0"/>
    <xf numFmtId="0" fontId="34" fillId="4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13" fillId="4" borderId="11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0" fontId="20" fillId="4" borderId="11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165" fontId="45" fillId="8" borderId="7" applyAlignment="1" pivotButton="0" quotePrefix="0" xfId="0">
      <alignment horizontal="center" vertical="center"/>
    </xf>
    <xf numFmtId="0" fontId="46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left" vertical="center"/>
    </xf>
    <xf numFmtId="0" fontId="9" fillId="3" borderId="22" applyAlignment="1" pivotButton="0" quotePrefix="0" xfId="0">
      <alignment horizontal="left" vertical="center"/>
    </xf>
    <xf numFmtId="0" fontId="52" fillId="23" borderId="32" applyAlignment="1" pivotButton="0" quotePrefix="0" xfId="0">
      <alignment horizontal="center" vertical="center"/>
    </xf>
    <xf numFmtId="0" fontId="53" fillId="0" borderId="32" applyAlignment="1" pivotButton="0" quotePrefix="0" xfId="0">
      <alignment horizontal="center" vertical="center"/>
    </xf>
    <xf numFmtId="0" fontId="54" fillId="24" borderId="32" applyAlignment="1" pivotButton="0" quotePrefix="0" xfId="0">
      <alignment horizontal="center" vertical="center"/>
    </xf>
    <xf numFmtId="0" fontId="54" fillId="0" borderId="32" applyAlignment="1" pivotButton="0" quotePrefix="0" xfId="0">
      <alignment horizontal="left" vertical="center"/>
    </xf>
    <xf numFmtId="0" fontId="54" fillId="0" borderId="32" applyAlignment="1" pivotButton="0" quotePrefix="0" xfId="0">
      <alignment horizontal="center" vertical="center"/>
    </xf>
    <xf numFmtId="0" fontId="53" fillId="0" borderId="32" applyAlignment="1" pivotButton="0" quotePrefix="0" xfId="0">
      <alignment horizontal="left" vertical="center"/>
    </xf>
    <xf numFmtId="0" fontId="53" fillId="25" borderId="32" applyAlignment="1" pivotButton="0" quotePrefix="0" xfId="0">
      <alignment horizontal="center" vertical="center"/>
    </xf>
    <xf numFmtId="0" fontId="54" fillId="25" borderId="32" applyAlignment="1" pivotButton="0" quotePrefix="0" xfId="0">
      <alignment horizontal="left" vertical="center"/>
    </xf>
    <xf numFmtId="0" fontId="53" fillId="25" borderId="32" applyAlignment="1" pivotButton="0" quotePrefix="0" xfId="0">
      <alignment horizontal="left" vertical="center"/>
    </xf>
    <xf numFmtId="0" fontId="54" fillId="26" borderId="32" applyAlignment="1" pivotButton="0" quotePrefix="0" xfId="0">
      <alignment horizontal="center" vertical="center"/>
    </xf>
    <xf numFmtId="0" fontId="54" fillId="27" borderId="32" applyAlignment="1" pivotButton="0" quotePrefix="0" xfId="0">
      <alignment horizontal="center" vertical="center"/>
    </xf>
    <xf numFmtId="0" fontId="54" fillId="28" borderId="32" applyAlignment="1" pivotButton="0" quotePrefix="0" xfId="0">
      <alignment horizontal="center" vertical="center"/>
    </xf>
  </cellXfs>
  <cellStyles count="1">
    <cellStyle name="Normal" xfId="0" builtinId="0"/>
  </cellStyles>
  <dxfs count="25">
    <dxf>
      <font>
        <name val="Malgun Gothic"/>
        <b val="1"/>
        <color rgb="FFE11D48"/>
        <sz val="9"/>
      </font>
      <fill>
        <patternFill patternType="solid">
          <fgColor rgb="FFFFE4E6"/>
          <bgColor rgb="FFFFE4E6"/>
        </patternFill>
      </fill>
      <border/>
    </dxf>
    <dxf>
      <font>
        <name val="Malgun Gothic"/>
        <b val="1"/>
        <color rgb="FF991B1B"/>
        <sz val="9"/>
      </font>
      <fill>
        <patternFill patternType="solid">
          <fgColor rgb="FFFFE2E2"/>
          <bgColor rgb="FFFFE2E2"/>
        </patternFill>
      </fill>
      <border/>
    </dxf>
    <dxf>
      <font>
        <name val="Malgun Gothic"/>
        <b val="1"/>
        <color rgb="FF1E40AF"/>
        <sz val="9"/>
      </font>
      <fill>
        <patternFill patternType="solid">
          <fgColor rgb="FFDBEAFE"/>
          <bgColor rgb="FFDBEAFE"/>
        </patternFill>
      </fill>
      <border/>
    </dxf>
    <dxf>
      <font>
        <name val="Malgun Gothic"/>
        <b val="1"/>
        <color rgb="FF6B21A8"/>
        <sz val="9"/>
      </font>
      <fill>
        <patternFill patternType="solid">
          <fgColor rgb="FFEDE9FE"/>
          <bgColor rgb="FFEDE9FE"/>
        </patternFill>
      </fill>
      <border/>
    </dxf>
    <dxf>
      <font>
        <name val="Malgun Gothic"/>
        <b val="1"/>
        <color rgb="FF92400E"/>
        <sz val="9"/>
      </font>
      <fill>
        <patternFill patternType="solid">
          <fgColor rgb="FFFEF3C7"/>
          <bgColor rgb="FFFEF3C7"/>
        </patternFill>
      </fill>
      <border/>
    </dxf>
    <dxf>
      <font>
        <name val="Malgun Gothic"/>
        <b val="1"/>
        <color rgb="FF166534"/>
        <sz val="9"/>
      </font>
      <fill>
        <patternFill patternType="solid">
          <fgColor rgb="FFDCFCE7"/>
          <bgColor rgb="FFDCFCE7"/>
        </patternFill>
      </fill>
      <border/>
    </dxf>
    <dxf>
      <font>
        <name val="Malgun Gothic"/>
        <b val="1"/>
        <color rgb="FF9D174D"/>
        <sz val="9"/>
      </font>
      <fill>
        <patternFill patternType="solid">
          <fgColor rgb="FFFCE7F3"/>
          <bgColor rgb="FFFCE7F3"/>
        </patternFill>
      </fill>
      <border/>
    </dxf>
    <dxf>
      <font>
        <name val="Malgun Gothic"/>
        <b val="1"/>
        <color rgb="FF3730A3"/>
        <sz val="9"/>
      </font>
      <fill>
        <patternFill patternType="solid">
          <fgColor rgb="FFE0E7FF"/>
          <bgColor rgb="FFE0E7FF"/>
        </patternFill>
      </fill>
      <border/>
    </dxf>
    <dxf>
      <font>
        <name val="Malgun Gothic"/>
        <b val="1"/>
        <color rgb="FF115E59"/>
        <sz val="9"/>
      </font>
      <fill>
        <patternFill patternType="solid">
          <fgColor rgb="FFCCFBF1"/>
          <bgColor rgb="FFCCFBF1"/>
        </patternFill>
      </fill>
      <border/>
    </dxf>
    <dxf>
      <font>
        <name val="Malgun Gothic"/>
        <b val="1"/>
        <color rgb="FF15803D"/>
        <sz val="9"/>
      </font>
      <fill>
        <patternFill patternType="solid">
          <fgColor rgb="FFDCFCE7"/>
          <bgColor rgb="FFDCFCE7"/>
        </patternFill>
      </fill>
      <border/>
    </dxf>
    <dxf>
      <font>
        <name val="Malgun Gothic"/>
        <b val="1"/>
        <color rgb="FF0369A1"/>
        <sz val="9"/>
      </font>
      <fill>
        <patternFill patternType="solid">
          <fgColor rgb="FFE0F2FE"/>
          <bgColor rgb="FFE0F2FE"/>
        </patternFill>
      </fill>
      <border/>
    </dxf>
    <dxf>
      <font>
        <name val="Malgun Gothic"/>
        <color rgb="FF9CA3AF"/>
        <sz val="9"/>
      </font>
      <fill>
        <patternFill patternType="solid">
          <fgColor rgb="FFF3F4F6"/>
          <bgColor rgb="FFF3F4F6"/>
        </patternFill>
      </fill>
      <border/>
    </dxf>
    <dxf>
      <font>
        <name val="Malgun Gothic"/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name val="Malgun Gothic"/>
        <b val="1"/>
        <color rgb="FF9A3412"/>
      </font>
      <fill>
        <patternFill patternType="solid">
          <fgColor rgb="FFFFEDD5"/>
          <bgColor rgb="FFFFEDD5"/>
        </patternFill>
      </fill>
      <border/>
    </dxf>
    <dxf>
      <font>
        <name val="Malgun Gothic"/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name val="Malgun Gothic"/>
        <b val="1"/>
        <color rgb="FF1E40AF"/>
      </font>
      <fill>
        <patternFill patternType="solid">
          <fgColor rgb="FFDBEAFE"/>
          <bgColor rgb="FFDBEAFE"/>
        </patternFill>
      </fill>
      <border/>
    </dxf>
    <dxf>
      <font>
        <name val="Malgun Gothic"/>
        <b val="1"/>
        <color rgb="FF5B21B6"/>
      </font>
      <fill>
        <patternFill patternType="solid">
          <fgColor rgb="FFEDE9FE"/>
          <bgColor rgb="FFEDE9FE"/>
        </patternFill>
      </fill>
      <border/>
    </dxf>
    <dxf>
      <font>
        <name val="Malgun Gothic"/>
        <b val="1"/>
        <color rgb="FF065F46"/>
      </font>
      <fill>
        <patternFill patternType="solid">
          <fgColor rgb="FFD1FAE5"/>
          <bgColor rgb="FFD1FAE5"/>
        </patternFill>
      </fill>
      <border/>
    </dxf>
    <dxf>
      <font>
        <name val="Malgun Gothic"/>
      </font>
      <fill>
        <patternFill patternType="solid">
          <fgColor rgb="FFEBEDF0"/>
          <bgColor rgb="FFEBEDF0"/>
        </patternFill>
      </fill>
      <border/>
    </dxf>
    <dxf>
      <font>
        <name val="Malgun Gothic"/>
        <b val="1"/>
        <color rgb="FF065F46"/>
        <sz val="7"/>
      </font>
      <fill>
        <patternFill patternType="solid">
          <fgColor rgb="FF9BE9A8"/>
          <bgColor rgb="FF9BE9A8"/>
        </patternFill>
      </fill>
      <border/>
    </dxf>
    <dxf>
      <font>
        <name val="Malgun Gothic"/>
        <b val="1"/>
        <color rgb="FFFFFFFF"/>
        <sz val="7"/>
      </font>
      <fill>
        <patternFill patternType="solid">
          <fgColor rgb="FF40C463"/>
          <bgColor rgb="FF40C463"/>
        </patternFill>
      </fill>
      <border/>
    </dxf>
    <dxf>
      <font>
        <name val="Malgun Gothic"/>
        <b val="1"/>
        <color rgb="FFFFFFFF"/>
        <sz val="7"/>
      </font>
      <fill>
        <patternFill patternType="solid">
          <fgColor rgb="FF30A14E"/>
          <bgColor rgb="FF30A14E"/>
        </patternFill>
      </fill>
      <border/>
    </dxf>
    <dxf>
      <font>
        <name val="Malgun Gothic"/>
        <b val="1"/>
        <color rgb="FFFFFFFF"/>
        <sz val="7"/>
      </font>
      <fill>
        <patternFill patternType="solid">
          <fgColor rgb="FF216E39"/>
          <bgColor rgb="FF216E39"/>
        </patternFill>
      </fill>
      <border/>
    </dxf>
    <dxf>
      <font>
        <name val="맑은 고딕"/>
        <b val="1"/>
        <color rgb="00276A3C"/>
        <sz val="9.5"/>
      </font>
      <fill>
        <patternFill patternType="solid">
          <fgColor rgb="00E2EFDA"/>
          <bgColor rgb="00E2EFDA"/>
        </patternFill>
      </fill>
    </dxf>
    <dxf>
      <font>
        <name val="맑은 고딕"/>
        <b val="1"/>
        <color rgb="00833C0C"/>
        <sz val="9.5"/>
      </font>
      <fill>
        <patternFill patternType="solid">
          <fgColor rgb="00FFF2CC"/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00"/>
  <sheetViews>
    <sheetView workbookViewId="0">
      <selection activeCell="A1" sqref="A1"/>
    </sheetView>
  </sheetViews>
  <sheetFormatPr baseColWidth="8" defaultColWidth="12.63" defaultRowHeight="15" customHeight="1"/>
  <cols>
    <col width="8" customWidth="1" style="209" min="1" max="1"/>
    <col width="10" customWidth="1" style="209" min="2" max="2"/>
    <col width="4.13" customWidth="1" style="209" min="3" max="55"/>
    <col width="14.38" customWidth="1" style="209" min="56" max="59"/>
  </cols>
  <sheetData>
    <row r="1" ht="27.75" customHeight="1" s="209">
      <c r="A1" s="210" t="inlineStr">
        <is>
          <t>🚀 삼성 코딩테스트 &amp; 정보보안기사 통합 진척도 대시보드</t>
        </is>
      </c>
      <c r="BD1" s="26" t="n"/>
      <c r="BE1" s="26" t="n"/>
      <c r="BF1" s="26" t="n"/>
      <c r="BG1" s="26" t="n"/>
    </row>
    <row r="2" ht="18" customHeight="1" s="209">
      <c r="A2" s="211" t="inlineStr">
        <is>
          <t>52주 학습 잔디밭 &amp; 실시간 진도율 관제</t>
        </is>
      </c>
      <c r="BD2" s="26" t="n"/>
      <c r="BE2" s="26" t="n"/>
      <c r="BF2" s="26" t="n"/>
      <c r="BG2" s="26" t="n"/>
    </row>
    <row r="3" ht="21.75" customHeight="1" s="209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26" t="n"/>
      <c r="AY3" s="26" t="n"/>
      <c r="AZ3" s="26" t="n"/>
      <c r="BA3" s="26" t="n"/>
      <c r="BB3" s="26" t="n"/>
      <c r="BC3" s="26" t="n"/>
      <c r="BD3" s="26" t="n"/>
      <c r="BE3" s="26" t="n"/>
      <c r="BF3" s="26" t="n"/>
      <c r="BG3" s="26" t="n"/>
    </row>
    <row r="4" ht="18" customHeight="1" s="209">
      <c r="A4" s="212" t="inlineStr">
        <is>
          <t>🔥 1일 평균 풀이량</t>
        </is>
      </c>
      <c r="B4" s="213" t="n"/>
      <c r="C4" s="213" t="n"/>
      <c r="D4" s="213" t="n"/>
      <c r="E4" s="213" t="n"/>
      <c r="F4" s="213" t="n"/>
      <c r="G4" s="213" t="n"/>
      <c r="H4" s="213" t="n"/>
      <c r="I4" s="213" t="n"/>
      <c r="J4" s="213" t="n"/>
      <c r="K4" s="213" t="n"/>
      <c r="L4" s="213" t="n"/>
      <c r="M4" s="213" t="n"/>
      <c r="N4" s="214" t="n"/>
      <c r="O4" s="215" t="inlineStr">
        <is>
          <t>📊 난이도별 풀이 (총 100제)</t>
        </is>
      </c>
      <c r="P4" s="213" t="n"/>
      <c r="Q4" s="213" t="n"/>
      <c r="R4" s="213" t="n"/>
      <c r="S4" s="213" t="n"/>
      <c r="T4" s="213" t="n"/>
      <c r="U4" s="213" t="n"/>
      <c r="V4" s="213" t="n"/>
      <c r="W4" s="213" t="n"/>
      <c r="X4" s="213" t="n"/>
      <c r="Y4" s="213" t="n"/>
      <c r="Z4" s="213" t="n"/>
      <c r="AA4" s="213" t="n"/>
      <c r="AB4" s="214" t="n"/>
      <c r="AC4" s="216" t="inlineStr">
        <is>
          <t>💻 전체 진척 및 잔여량</t>
        </is>
      </c>
      <c r="AD4" s="213" t="n"/>
      <c r="AE4" s="213" t="n"/>
      <c r="AF4" s="213" t="n"/>
      <c r="AG4" s="213" t="n"/>
      <c r="AH4" s="213" t="n"/>
      <c r="AI4" s="213" t="n"/>
      <c r="AJ4" s="213" t="n"/>
      <c r="AK4" s="213" t="n"/>
      <c r="AL4" s="213" t="n"/>
      <c r="AM4" s="213" t="n"/>
      <c r="AN4" s="213" t="n"/>
      <c r="AO4" s="213" t="n"/>
      <c r="AP4" s="214" t="n"/>
      <c r="AQ4" s="217" t="inlineStr">
        <is>
          <t>🛡️ 정보보안기사 필기</t>
        </is>
      </c>
      <c r="AR4" s="213" t="n"/>
      <c r="AS4" s="213" t="n"/>
      <c r="AT4" s="213" t="n"/>
      <c r="AU4" s="213" t="n"/>
      <c r="AV4" s="213" t="n"/>
      <c r="AW4" s="213" t="n"/>
      <c r="AX4" s="213" t="n"/>
      <c r="AY4" s="213" t="n"/>
      <c r="AZ4" s="213" t="n"/>
      <c r="BA4" s="213" t="n"/>
      <c r="BB4" s="213" t="n"/>
      <c r="BC4" s="214" t="n"/>
      <c r="BD4" s="26" t="n"/>
      <c r="BE4" s="26" t="n"/>
      <c r="BF4" s="26" t="n"/>
      <c r="BG4" s="26" t="n"/>
    </row>
    <row r="5" ht="19.5" customHeight="1" s="209">
      <c r="A5" s="218">
        <f>ROUND(COUNTIF('02_SWEA_통합_코딩테스트_DB'!$F$4:$F$1260, "&lt;&gt;") / 30, 2) &amp; " 문제 / 일"</f>
        <v/>
      </c>
      <c r="B5" s="213" t="n"/>
      <c r="C5" s="213" t="n"/>
      <c r="D5" s="213" t="n"/>
      <c r="E5" s="213" t="n"/>
      <c r="F5" s="213" t="n"/>
      <c r="G5" s="213" t="n"/>
      <c r="H5" s="213" t="n"/>
      <c r="I5" s="213" t="n"/>
      <c r="J5" s="213" t="n"/>
      <c r="K5" s="213" t="n"/>
      <c r="L5" s="213" t="n"/>
      <c r="M5" s="213" t="n"/>
      <c r="N5" s="214" t="n"/>
      <c r="O5" s="219" t="inlineStr">
        <is>
          <t>D1:41 · D2:43 · D3:12 · D4:2 · D8:1</t>
        </is>
      </c>
      <c r="P5" s="213" t="n"/>
      <c r="Q5" s="213" t="n"/>
      <c r="R5" s="213" t="n"/>
      <c r="S5" s="213" t="n"/>
      <c r="T5" s="213" t="n"/>
      <c r="U5" s="213" t="n"/>
      <c r="V5" s="213" t="n"/>
      <c r="W5" s="213" t="n"/>
      <c r="X5" s="213" t="n"/>
      <c r="Y5" s="213" t="n"/>
      <c r="Z5" s="213" t="n"/>
      <c r="AA5" s="213" t="n"/>
      <c r="AB5" s="214" t="n"/>
      <c r="AC5" s="220">
        <f>COUNTIF('02_SWEA_통합_코딩테스트_DB'!$F$4:$F$1260, "&lt;&gt;") &amp; " / " &amp; X37 &amp; "제 (잔여 " &amp; (X37 - COUNTIF('02_SWEA_통합_코딩테스트_DB'!$F$4:$F$1260, "&lt;&gt;")) &amp; "제)"</f>
        <v/>
      </c>
      <c r="AD5" s="213" t="n"/>
      <c r="AE5" s="213" t="n"/>
      <c r="AF5" s="213" t="n"/>
      <c r="AG5" s="213" t="n"/>
      <c r="AH5" s="213" t="n"/>
      <c r="AI5" s="213" t="n"/>
      <c r="AJ5" s="213" t="n"/>
      <c r="AK5" s="213" t="n"/>
      <c r="AL5" s="213" t="n"/>
      <c r="AM5" s="213" t="n"/>
      <c r="AN5" s="213" t="n"/>
      <c r="AO5" s="213" t="n"/>
      <c r="AP5" s="214" t="n"/>
      <c r="AQ5" s="221">
        <f>COUNTIF('03_보안기사_필기_DB'!$I$4:$I$46, "&lt;&gt;") &amp; " / 43섹션 (" &amp; TEXT(COUNTIF('03_보안기사_필기_DB'!$I$4:$I$46, "&lt;&gt;")/43, "0.0%") &amp; ")"</f>
        <v/>
      </c>
      <c r="AR5" s="213" t="n"/>
      <c r="AS5" s="213" t="n"/>
      <c r="AT5" s="213" t="n"/>
      <c r="AU5" s="213" t="n"/>
      <c r="AV5" s="213" t="n"/>
      <c r="AW5" s="213" t="n"/>
      <c r="AX5" s="213" t="n"/>
      <c r="AY5" s="213" t="n"/>
      <c r="AZ5" s="213" t="n"/>
      <c r="BA5" s="213" t="n"/>
      <c r="BB5" s="213" t="n"/>
      <c r="BC5" s="214" t="n"/>
      <c r="BD5" s="26" t="n"/>
      <c r="BE5" s="26" t="n"/>
      <c r="BF5" s="26" t="n"/>
      <c r="BG5" s="26" t="n"/>
    </row>
    <row r="6" ht="15.75" customHeight="1" s="209">
      <c r="A6" s="222" t="inlineStr">
        <is>
          <t>실활동 30일 기준 (9월: 3.1제/일)</t>
        </is>
      </c>
      <c r="B6" s="213" t="n"/>
      <c r="C6" s="213" t="n"/>
      <c r="D6" s="213" t="n"/>
      <c r="E6" s="213" t="n"/>
      <c r="F6" s="213" t="n"/>
      <c r="G6" s="213" t="n"/>
      <c r="H6" s="213" t="n"/>
      <c r="I6" s="213" t="n"/>
      <c r="J6" s="213" t="n"/>
      <c r="K6" s="213" t="n"/>
      <c r="L6" s="213" t="n"/>
      <c r="M6" s="213" t="n"/>
      <c r="N6" s="214" t="n"/>
      <c r="O6" s="222" t="inlineStr">
        <is>
          <t>D1 100% · D2 75% · D3 5.6% · D4 1.0%</t>
        </is>
      </c>
      <c r="P6" s="213" t="n"/>
      <c r="Q6" s="213" t="n"/>
      <c r="R6" s="213" t="n"/>
      <c r="S6" s="213" t="n"/>
      <c r="T6" s="213" t="n"/>
      <c r="U6" s="213" t="n"/>
      <c r="V6" s="213" t="n"/>
      <c r="W6" s="213" t="n"/>
      <c r="X6" s="213" t="n"/>
      <c r="Y6" s="213" t="n"/>
      <c r="Z6" s="213" t="n"/>
      <c r="AA6" s="213" t="n"/>
      <c r="AB6" s="214" t="n"/>
      <c r="AC6" s="222" t="inlineStr">
        <is>
          <t>전체 진도율 9.2% (전체 81일 기준 1.2제/일)</t>
        </is>
      </c>
      <c r="AD6" s="213" t="n"/>
      <c r="AE6" s="213" t="n"/>
      <c r="AF6" s="213" t="n"/>
      <c r="AG6" s="213" t="n"/>
      <c r="AH6" s="213" t="n"/>
      <c r="AI6" s="213" t="n"/>
      <c r="AJ6" s="213" t="n"/>
      <c r="AK6" s="213" t="n"/>
      <c r="AL6" s="213" t="n"/>
      <c r="AM6" s="213" t="n"/>
      <c r="AN6" s="213" t="n"/>
      <c r="AO6" s="213" t="n"/>
      <c r="AP6" s="214" t="n"/>
      <c r="AQ6" s="222">
        <f>"1차 CBT D-" &amp; (DATE(2027,2,15)-TODAY()) &amp; " (02.15) | 2차 실기 D-" &amp; (DATE(2027,4,10)-TODAY())</f>
        <v/>
      </c>
      <c r="AR6" s="213" t="n"/>
      <c r="AS6" s="213" t="n"/>
      <c r="AT6" s="213" t="n"/>
      <c r="AU6" s="213" t="n"/>
      <c r="AV6" s="213" t="n"/>
      <c r="AW6" s="213" t="n"/>
      <c r="AX6" s="213" t="n"/>
      <c r="AY6" s="213" t="n"/>
      <c r="AZ6" s="213" t="n"/>
      <c r="BA6" s="213" t="n"/>
      <c r="BB6" s="213" t="n"/>
      <c r="BC6" s="214" t="n"/>
      <c r="BD6" s="26" t="n"/>
      <c r="BE6" s="26" t="n"/>
      <c r="BF6" s="26" t="n"/>
      <c r="BG6" s="26" t="n"/>
    </row>
    <row r="7" ht="18" customHeight="1" s="209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</row>
    <row r="8" ht="21.75" customHeight="1" s="209">
      <c r="A8" s="223" t="inlineStr">
        <is>
          <t>🌿 [52주 학습 잔디밭] 코딩테스트 &amp; 보안기사 일일 학습 히트맵</t>
        </is>
      </c>
      <c r="BD8" s="26" t="n"/>
      <c r="BE8" s="26" t="n"/>
      <c r="BF8" s="26" t="n"/>
      <c r="BG8" s="26" t="n"/>
    </row>
    <row r="9" ht="24" customHeight="1" s="209">
      <c r="A9" s="224" t="inlineStr">
        <is>
          <t>월별</t>
        </is>
      </c>
      <c r="C9" s="64">
        <f>TEXT(DATE(2026,8,24)+0*7, "yy.mm")</f>
        <v/>
      </c>
      <c r="D9" s="64">
        <f>TEXT(DATE(2026,8,24)+1*7, "yy.mm")</f>
        <v/>
      </c>
      <c r="E9" s="64">
        <f>TEXT(DATE(2026,8,24)+2*7, "yy.mm")</f>
        <v/>
      </c>
      <c r="F9" s="64">
        <f>TEXT(DATE(2026,8,24)+3*7, "yy.mm")</f>
        <v/>
      </c>
      <c r="G9" s="64">
        <f>TEXT(DATE(2026,8,24)+4*7, "yy.mm")</f>
        <v/>
      </c>
      <c r="H9" s="64">
        <f>TEXT(DATE(2026,8,24)+5*7, "yy.mm")</f>
        <v/>
      </c>
      <c r="I9" s="64">
        <f>TEXT(DATE(2026,8,24)+6*7, "yy.mm")</f>
        <v/>
      </c>
      <c r="J9" s="64">
        <f>TEXT(DATE(2026,8,24)+7*7, "yy.mm")</f>
        <v/>
      </c>
      <c r="K9" s="64">
        <f>TEXT(DATE(2026,8,24)+8*7, "yy.mm")</f>
        <v/>
      </c>
      <c r="L9" s="64">
        <f>TEXT(DATE(2026,8,24)+9*7, "yy.mm")</f>
        <v/>
      </c>
      <c r="M9" s="64">
        <f>TEXT(DATE(2026,8,24)+10*7, "yy.mm")</f>
        <v/>
      </c>
      <c r="N9" s="64">
        <f>TEXT(DATE(2026,8,24)+11*7, "yy.mm")</f>
        <v/>
      </c>
      <c r="O9" s="64">
        <f>TEXT(DATE(2026,8,24)+12*7, "yy.mm")</f>
        <v/>
      </c>
      <c r="P9" s="64">
        <f>TEXT(DATE(2026,8,24)+13*7, "yy.mm")</f>
        <v/>
      </c>
      <c r="Q9" s="64">
        <f>TEXT(DATE(2026,8,24)+14*7, "yy.mm")</f>
        <v/>
      </c>
      <c r="R9" s="64">
        <f>TEXT(DATE(2026,8,24)+15*7, "yy.mm")</f>
        <v/>
      </c>
      <c r="S9" s="64">
        <f>TEXT(DATE(2026,8,24)+16*7, "yy.mm")</f>
        <v/>
      </c>
      <c r="T9" s="64">
        <f>TEXT(DATE(2026,8,24)+17*7, "yy.mm")</f>
        <v/>
      </c>
      <c r="U9" s="64">
        <f>TEXT(DATE(2026,8,24)+18*7, "yy.mm")</f>
        <v/>
      </c>
      <c r="V9" s="64">
        <f>TEXT(DATE(2026,8,24)+19*7, "yy.mm")</f>
        <v/>
      </c>
      <c r="W9" s="64">
        <f>TEXT(DATE(2026,8,24)+20*7, "yy.mm")</f>
        <v/>
      </c>
      <c r="X9" s="64">
        <f>TEXT(DATE(2026,8,24)+21*7, "yy.mm")</f>
        <v/>
      </c>
      <c r="Y9" s="64">
        <f>TEXT(DATE(2026,8,24)+22*7, "yy.mm")</f>
        <v/>
      </c>
      <c r="Z9" s="64">
        <f>TEXT(DATE(2026,8,24)+23*7, "yy.mm")</f>
        <v/>
      </c>
      <c r="AA9" s="64">
        <f>TEXT(DATE(2026,8,24)+24*7, "yy.mm")</f>
        <v/>
      </c>
      <c r="AB9" s="64">
        <f>TEXT(DATE(2026,8,24)+25*7, "yy.mm")</f>
        <v/>
      </c>
      <c r="AC9" s="64">
        <f>TEXT(DATE(2026,8,24)+26*7, "yy.mm")</f>
        <v/>
      </c>
      <c r="AD9" s="64">
        <f>TEXT(DATE(2026,8,24)+27*7, "yy.mm")</f>
        <v/>
      </c>
      <c r="AE9" s="64">
        <f>TEXT(DATE(2026,8,24)+28*7, "yy.mm")</f>
        <v/>
      </c>
      <c r="AF9" s="64">
        <f>TEXT(DATE(2026,8,24)+29*7, "yy.mm")</f>
        <v/>
      </c>
      <c r="AG9" s="64">
        <f>TEXT(DATE(2026,8,24)+30*7, "yy.mm")</f>
        <v/>
      </c>
      <c r="AH9" s="64">
        <f>TEXT(DATE(2026,8,24)+31*7, "yy.mm")</f>
        <v/>
      </c>
      <c r="AI9" s="64">
        <f>TEXT(DATE(2026,8,24)+32*7, "yy.mm")</f>
        <v/>
      </c>
      <c r="AJ9" s="64">
        <f>TEXT(DATE(2026,8,24)+33*7, "yy.mm")</f>
        <v/>
      </c>
      <c r="AK9" s="64">
        <f>TEXT(DATE(2026,8,24)+34*7, "yy.mm")</f>
        <v/>
      </c>
      <c r="AL9" s="64">
        <f>TEXT(DATE(2026,8,24)+35*7, "yy.mm")</f>
        <v/>
      </c>
      <c r="AM9" s="64">
        <f>TEXT(DATE(2026,8,24)+36*7, "yy.mm")</f>
        <v/>
      </c>
      <c r="AN9" s="64">
        <f>TEXT(DATE(2026,8,24)+37*7, "yy.mm")</f>
        <v/>
      </c>
      <c r="AO9" s="64">
        <f>TEXT(DATE(2026,8,24)+38*7, "yy.mm")</f>
        <v/>
      </c>
      <c r="AP9" s="64">
        <f>TEXT(DATE(2026,8,24)+39*7, "yy.mm")</f>
        <v/>
      </c>
      <c r="AQ9" s="64">
        <f>TEXT(DATE(2026,8,24)+40*7, "yy.mm")</f>
        <v/>
      </c>
      <c r="AR9" s="64">
        <f>TEXT(DATE(2026,8,24)+41*7, "yy.mm")</f>
        <v/>
      </c>
      <c r="AS9" s="64">
        <f>TEXT(DATE(2026,8,24)+42*7, "yy.mm")</f>
        <v/>
      </c>
      <c r="AT9" s="64">
        <f>TEXT(DATE(2026,8,24)+43*7, "yy.mm")</f>
        <v/>
      </c>
      <c r="AU9" s="64">
        <f>TEXT(DATE(2026,8,24)+44*7, "yy.mm")</f>
        <v/>
      </c>
      <c r="AV9" s="64">
        <f>TEXT(DATE(2026,8,24)+45*7, "yy.mm")</f>
        <v/>
      </c>
      <c r="AW9" s="64">
        <f>TEXT(DATE(2026,8,24)+46*7, "yy.mm")</f>
        <v/>
      </c>
      <c r="AX9" s="64">
        <f>TEXT(DATE(2026,8,24)+47*7, "yy.mm")</f>
        <v/>
      </c>
      <c r="AY9" s="64">
        <f>TEXT(DATE(2026,8,24)+48*7, "yy.mm")</f>
        <v/>
      </c>
      <c r="AZ9" s="64">
        <f>TEXT(DATE(2026,8,24)+49*7, "yy.mm")</f>
        <v/>
      </c>
      <c r="BA9" s="64">
        <f>TEXT(DATE(2026,8,24)+50*7, "yy.mm")</f>
        <v/>
      </c>
      <c r="BB9" s="64">
        <f>TEXT(DATE(2026,8,24)+51*7, "yy.mm")</f>
        <v/>
      </c>
      <c r="BC9" s="64">
        <f>TEXT(DATE(2026,8,24)+52*7, "yy.mm")</f>
        <v/>
      </c>
      <c r="BD9" s="26" t="n"/>
      <c r="BE9" s="26" t="n"/>
      <c r="BF9" s="26" t="n"/>
      <c r="BG9" s="26" t="n"/>
    </row>
    <row r="10" ht="24" customHeight="1" s="209">
      <c r="A10" s="224" t="inlineStr">
        <is>
          <t>주차</t>
        </is>
      </c>
      <c r="C10" s="76">
        <f>IF(AND(DATE(2026,8,24)+0*7&lt;=TODAY(), TODAY()&lt;=DATE(2026,8,24)+0*7+6), "📍W01", "W01")</f>
        <v/>
      </c>
      <c r="D10" s="76">
        <f>IF(AND(DATE(2026,8,24)+1*7&lt;=TODAY(), TODAY()&lt;=DATE(2026,8,24)+1*7+6), "📍W02", "W02")</f>
        <v/>
      </c>
      <c r="E10" s="76">
        <f>IF(AND(DATE(2026,8,24)+2*7&lt;=TODAY(), TODAY()&lt;=DATE(2026,8,24)+2*7+6), "📍W03", "W03")</f>
        <v/>
      </c>
      <c r="F10" s="76">
        <f>IF(AND(DATE(2026,8,24)+3*7&lt;=TODAY(), TODAY()&lt;=DATE(2026,8,24)+3*7+6), "📍W04", "W04")</f>
        <v/>
      </c>
      <c r="G10" s="76">
        <f>IF(AND(DATE(2026,8,24)+4*7&lt;=TODAY(), TODAY()&lt;=DATE(2026,8,24)+4*7+6), "📍W05", "W05")</f>
        <v/>
      </c>
      <c r="H10" s="76">
        <f>IF(AND(DATE(2026,8,24)+5*7&lt;=TODAY(), TODAY()&lt;=DATE(2026,8,24)+5*7+6), "📍W06", "W06")</f>
        <v/>
      </c>
      <c r="I10" s="76">
        <f>IF(AND(DATE(2026,8,24)+6*7&lt;=TODAY(), TODAY()&lt;=DATE(2026,8,24)+6*7+6), "📍W07", "W07")</f>
        <v/>
      </c>
      <c r="J10" s="76">
        <f>IF(AND(DATE(2026,8,24)+7*7&lt;=TODAY(), TODAY()&lt;=DATE(2026,8,24)+7*7+6), "📍W08", "W08")</f>
        <v/>
      </c>
      <c r="K10" s="76">
        <f>IF(AND(DATE(2026,8,24)+8*7&lt;=TODAY(), TODAY()&lt;=DATE(2026,8,24)+8*7+6), "📍W09", "W09")</f>
        <v/>
      </c>
      <c r="L10" s="76">
        <f>IF(AND(DATE(2026,8,24)+9*7&lt;=TODAY(), TODAY()&lt;=DATE(2026,8,24)+9*7+6), "📍W10", "W10")</f>
        <v/>
      </c>
      <c r="M10" s="76">
        <f>IF(AND(DATE(2026,8,24)+10*7&lt;=TODAY(), TODAY()&lt;=DATE(2026,8,24)+10*7+6), "📍W11", "W11")</f>
        <v/>
      </c>
      <c r="N10" s="76">
        <f>IF(AND(DATE(2026,8,24)+11*7&lt;=TODAY(), TODAY()&lt;=DATE(2026,8,24)+11*7+6), "📍W12", "W12")</f>
        <v/>
      </c>
      <c r="O10" s="76">
        <f>IF(AND(DATE(2026,8,24)+12*7&lt;=TODAY(), TODAY()&lt;=DATE(2026,8,24)+12*7+6), "📍W13", "W13")</f>
        <v/>
      </c>
      <c r="P10" s="76">
        <f>IF(AND(DATE(2026,8,24)+13*7&lt;=TODAY(), TODAY()&lt;=DATE(2026,8,24)+13*7+6), "📍W14", "W14")</f>
        <v/>
      </c>
      <c r="Q10" s="76">
        <f>IF(AND(DATE(2026,8,24)+14*7&lt;=TODAY(), TODAY()&lt;=DATE(2026,8,24)+14*7+6), "📍W15", "W15")</f>
        <v/>
      </c>
      <c r="R10" s="76">
        <f>IF(AND(DATE(2026,8,24)+15*7&lt;=TODAY(), TODAY()&lt;=DATE(2026,8,24)+15*7+6), "📍W16", "W16")</f>
        <v/>
      </c>
      <c r="S10" s="76">
        <f>IF(AND(DATE(2026,8,24)+16*7&lt;=TODAY(), TODAY()&lt;=DATE(2026,8,24)+16*7+6), "📍W17", "W17")</f>
        <v/>
      </c>
      <c r="T10" s="76">
        <f>IF(AND(DATE(2026,8,24)+17*7&lt;=TODAY(), TODAY()&lt;=DATE(2026,8,24)+17*7+6), "📍W18", "W18")</f>
        <v/>
      </c>
      <c r="U10" s="76">
        <f>IF(AND(DATE(2026,8,24)+18*7&lt;=TODAY(), TODAY()&lt;=DATE(2026,8,24)+18*7+6), "📍W19", "W19")</f>
        <v/>
      </c>
      <c r="V10" s="76">
        <f>IF(AND(DATE(2026,8,24)+19*7&lt;=TODAY(), TODAY()&lt;=DATE(2026,8,24)+19*7+6), "📍W20", "W20")</f>
        <v/>
      </c>
      <c r="W10" s="76">
        <f>IF(AND(DATE(2026,8,24)+20*7&lt;=TODAY(), TODAY()&lt;=DATE(2026,8,24)+20*7+6), "📍W21", "W21")</f>
        <v/>
      </c>
      <c r="X10" s="76">
        <f>IF(AND(DATE(2026,8,24)+21*7&lt;=TODAY(), TODAY()&lt;=DATE(2026,8,24)+21*7+6), "📍W22", "W22")</f>
        <v/>
      </c>
      <c r="Y10" s="76">
        <f>IF(AND(DATE(2026,8,24)+22*7&lt;=TODAY(), TODAY()&lt;=DATE(2026,8,24)+22*7+6), "📍W23", "W23")</f>
        <v/>
      </c>
      <c r="Z10" s="76">
        <f>IF(AND(DATE(2026,8,24)+23*7&lt;=TODAY(), TODAY()&lt;=DATE(2026,8,24)+23*7+6), "📍W24", "W24")</f>
        <v/>
      </c>
      <c r="AA10" s="76">
        <f>IF(AND(DATE(2026,8,24)+24*7&lt;=TODAY(), TODAY()&lt;=DATE(2026,8,24)+24*7+6), "📍W25", "W25")</f>
        <v/>
      </c>
      <c r="AB10" s="76">
        <f>IF(AND(DATE(2026,8,24)+25*7&lt;=TODAY(), TODAY()&lt;=DATE(2026,8,24)+25*7+6), "📍W26", "W26")</f>
        <v/>
      </c>
      <c r="AC10" s="76">
        <f>IF(AND(DATE(2026,8,24)+26*7&lt;=TODAY(), TODAY()&lt;=DATE(2026,8,24)+26*7+6), "📍W27", "W27")</f>
        <v/>
      </c>
      <c r="AD10" s="76">
        <f>IF(AND(DATE(2026,8,24)+27*7&lt;=TODAY(), TODAY()&lt;=DATE(2026,8,24)+27*7+6), "📍W28", "W28")</f>
        <v/>
      </c>
      <c r="AE10" s="76">
        <f>IF(AND(DATE(2026,8,24)+28*7&lt;=TODAY(), TODAY()&lt;=DATE(2026,8,24)+28*7+6), "📍W29", "W29")</f>
        <v/>
      </c>
      <c r="AF10" s="76">
        <f>IF(AND(DATE(2026,8,24)+29*7&lt;=TODAY(), TODAY()&lt;=DATE(2026,8,24)+29*7+6), "📍W30", "W30")</f>
        <v/>
      </c>
      <c r="AG10" s="76">
        <f>IF(AND(DATE(2026,8,24)+30*7&lt;=TODAY(), TODAY()&lt;=DATE(2026,8,24)+30*7+6), "📍W31", "W31")</f>
        <v/>
      </c>
      <c r="AH10" s="76">
        <f>IF(AND(DATE(2026,8,24)+31*7&lt;=TODAY(), TODAY()&lt;=DATE(2026,8,24)+31*7+6), "📍W32", "W32")</f>
        <v/>
      </c>
      <c r="AI10" s="76">
        <f>IF(AND(DATE(2026,8,24)+32*7&lt;=TODAY(), TODAY()&lt;=DATE(2026,8,24)+32*7+6), "📍W33", "W33")</f>
        <v/>
      </c>
      <c r="AJ10" s="76">
        <f>IF(AND(DATE(2026,8,24)+33*7&lt;=TODAY(), TODAY()&lt;=DATE(2026,8,24)+33*7+6), "📍W34", "W34")</f>
        <v/>
      </c>
      <c r="AK10" s="76">
        <f>IF(AND(DATE(2026,8,24)+34*7&lt;=TODAY(), TODAY()&lt;=DATE(2026,8,24)+34*7+6), "📍W35", "W35")</f>
        <v/>
      </c>
      <c r="AL10" s="76">
        <f>IF(AND(DATE(2026,8,24)+35*7&lt;=TODAY(), TODAY()&lt;=DATE(2026,8,24)+35*7+6), "📍W36", "W36")</f>
        <v/>
      </c>
      <c r="AM10" s="76">
        <f>IF(AND(DATE(2026,8,24)+36*7&lt;=TODAY(), TODAY()&lt;=DATE(2026,8,24)+36*7+6), "📍W37", "W37")</f>
        <v/>
      </c>
      <c r="AN10" s="76">
        <f>IF(AND(DATE(2026,8,24)+37*7&lt;=TODAY(), TODAY()&lt;=DATE(2026,8,24)+37*7+6), "📍W38", "W38")</f>
        <v/>
      </c>
      <c r="AO10" s="76">
        <f>IF(AND(DATE(2026,8,24)+38*7&lt;=TODAY(), TODAY()&lt;=DATE(2026,8,24)+38*7+6), "📍W39", "W39")</f>
        <v/>
      </c>
      <c r="AP10" s="76">
        <f>IF(AND(DATE(2026,8,24)+39*7&lt;=TODAY(), TODAY()&lt;=DATE(2026,8,24)+39*7+6), "📍W40", "W40")</f>
        <v/>
      </c>
      <c r="AQ10" s="76">
        <f>IF(AND(DATE(2026,8,24)+40*7&lt;=TODAY(), TODAY()&lt;=DATE(2026,8,24)+40*7+6), "📍W41", "W41")</f>
        <v/>
      </c>
      <c r="AR10" s="76">
        <f>IF(AND(DATE(2026,8,24)+41*7&lt;=TODAY(), TODAY()&lt;=DATE(2026,8,24)+41*7+6), "📍W42", "W42")</f>
        <v/>
      </c>
      <c r="AS10" s="76">
        <f>IF(AND(DATE(2026,8,24)+42*7&lt;=TODAY(), TODAY()&lt;=DATE(2026,8,24)+42*7+6), "📍W43", "W43")</f>
        <v/>
      </c>
      <c r="AT10" s="76">
        <f>IF(AND(DATE(2026,8,24)+43*7&lt;=TODAY(), TODAY()&lt;=DATE(2026,8,24)+43*7+6), "📍W44", "W44")</f>
        <v/>
      </c>
      <c r="AU10" s="76">
        <f>IF(AND(DATE(2026,8,24)+44*7&lt;=TODAY(), TODAY()&lt;=DATE(2026,8,24)+44*7+6), "📍W45", "W45")</f>
        <v/>
      </c>
      <c r="AV10" s="76">
        <f>IF(AND(DATE(2026,8,24)+45*7&lt;=TODAY(), TODAY()&lt;=DATE(2026,8,24)+45*7+6), "📍W46", "W46")</f>
        <v/>
      </c>
      <c r="AW10" s="76">
        <f>IF(AND(DATE(2026,8,24)+46*7&lt;=TODAY(), TODAY()&lt;=DATE(2026,8,24)+46*7+6), "📍W47", "W47")</f>
        <v/>
      </c>
      <c r="AX10" s="76">
        <f>IF(AND(DATE(2026,8,24)+47*7&lt;=TODAY(), TODAY()&lt;=DATE(2026,8,24)+47*7+6), "📍W48", "W48")</f>
        <v/>
      </c>
      <c r="AY10" s="76">
        <f>IF(AND(DATE(2026,8,24)+48*7&lt;=TODAY(), TODAY()&lt;=DATE(2026,8,24)+48*7+6), "📍W49", "W49")</f>
        <v/>
      </c>
      <c r="AZ10" s="76">
        <f>IF(AND(DATE(2026,8,24)+49*7&lt;=TODAY(), TODAY()&lt;=DATE(2026,8,24)+49*7+6), "📍W50", "W50")</f>
        <v/>
      </c>
      <c r="BA10" s="76">
        <f>IF(AND(DATE(2026,8,24)+50*7&lt;=TODAY(), TODAY()&lt;=DATE(2026,8,24)+50*7+6), "📍W51", "W51")</f>
        <v/>
      </c>
      <c r="BB10" s="76">
        <f>IF(AND(DATE(2026,8,24)+51*7&lt;=TODAY(), TODAY()&lt;=DATE(2026,8,24)+51*7+6), "📍W52", "W52")</f>
        <v/>
      </c>
      <c r="BC10" s="76">
        <f>IF(AND(DATE(2026,8,24)+52*7&lt;=TODAY(), TODAY()&lt;=DATE(2026,8,24)+52*7+6), "📍W53", "W53")</f>
        <v/>
      </c>
      <c r="BD10" s="26" t="n"/>
      <c r="BE10" s="26" t="n"/>
      <c r="BF10" s="26" t="n"/>
      <c r="BG10" s="26" t="n"/>
    </row>
    <row r="11" ht="21.75" customHeight="1" s="209">
      <c r="A11" s="225" t="inlineStr">
        <is>
          <t>월 (Mon)</t>
        </is>
      </c>
      <c r="B11" s="214" t="n"/>
      <c r="C11" s="97">
        <f>COUNTIFS('02_SWEA_통합_코딩테스트_DB'!$F$4:$F$1260, DATE(2026,8,24)+0*7+0, '02_SWEA_통합_코딩테스트_DB'!$J$4:$J$1260, "&lt;&gt;보류*") + COUNTIFS('02_SWEA_통합_코딩테스트_DB'!$G$4:$G$1260, DATE(2026,8,24)+0*7+0, '02_SWEA_통합_코딩테스트_DB'!$J$4:$J$1260, "&lt;&gt;보류*") + COUNTIFS('02_SWEA_통합_코딩테스트_DB'!$H$4:$H$1260, DATE(2026,8,24)+0*7+0, '02_SWEA_통합_코딩테스트_DB'!$J$4:$J$1260, "&lt;&gt;보류*") + COUNTIFS('02_SWEA_통합_코딩테스트_DB'!$I$4:$I$1260, DATE(2026,8,24)+0*7+0, '02_SWEA_통합_코딩테스트_DB'!$J$4:$J$1260, "&lt;&gt;보류*") + COUNTIF('03_보안기사_필기_DB'!$I$4:$M$100, DATE(2026,8,24)+0*7+0) + COUNTIF('04_보안기사_실기_DB'!$G$4:$I$30, DATE(2026,8,24)+0*7+0) + COUNTIF('08_빅분기_필기_DB'!$I$4:$K$34, DATE(2026,8,24)+0*7+0) + COUNTIF('09_빅분기_실기_DB'!$H$4:$I$25, DATE(2026,8,24)+0*7+0)</f>
        <v/>
      </c>
      <c r="D11" s="97">
        <f>COUNTIFS('02_SWEA_통합_코딩테스트_DB'!$F$4:$F$1260, DATE(2026,8,24)+1*7+0, '02_SWEA_통합_코딩테스트_DB'!$J$4:$J$1260, "&lt;&gt;보류*") + COUNTIFS('02_SWEA_통합_코딩테스트_DB'!$G$4:$G$1260, DATE(2026,8,24)+1*7+0, '02_SWEA_통합_코딩테스트_DB'!$J$4:$J$1260, "&lt;&gt;보류*") + COUNTIFS('02_SWEA_통합_코딩테스트_DB'!$H$4:$H$1260, DATE(2026,8,24)+1*7+0, '02_SWEA_통합_코딩테스트_DB'!$J$4:$J$1260, "&lt;&gt;보류*") + COUNTIFS('02_SWEA_통합_코딩테스트_DB'!$I$4:$I$1260, DATE(2026,8,24)+1*7+0, '02_SWEA_통합_코딩테스트_DB'!$J$4:$J$1260, "&lt;&gt;보류*") + COUNTIF('03_보안기사_필기_DB'!$I$4:$M$100, DATE(2026,8,24)+1*7+0) + COUNTIF('04_보안기사_실기_DB'!$G$4:$I$30, DATE(2026,8,24)+1*7+0) + COUNTIF('08_빅분기_필기_DB'!$I$4:$K$34, DATE(2026,8,24)+1*7+0) + COUNTIF('09_빅분기_실기_DB'!$H$4:$I$25, DATE(2026,8,24)+1*7+0)</f>
        <v/>
      </c>
      <c r="E11" s="97">
        <f>COUNTIFS('02_SWEA_통합_코딩테스트_DB'!$F$4:$F$1260, DATE(2026,8,24)+2*7+0, '02_SWEA_통합_코딩테스트_DB'!$J$4:$J$1260, "&lt;&gt;보류*") + COUNTIFS('02_SWEA_통합_코딩테스트_DB'!$G$4:$G$1260, DATE(2026,8,24)+2*7+0, '02_SWEA_통합_코딩테스트_DB'!$J$4:$J$1260, "&lt;&gt;보류*") + COUNTIFS('02_SWEA_통합_코딩테스트_DB'!$H$4:$H$1260, DATE(2026,8,24)+2*7+0, '02_SWEA_통합_코딩테스트_DB'!$J$4:$J$1260, "&lt;&gt;보류*") + COUNTIFS('02_SWEA_통합_코딩테스트_DB'!$I$4:$I$1260, DATE(2026,8,24)+2*7+0, '02_SWEA_통합_코딩테스트_DB'!$J$4:$J$1260, "&lt;&gt;보류*") + COUNTIF('03_보안기사_필기_DB'!$I$4:$M$100, DATE(2026,8,24)+2*7+0) + COUNTIF('04_보안기사_실기_DB'!$G$4:$I$30, DATE(2026,8,24)+2*7+0) + COUNTIF('08_빅분기_필기_DB'!$I$4:$K$34, DATE(2026,8,24)+2*7+0) + COUNTIF('09_빅분기_실기_DB'!$H$4:$I$25, DATE(2026,8,24)+2*7+0)</f>
        <v/>
      </c>
      <c r="F11" s="97">
        <f>COUNTIFS('02_SWEA_통합_코딩테스트_DB'!$F$4:$F$1260, DATE(2026,8,24)+3*7+0, '02_SWEA_통합_코딩테스트_DB'!$J$4:$J$1260, "&lt;&gt;보류*") + COUNTIFS('02_SWEA_통합_코딩테스트_DB'!$G$4:$G$1260, DATE(2026,8,24)+3*7+0, '02_SWEA_통합_코딩테스트_DB'!$J$4:$J$1260, "&lt;&gt;보류*") + COUNTIFS('02_SWEA_통합_코딩테스트_DB'!$H$4:$H$1260, DATE(2026,8,24)+3*7+0, '02_SWEA_통합_코딩테스트_DB'!$J$4:$J$1260, "&lt;&gt;보류*") + COUNTIFS('02_SWEA_통합_코딩테스트_DB'!$I$4:$I$1260, DATE(2026,8,24)+3*7+0, '02_SWEA_통합_코딩테스트_DB'!$J$4:$J$1260, "&lt;&gt;보류*") + COUNTIF('03_보안기사_필기_DB'!$I$4:$M$100, DATE(2026,8,24)+3*7+0) + COUNTIF('04_보안기사_실기_DB'!$G$4:$I$30, DATE(2026,8,24)+3*7+0) + COUNTIF('08_빅분기_필기_DB'!$I$4:$K$34, DATE(2026,8,24)+3*7+0) + COUNTIF('09_빅분기_실기_DB'!$H$4:$I$25, DATE(2026,8,24)+3*7+0)</f>
        <v/>
      </c>
      <c r="G11" s="97">
        <f>COUNTIFS('02_SWEA_통합_코딩테스트_DB'!$F$4:$F$1260, DATE(2026,8,24)+4*7+0, '02_SWEA_통합_코딩테스트_DB'!$J$4:$J$1260, "&lt;&gt;보류*") + COUNTIFS('02_SWEA_통합_코딩테스트_DB'!$G$4:$G$1260, DATE(2026,8,24)+4*7+0, '02_SWEA_통합_코딩테스트_DB'!$J$4:$J$1260, "&lt;&gt;보류*") + COUNTIFS('02_SWEA_통합_코딩테스트_DB'!$H$4:$H$1260, DATE(2026,8,24)+4*7+0, '02_SWEA_통합_코딩테스트_DB'!$J$4:$J$1260, "&lt;&gt;보류*") + COUNTIFS('02_SWEA_통합_코딩테스트_DB'!$I$4:$I$1260, DATE(2026,8,24)+4*7+0, '02_SWEA_통합_코딩테스트_DB'!$J$4:$J$1260, "&lt;&gt;보류*") + COUNTIF('03_보안기사_필기_DB'!$I$4:$M$100, DATE(2026,8,24)+4*7+0) + COUNTIF('04_보안기사_실기_DB'!$G$4:$I$30, DATE(2026,8,24)+4*7+0) + COUNTIF('08_빅분기_필기_DB'!$I$4:$K$34, DATE(2026,8,24)+4*7+0) + COUNTIF('09_빅분기_실기_DB'!$H$4:$I$25, DATE(2026,8,24)+4*7+0)</f>
        <v/>
      </c>
      <c r="H11" s="97">
        <f>COUNTIFS('02_SWEA_통합_코딩테스트_DB'!$F$4:$F$1260, DATE(2026,8,24)+5*7+0, '02_SWEA_통합_코딩테스트_DB'!$J$4:$J$1260, "&lt;&gt;보류*") + COUNTIFS('02_SWEA_통합_코딩테스트_DB'!$G$4:$G$1260, DATE(2026,8,24)+5*7+0, '02_SWEA_통합_코딩테스트_DB'!$J$4:$J$1260, "&lt;&gt;보류*") + COUNTIFS('02_SWEA_통합_코딩테스트_DB'!$H$4:$H$1260, DATE(2026,8,24)+5*7+0, '02_SWEA_통합_코딩테스트_DB'!$J$4:$J$1260, "&lt;&gt;보류*") + COUNTIFS('02_SWEA_통합_코딩테스트_DB'!$I$4:$I$1260, DATE(2026,8,24)+5*7+0, '02_SWEA_통합_코딩테스트_DB'!$J$4:$J$1260, "&lt;&gt;보류*") + COUNTIF('03_보안기사_필기_DB'!$I$4:$M$100, DATE(2026,8,24)+5*7+0) + COUNTIF('04_보안기사_실기_DB'!$G$4:$I$30, DATE(2026,8,24)+5*7+0) + COUNTIF('08_빅분기_필기_DB'!$I$4:$K$34, DATE(2026,8,24)+5*7+0) + COUNTIF('09_빅분기_실기_DB'!$H$4:$I$25, DATE(2026,8,24)+5*7+0)</f>
        <v/>
      </c>
      <c r="I11" s="97">
        <f>COUNTIFS('02_SWEA_통합_코딩테스트_DB'!$F$4:$F$1260, DATE(2026,8,24)+6*7+0, '02_SWEA_통합_코딩테스트_DB'!$J$4:$J$1260, "&lt;&gt;보류*") + COUNTIFS('02_SWEA_통합_코딩테스트_DB'!$G$4:$G$1260, DATE(2026,8,24)+6*7+0, '02_SWEA_통합_코딩테스트_DB'!$J$4:$J$1260, "&lt;&gt;보류*") + COUNTIFS('02_SWEA_통합_코딩테스트_DB'!$H$4:$H$1260, DATE(2026,8,24)+6*7+0, '02_SWEA_통합_코딩테스트_DB'!$J$4:$J$1260, "&lt;&gt;보류*") + COUNTIFS('02_SWEA_통합_코딩테스트_DB'!$I$4:$I$1260, DATE(2026,8,24)+6*7+0, '02_SWEA_통합_코딩테스트_DB'!$J$4:$J$1260, "&lt;&gt;보류*") + COUNTIF('03_보안기사_필기_DB'!$I$4:$M$100, DATE(2026,8,24)+6*7+0) + COUNTIF('04_보안기사_실기_DB'!$G$4:$I$30, DATE(2026,8,24)+6*7+0) + COUNTIF('08_빅분기_필기_DB'!$I$4:$K$34, DATE(2026,8,24)+6*7+0) + COUNTIF('09_빅분기_실기_DB'!$H$4:$I$25, DATE(2026,8,24)+6*7+0)</f>
        <v/>
      </c>
      <c r="J11" s="97">
        <f>COUNTIFS('02_SWEA_통합_코딩테스트_DB'!$F$4:$F$1260, DATE(2026,8,24)+7*7+0, '02_SWEA_통합_코딩테스트_DB'!$J$4:$J$1260, "&lt;&gt;보류*") + COUNTIFS('02_SWEA_통합_코딩테스트_DB'!$G$4:$G$1260, DATE(2026,8,24)+7*7+0, '02_SWEA_통합_코딩테스트_DB'!$J$4:$J$1260, "&lt;&gt;보류*") + COUNTIFS('02_SWEA_통합_코딩테스트_DB'!$H$4:$H$1260, DATE(2026,8,24)+7*7+0, '02_SWEA_통합_코딩테스트_DB'!$J$4:$J$1260, "&lt;&gt;보류*") + COUNTIFS('02_SWEA_통합_코딩테스트_DB'!$I$4:$I$1260, DATE(2026,8,24)+7*7+0, '02_SWEA_통합_코딩테스트_DB'!$J$4:$J$1260, "&lt;&gt;보류*") + COUNTIF('03_보안기사_필기_DB'!$I$4:$M$100, DATE(2026,8,24)+7*7+0) + COUNTIF('04_보안기사_실기_DB'!$G$4:$I$30, DATE(2026,8,24)+7*7+0) + COUNTIF('08_빅분기_필기_DB'!$I$4:$K$34, DATE(2026,8,24)+7*7+0) + COUNTIF('09_빅분기_실기_DB'!$H$4:$I$25, DATE(2026,8,24)+7*7+0)</f>
        <v/>
      </c>
      <c r="K11" s="97">
        <f>COUNTIFS('02_SWEA_통합_코딩테스트_DB'!$F$4:$F$1260, DATE(2026,8,24)+8*7+0, '02_SWEA_통합_코딩테스트_DB'!$J$4:$J$1260, "&lt;&gt;보류*") + COUNTIFS('02_SWEA_통합_코딩테스트_DB'!$G$4:$G$1260, DATE(2026,8,24)+8*7+0, '02_SWEA_통합_코딩테스트_DB'!$J$4:$J$1260, "&lt;&gt;보류*") + COUNTIFS('02_SWEA_통합_코딩테스트_DB'!$H$4:$H$1260, DATE(2026,8,24)+8*7+0, '02_SWEA_통합_코딩테스트_DB'!$J$4:$J$1260, "&lt;&gt;보류*") + COUNTIFS('02_SWEA_통합_코딩테스트_DB'!$I$4:$I$1260, DATE(2026,8,24)+8*7+0, '02_SWEA_통합_코딩테스트_DB'!$J$4:$J$1260, "&lt;&gt;보류*") + COUNTIF('03_보안기사_필기_DB'!$I$4:$M$100, DATE(2026,8,24)+8*7+0) + COUNTIF('04_보안기사_실기_DB'!$G$4:$I$30, DATE(2026,8,24)+8*7+0) + COUNTIF('08_빅분기_필기_DB'!$I$4:$K$34, DATE(2026,8,24)+8*7+0) + COUNTIF('09_빅분기_실기_DB'!$H$4:$I$25, DATE(2026,8,24)+8*7+0)</f>
        <v/>
      </c>
      <c r="L11" s="97">
        <f>COUNTIFS('02_SWEA_통합_코딩테스트_DB'!$F$4:$F$1260, DATE(2026,8,24)+9*7+0, '02_SWEA_통합_코딩테스트_DB'!$J$4:$J$1260, "&lt;&gt;보류*") + COUNTIFS('02_SWEA_통합_코딩테스트_DB'!$G$4:$G$1260, DATE(2026,8,24)+9*7+0, '02_SWEA_통합_코딩테스트_DB'!$J$4:$J$1260, "&lt;&gt;보류*") + COUNTIFS('02_SWEA_통합_코딩테스트_DB'!$H$4:$H$1260, DATE(2026,8,24)+9*7+0, '02_SWEA_통합_코딩테스트_DB'!$J$4:$J$1260, "&lt;&gt;보류*") + COUNTIFS('02_SWEA_통합_코딩테스트_DB'!$I$4:$I$1260, DATE(2026,8,24)+9*7+0, '02_SWEA_통합_코딩테스트_DB'!$J$4:$J$1260, "&lt;&gt;보류*") + COUNTIF('03_보안기사_필기_DB'!$I$4:$M$100, DATE(2026,8,24)+9*7+0) + COUNTIF('04_보안기사_실기_DB'!$G$4:$I$30, DATE(2026,8,24)+9*7+0) + COUNTIF('08_빅분기_필기_DB'!$I$4:$K$34, DATE(2026,8,24)+9*7+0) + COUNTIF('09_빅분기_실기_DB'!$H$4:$I$25, DATE(2026,8,24)+9*7+0)</f>
        <v/>
      </c>
      <c r="M11" s="97">
        <f>COUNTIFS('02_SWEA_통합_코딩테스트_DB'!$F$4:$F$1260, DATE(2026,8,24)+10*7+0, '02_SWEA_통합_코딩테스트_DB'!$J$4:$J$1260, "&lt;&gt;보류*") + COUNTIFS('02_SWEA_통합_코딩테스트_DB'!$G$4:$G$1260, DATE(2026,8,24)+10*7+0, '02_SWEA_통합_코딩테스트_DB'!$J$4:$J$1260, "&lt;&gt;보류*") + COUNTIFS('02_SWEA_통합_코딩테스트_DB'!$H$4:$H$1260, DATE(2026,8,24)+10*7+0, '02_SWEA_통합_코딩테스트_DB'!$J$4:$J$1260, "&lt;&gt;보류*") + COUNTIFS('02_SWEA_통합_코딩테스트_DB'!$I$4:$I$1260, DATE(2026,8,24)+10*7+0, '02_SWEA_통합_코딩테스트_DB'!$J$4:$J$1260, "&lt;&gt;보류*") + COUNTIF('03_보안기사_필기_DB'!$I$4:$M$100, DATE(2026,8,24)+10*7+0) + COUNTIF('04_보안기사_실기_DB'!$G$4:$I$30, DATE(2026,8,24)+10*7+0) + COUNTIF('08_빅분기_필기_DB'!$I$4:$K$34, DATE(2026,8,24)+10*7+0) + COUNTIF('09_빅분기_실기_DB'!$H$4:$I$25, DATE(2026,8,24)+10*7+0)</f>
        <v/>
      </c>
      <c r="N11" s="97">
        <f>COUNTIFS('02_SWEA_통합_코딩테스트_DB'!$F$4:$F$1260, DATE(2026,8,24)+11*7+0, '02_SWEA_통합_코딩테스트_DB'!$J$4:$J$1260, "&lt;&gt;보류*") + COUNTIFS('02_SWEA_통합_코딩테스트_DB'!$G$4:$G$1260, DATE(2026,8,24)+11*7+0, '02_SWEA_통합_코딩테스트_DB'!$J$4:$J$1260, "&lt;&gt;보류*") + COUNTIFS('02_SWEA_통합_코딩테스트_DB'!$H$4:$H$1260, DATE(2026,8,24)+11*7+0, '02_SWEA_통합_코딩테스트_DB'!$J$4:$J$1260, "&lt;&gt;보류*") + COUNTIFS('02_SWEA_통합_코딩테스트_DB'!$I$4:$I$1260, DATE(2026,8,24)+11*7+0, '02_SWEA_통합_코딩테스트_DB'!$J$4:$J$1260, "&lt;&gt;보류*") + COUNTIF('03_보안기사_필기_DB'!$I$4:$M$100, DATE(2026,8,24)+11*7+0) + COUNTIF('04_보안기사_실기_DB'!$G$4:$I$30, DATE(2026,8,24)+11*7+0) + COUNTIF('08_빅분기_필기_DB'!$I$4:$K$34, DATE(2026,8,24)+11*7+0) + COUNTIF('09_빅분기_실기_DB'!$H$4:$I$25, DATE(2026,8,24)+11*7+0)</f>
        <v/>
      </c>
      <c r="O11" s="97">
        <f>COUNTIFS('02_SWEA_통합_코딩테스트_DB'!$F$4:$F$1260, DATE(2026,8,24)+12*7+0, '02_SWEA_통합_코딩테스트_DB'!$J$4:$J$1260, "&lt;&gt;보류*") + COUNTIFS('02_SWEA_통합_코딩테스트_DB'!$G$4:$G$1260, DATE(2026,8,24)+12*7+0, '02_SWEA_통합_코딩테스트_DB'!$J$4:$J$1260, "&lt;&gt;보류*") + COUNTIFS('02_SWEA_통합_코딩테스트_DB'!$H$4:$H$1260, DATE(2026,8,24)+12*7+0, '02_SWEA_통합_코딩테스트_DB'!$J$4:$J$1260, "&lt;&gt;보류*") + COUNTIFS('02_SWEA_통합_코딩테스트_DB'!$I$4:$I$1260, DATE(2026,8,24)+12*7+0, '02_SWEA_통합_코딩테스트_DB'!$J$4:$J$1260, "&lt;&gt;보류*") + COUNTIF('03_보안기사_필기_DB'!$I$4:$M$100, DATE(2026,8,24)+12*7+0) + COUNTIF('04_보안기사_실기_DB'!$G$4:$I$30, DATE(2026,8,24)+12*7+0) + COUNTIF('08_빅분기_필기_DB'!$I$4:$K$34, DATE(2026,8,24)+12*7+0) + COUNTIF('09_빅분기_실기_DB'!$H$4:$I$25, DATE(2026,8,24)+12*7+0)</f>
        <v/>
      </c>
      <c r="P11" s="97">
        <f>COUNTIFS('02_SWEA_통합_코딩테스트_DB'!$F$4:$F$1260, DATE(2026,8,24)+13*7+0, '02_SWEA_통합_코딩테스트_DB'!$J$4:$J$1260, "&lt;&gt;보류*") + COUNTIFS('02_SWEA_통합_코딩테스트_DB'!$G$4:$G$1260, DATE(2026,8,24)+13*7+0, '02_SWEA_통합_코딩테스트_DB'!$J$4:$J$1260, "&lt;&gt;보류*") + COUNTIFS('02_SWEA_통합_코딩테스트_DB'!$H$4:$H$1260, DATE(2026,8,24)+13*7+0, '02_SWEA_통합_코딩테스트_DB'!$J$4:$J$1260, "&lt;&gt;보류*") + COUNTIFS('02_SWEA_통합_코딩테스트_DB'!$I$4:$I$1260, DATE(2026,8,24)+13*7+0, '02_SWEA_통합_코딩테스트_DB'!$J$4:$J$1260, "&lt;&gt;보류*") + COUNTIF('03_보안기사_필기_DB'!$I$4:$M$100, DATE(2026,8,24)+13*7+0) + COUNTIF('04_보안기사_실기_DB'!$G$4:$I$30, DATE(2026,8,24)+13*7+0) + COUNTIF('08_빅분기_필기_DB'!$I$4:$K$34, DATE(2026,8,24)+13*7+0) + COUNTIF('09_빅분기_실기_DB'!$H$4:$I$25, DATE(2026,8,24)+13*7+0)</f>
        <v/>
      </c>
      <c r="Q11" s="97">
        <f>COUNTIFS('02_SWEA_통합_코딩테스트_DB'!$F$4:$F$1260, DATE(2026,8,24)+14*7+0, '02_SWEA_통합_코딩테스트_DB'!$J$4:$J$1260, "&lt;&gt;보류*") + COUNTIFS('02_SWEA_통합_코딩테스트_DB'!$G$4:$G$1260, DATE(2026,8,24)+14*7+0, '02_SWEA_통합_코딩테스트_DB'!$J$4:$J$1260, "&lt;&gt;보류*") + COUNTIFS('02_SWEA_통합_코딩테스트_DB'!$H$4:$H$1260, DATE(2026,8,24)+14*7+0, '02_SWEA_통합_코딩테스트_DB'!$J$4:$J$1260, "&lt;&gt;보류*") + COUNTIFS('02_SWEA_통합_코딩테스트_DB'!$I$4:$I$1260, DATE(2026,8,24)+14*7+0, '02_SWEA_통합_코딩테스트_DB'!$J$4:$J$1260, "&lt;&gt;보류*") + COUNTIF('03_보안기사_필기_DB'!$I$4:$M$100, DATE(2026,8,24)+14*7+0) + COUNTIF('04_보안기사_실기_DB'!$G$4:$I$30, DATE(2026,8,24)+14*7+0) + COUNTIF('08_빅분기_필기_DB'!$I$4:$K$34, DATE(2026,8,24)+14*7+0) + COUNTIF('09_빅분기_실기_DB'!$H$4:$I$25, DATE(2026,8,24)+14*7+0)</f>
        <v/>
      </c>
      <c r="R11" s="97">
        <f>COUNTIFS('02_SWEA_통합_코딩테스트_DB'!$F$4:$F$1260, DATE(2026,8,24)+15*7+0, '02_SWEA_통합_코딩테스트_DB'!$J$4:$J$1260, "&lt;&gt;보류*") + COUNTIFS('02_SWEA_통합_코딩테스트_DB'!$G$4:$G$1260, DATE(2026,8,24)+15*7+0, '02_SWEA_통합_코딩테스트_DB'!$J$4:$J$1260, "&lt;&gt;보류*") + COUNTIFS('02_SWEA_통합_코딩테스트_DB'!$H$4:$H$1260, DATE(2026,8,24)+15*7+0, '02_SWEA_통합_코딩테스트_DB'!$J$4:$J$1260, "&lt;&gt;보류*") + COUNTIFS('02_SWEA_통합_코딩테스트_DB'!$I$4:$I$1260, DATE(2026,8,24)+15*7+0, '02_SWEA_통합_코딩테스트_DB'!$J$4:$J$1260, "&lt;&gt;보류*") + COUNTIF('03_보안기사_필기_DB'!$I$4:$M$100, DATE(2026,8,24)+15*7+0) + COUNTIF('04_보안기사_실기_DB'!$G$4:$I$30, DATE(2026,8,24)+15*7+0) + COUNTIF('08_빅분기_필기_DB'!$I$4:$K$34, DATE(2026,8,24)+15*7+0) + COUNTIF('09_빅분기_실기_DB'!$H$4:$I$25, DATE(2026,8,24)+15*7+0)</f>
        <v/>
      </c>
      <c r="S11" s="97">
        <f>COUNTIFS('02_SWEA_통합_코딩테스트_DB'!$F$4:$F$1260, DATE(2026,8,24)+16*7+0, '02_SWEA_통합_코딩테스트_DB'!$J$4:$J$1260, "&lt;&gt;보류*") + COUNTIFS('02_SWEA_통합_코딩테스트_DB'!$G$4:$G$1260, DATE(2026,8,24)+16*7+0, '02_SWEA_통합_코딩테스트_DB'!$J$4:$J$1260, "&lt;&gt;보류*") + COUNTIFS('02_SWEA_통합_코딩테스트_DB'!$H$4:$H$1260, DATE(2026,8,24)+16*7+0, '02_SWEA_통합_코딩테스트_DB'!$J$4:$J$1260, "&lt;&gt;보류*") + COUNTIFS('02_SWEA_통합_코딩테스트_DB'!$I$4:$I$1260, DATE(2026,8,24)+16*7+0, '02_SWEA_통합_코딩테스트_DB'!$J$4:$J$1260, "&lt;&gt;보류*") + COUNTIF('03_보안기사_필기_DB'!$I$4:$M$100, DATE(2026,8,24)+16*7+0) + COUNTIF('04_보안기사_실기_DB'!$G$4:$I$30, DATE(2026,8,24)+16*7+0) + COUNTIF('08_빅분기_필기_DB'!$I$4:$K$34, DATE(2026,8,24)+16*7+0) + COUNTIF('09_빅분기_실기_DB'!$H$4:$I$25, DATE(2026,8,24)+16*7+0)</f>
        <v/>
      </c>
      <c r="T11" s="97">
        <f>COUNTIFS('02_SWEA_통합_코딩테스트_DB'!$F$4:$F$1260, DATE(2026,8,24)+17*7+0, '02_SWEA_통합_코딩테스트_DB'!$J$4:$J$1260, "&lt;&gt;보류*") + COUNTIFS('02_SWEA_통합_코딩테스트_DB'!$G$4:$G$1260, DATE(2026,8,24)+17*7+0, '02_SWEA_통합_코딩테스트_DB'!$J$4:$J$1260, "&lt;&gt;보류*") + COUNTIFS('02_SWEA_통합_코딩테스트_DB'!$H$4:$H$1260, DATE(2026,8,24)+17*7+0, '02_SWEA_통합_코딩테스트_DB'!$J$4:$J$1260, "&lt;&gt;보류*") + COUNTIFS('02_SWEA_통합_코딩테스트_DB'!$I$4:$I$1260, DATE(2026,8,24)+17*7+0, '02_SWEA_통합_코딩테스트_DB'!$J$4:$J$1260, "&lt;&gt;보류*") + COUNTIF('03_보안기사_필기_DB'!$I$4:$M$100, DATE(2026,8,24)+17*7+0) + COUNTIF('04_보안기사_실기_DB'!$G$4:$I$30, DATE(2026,8,24)+17*7+0) + COUNTIF('08_빅분기_필기_DB'!$I$4:$K$34, DATE(2026,8,24)+17*7+0) + COUNTIF('09_빅분기_실기_DB'!$H$4:$I$25, DATE(2026,8,24)+17*7+0)</f>
        <v/>
      </c>
      <c r="U11" s="97">
        <f>COUNTIFS('02_SWEA_통합_코딩테스트_DB'!$F$4:$F$1260, DATE(2026,8,24)+18*7+0, '02_SWEA_통합_코딩테스트_DB'!$J$4:$J$1260, "&lt;&gt;보류*") + COUNTIFS('02_SWEA_통합_코딩테스트_DB'!$G$4:$G$1260, DATE(2026,8,24)+18*7+0, '02_SWEA_통합_코딩테스트_DB'!$J$4:$J$1260, "&lt;&gt;보류*") + COUNTIFS('02_SWEA_통합_코딩테스트_DB'!$H$4:$H$1260, DATE(2026,8,24)+18*7+0, '02_SWEA_통합_코딩테스트_DB'!$J$4:$J$1260, "&lt;&gt;보류*") + COUNTIFS('02_SWEA_통합_코딩테스트_DB'!$I$4:$I$1260, DATE(2026,8,24)+18*7+0, '02_SWEA_통합_코딩테스트_DB'!$J$4:$J$1260, "&lt;&gt;보류*") + COUNTIF('03_보안기사_필기_DB'!$I$4:$M$100, DATE(2026,8,24)+18*7+0) + COUNTIF('04_보안기사_실기_DB'!$G$4:$I$30, DATE(2026,8,24)+18*7+0) + COUNTIF('08_빅분기_필기_DB'!$I$4:$K$34, DATE(2026,8,24)+18*7+0) + COUNTIF('09_빅분기_실기_DB'!$H$4:$I$25, DATE(2026,8,24)+18*7+0)</f>
        <v/>
      </c>
      <c r="V11" s="97">
        <f>COUNTIFS('02_SWEA_통합_코딩테스트_DB'!$F$4:$F$1260, DATE(2026,8,24)+19*7+0, '02_SWEA_통합_코딩테스트_DB'!$J$4:$J$1260, "&lt;&gt;보류*") + COUNTIFS('02_SWEA_통합_코딩테스트_DB'!$G$4:$G$1260, DATE(2026,8,24)+19*7+0, '02_SWEA_통합_코딩테스트_DB'!$J$4:$J$1260, "&lt;&gt;보류*") + COUNTIFS('02_SWEA_통합_코딩테스트_DB'!$H$4:$H$1260, DATE(2026,8,24)+19*7+0, '02_SWEA_통합_코딩테스트_DB'!$J$4:$J$1260, "&lt;&gt;보류*") + COUNTIFS('02_SWEA_통합_코딩테스트_DB'!$I$4:$I$1260, DATE(2026,8,24)+19*7+0, '02_SWEA_통합_코딩테스트_DB'!$J$4:$J$1260, "&lt;&gt;보류*") + COUNTIF('03_보안기사_필기_DB'!$I$4:$M$100, DATE(2026,8,24)+19*7+0) + COUNTIF('04_보안기사_실기_DB'!$G$4:$I$30, DATE(2026,8,24)+19*7+0) + COUNTIF('08_빅분기_필기_DB'!$I$4:$K$34, DATE(2026,8,24)+19*7+0) + COUNTIF('09_빅분기_실기_DB'!$H$4:$I$25, DATE(2026,8,24)+19*7+0)</f>
        <v/>
      </c>
      <c r="W11" s="97">
        <f>COUNTIFS('02_SWEA_통합_코딩테스트_DB'!$F$4:$F$1260, DATE(2026,8,24)+20*7+0, '02_SWEA_통합_코딩테스트_DB'!$J$4:$J$1260, "&lt;&gt;보류*") + COUNTIFS('02_SWEA_통합_코딩테스트_DB'!$G$4:$G$1260, DATE(2026,8,24)+20*7+0, '02_SWEA_통합_코딩테스트_DB'!$J$4:$J$1260, "&lt;&gt;보류*") + COUNTIFS('02_SWEA_통합_코딩테스트_DB'!$H$4:$H$1260, DATE(2026,8,24)+20*7+0, '02_SWEA_통합_코딩테스트_DB'!$J$4:$J$1260, "&lt;&gt;보류*") + COUNTIFS('02_SWEA_통합_코딩테스트_DB'!$I$4:$I$1260, DATE(2026,8,24)+20*7+0, '02_SWEA_통합_코딩테스트_DB'!$J$4:$J$1260, "&lt;&gt;보류*") + COUNTIF('03_보안기사_필기_DB'!$I$4:$M$100, DATE(2026,8,24)+20*7+0) + COUNTIF('04_보안기사_실기_DB'!$G$4:$I$30, DATE(2026,8,24)+20*7+0) + COUNTIF('08_빅분기_필기_DB'!$I$4:$K$34, DATE(2026,8,24)+20*7+0) + COUNTIF('09_빅분기_실기_DB'!$H$4:$I$25, DATE(2026,8,24)+20*7+0)</f>
        <v/>
      </c>
      <c r="X11" s="97">
        <f>COUNTIFS('02_SWEA_통합_코딩테스트_DB'!$F$4:$F$1260, DATE(2026,8,24)+21*7+0, '02_SWEA_통합_코딩테스트_DB'!$J$4:$J$1260, "&lt;&gt;보류*") + COUNTIFS('02_SWEA_통합_코딩테스트_DB'!$G$4:$G$1260, DATE(2026,8,24)+21*7+0, '02_SWEA_통합_코딩테스트_DB'!$J$4:$J$1260, "&lt;&gt;보류*") + COUNTIFS('02_SWEA_통합_코딩테스트_DB'!$H$4:$H$1260, DATE(2026,8,24)+21*7+0, '02_SWEA_통합_코딩테스트_DB'!$J$4:$J$1260, "&lt;&gt;보류*") + COUNTIFS('02_SWEA_통합_코딩테스트_DB'!$I$4:$I$1260, DATE(2026,8,24)+21*7+0, '02_SWEA_통합_코딩테스트_DB'!$J$4:$J$1260, "&lt;&gt;보류*") + COUNTIF('03_보안기사_필기_DB'!$I$4:$M$100, DATE(2026,8,24)+21*7+0) + COUNTIF('04_보안기사_실기_DB'!$G$4:$I$30, DATE(2026,8,24)+21*7+0) + COUNTIF('08_빅분기_필기_DB'!$I$4:$K$34, DATE(2026,8,24)+21*7+0) + COUNTIF('09_빅분기_실기_DB'!$H$4:$I$25, DATE(2026,8,24)+21*7+0)</f>
        <v/>
      </c>
      <c r="Y11" s="97">
        <f>COUNTIFS('02_SWEA_통합_코딩테스트_DB'!$F$4:$F$1260, DATE(2026,8,24)+22*7+0, '02_SWEA_통합_코딩테스트_DB'!$J$4:$J$1260, "&lt;&gt;보류*") + COUNTIFS('02_SWEA_통합_코딩테스트_DB'!$G$4:$G$1260, DATE(2026,8,24)+22*7+0, '02_SWEA_통합_코딩테스트_DB'!$J$4:$J$1260, "&lt;&gt;보류*") + COUNTIFS('02_SWEA_통합_코딩테스트_DB'!$H$4:$H$1260, DATE(2026,8,24)+22*7+0, '02_SWEA_통합_코딩테스트_DB'!$J$4:$J$1260, "&lt;&gt;보류*") + COUNTIFS('02_SWEA_통합_코딩테스트_DB'!$I$4:$I$1260, DATE(2026,8,24)+22*7+0, '02_SWEA_통합_코딩테스트_DB'!$J$4:$J$1260, "&lt;&gt;보류*") + COUNTIF('03_보안기사_필기_DB'!$I$4:$M$100, DATE(2026,8,24)+22*7+0) + COUNTIF('04_보안기사_실기_DB'!$G$4:$I$30, DATE(2026,8,24)+22*7+0) + COUNTIF('08_빅분기_필기_DB'!$I$4:$K$34, DATE(2026,8,24)+22*7+0) + COUNTIF('09_빅분기_실기_DB'!$H$4:$I$25, DATE(2026,8,24)+22*7+0)</f>
        <v/>
      </c>
      <c r="Z11" s="97">
        <f>COUNTIFS('02_SWEA_통합_코딩테스트_DB'!$F$4:$F$1260, DATE(2026,8,24)+23*7+0, '02_SWEA_통합_코딩테스트_DB'!$J$4:$J$1260, "&lt;&gt;보류*") + COUNTIFS('02_SWEA_통합_코딩테스트_DB'!$G$4:$G$1260, DATE(2026,8,24)+23*7+0, '02_SWEA_통합_코딩테스트_DB'!$J$4:$J$1260, "&lt;&gt;보류*") + COUNTIFS('02_SWEA_통합_코딩테스트_DB'!$H$4:$H$1260, DATE(2026,8,24)+23*7+0, '02_SWEA_통합_코딩테스트_DB'!$J$4:$J$1260, "&lt;&gt;보류*") + COUNTIFS('02_SWEA_통합_코딩테스트_DB'!$I$4:$I$1260, DATE(2026,8,24)+23*7+0, '02_SWEA_통합_코딩테스트_DB'!$J$4:$J$1260, "&lt;&gt;보류*") + COUNTIF('03_보안기사_필기_DB'!$I$4:$M$100, DATE(2026,8,24)+23*7+0) + COUNTIF('04_보안기사_실기_DB'!$G$4:$I$30, DATE(2026,8,24)+23*7+0) + COUNTIF('08_빅분기_필기_DB'!$I$4:$K$34, DATE(2026,8,24)+23*7+0) + COUNTIF('09_빅분기_실기_DB'!$H$4:$I$25, DATE(2026,8,24)+23*7+0)</f>
        <v/>
      </c>
      <c r="AA11" s="97">
        <f>COUNTIFS('02_SWEA_통합_코딩테스트_DB'!$F$4:$F$1260, DATE(2026,8,24)+24*7+0, '02_SWEA_통합_코딩테스트_DB'!$J$4:$J$1260, "&lt;&gt;보류*") + COUNTIFS('02_SWEA_통합_코딩테스트_DB'!$G$4:$G$1260, DATE(2026,8,24)+24*7+0, '02_SWEA_통합_코딩테스트_DB'!$J$4:$J$1260, "&lt;&gt;보류*") + COUNTIFS('02_SWEA_통합_코딩테스트_DB'!$H$4:$H$1260, DATE(2026,8,24)+24*7+0, '02_SWEA_통합_코딩테스트_DB'!$J$4:$J$1260, "&lt;&gt;보류*") + COUNTIFS('02_SWEA_통합_코딩테스트_DB'!$I$4:$I$1260, DATE(2026,8,24)+24*7+0, '02_SWEA_통합_코딩테스트_DB'!$J$4:$J$1260, "&lt;&gt;보류*") + COUNTIF('03_보안기사_필기_DB'!$I$4:$M$100, DATE(2026,8,24)+24*7+0) + COUNTIF('04_보안기사_실기_DB'!$G$4:$I$30, DATE(2026,8,24)+24*7+0) + COUNTIF('08_빅분기_필기_DB'!$I$4:$K$34, DATE(2026,8,24)+24*7+0) + COUNTIF('09_빅분기_실기_DB'!$H$4:$I$25, DATE(2026,8,24)+24*7+0)</f>
        <v/>
      </c>
      <c r="AB11" s="97">
        <f>COUNTIFS('02_SWEA_통합_코딩테스트_DB'!$F$4:$F$1260, DATE(2026,8,24)+25*7+0, '02_SWEA_통합_코딩테스트_DB'!$J$4:$J$1260, "&lt;&gt;보류*") + COUNTIFS('02_SWEA_통합_코딩테스트_DB'!$G$4:$G$1260, DATE(2026,8,24)+25*7+0, '02_SWEA_통합_코딩테스트_DB'!$J$4:$J$1260, "&lt;&gt;보류*") + COUNTIFS('02_SWEA_통합_코딩테스트_DB'!$H$4:$H$1260, DATE(2026,8,24)+25*7+0, '02_SWEA_통합_코딩테스트_DB'!$J$4:$J$1260, "&lt;&gt;보류*") + COUNTIFS('02_SWEA_통합_코딩테스트_DB'!$I$4:$I$1260, DATE(2026,8,24)+25*7+0, '02_SWEA_통합_코딩테스트_DB'!$J$4:$J$1260, "&lt;&gt;보류*") + COUNTIF('03_보안기사_필기_DB'!$I$4:$M$100, DATE(2026,8,24)+25*7+0) + COUNTIF('04_보안기사_실기_DB'!$G$4:$I$30, DATE(2026,8,24)+25*7+0) + COUNTIF('08_빅분기_필기_DB'!$I$4:$K$34, DATE(2026,8,24)+25*7+0) + COUNTIF('09_빅분기_실기_DB'!$H$4:$I$25, DATE(2026,8,24)+25*7+0)</f>
        <v/>
      </c>
      <c r="AC11" s="97">
        <f>COUNTIFS('02_SWEA_통합_코딩테스트_DB'!$F$4:$F$1260, DATE(2026,8,24)+26*7+0, '02_SWEA_통합_코딩테스트_DB'!$J$4:$J$1260, "&lt;&gt;보류*") + COUNTIFS('02_SWEA_통합_코딩테스트_DB'!$G$4:$G$1260, DATE(2026,8,24)+26*7+0, '02_SWEA_통합_코딩테스트_DB'!$J$4:$J$1260, "&lt;&gt;보류*") + COUNTIFS('02_SWEA_통합_코딩테스트_DB'!$H$4:$H$1260, DATE(2026,8,24)+26*7+0, '02_SWEA_통합_코딩테스트_DB'!$J$4:$J$1260, "&lt;&gt;보류*") + COUNTIFS('02_SWEA_통합_코딩테스트_DB'!$I$4:$I$1260, DATE(2026,8,24)+26*7+0, '02_SWEA_통합_코딩테스트_DB'!$J$4:$J$1260, "&lt;&gt;보류*") + COUNTIF('03_보안기사_필기_DB'!$I$4:$M$100, DATE(2026,8,24)+26*7+0) + COUNTIF('04_보안기사_실기_DB'!$G$4:$I$30, DATE(2026,8,24)+26*7+0) + COUNTIF('08_빅분기_필기_DB'!$I$4:$K$34, DATE(2026,8,24)+26*7+0) + COUNTIF('09_빅분기_실기_DB'!$H$4:$I$25, DATE(2026,8,24)+26*7+0)</f>
        <v/>
      </c>
      <c r="AD11" s="97">
        <f>COUNTIFS('02_SWEA_통합_코딩테스트_DB'!$F$4:$F$1260, DATE(2026,8,24)+27*7+0, '02_SWEA_통합_코딩테스트_DB'!$J$4:$J$1260, "&lt;&gt;보류*") + COUNTIFS('02_SWEA_통합_코딩테스트_DB'!$G$4:$G$1260, DATE(2026,8,24)+27*7+0, '02_SWEA_통합_코딩테스트_DB'!$J$4:$J$1260, "&lt;&gt;보류*") + COUNTIFS('02_SWEA_통합_코딩테스트_DB'!$H$4:$H$1260, DATE(2026,8,24)+27*7+0, '02_SWEA_통합_코딩테스트_DB'!$J$4:$J$1260, "&lt;&gt;보류*") + COUNTIFS('02_SWEA_통합_코딩테스트_DB'!$I$4:$I$1260, DATE(2026,8,24)+27*7+0, '02_SWEA_통합_코딩테스트_DB'!$J$4:$J$1260, "&lt;&gt;보류*") + COUNTIF('03_보안기사_필기_DB'!$I$4:$M$100, DATE(2026,8,24)+27*7+0) + COUNTIF('04_보안기사_실기_DB'!$G$4:$I$30, DATE(2026,8,24)+27*7+0) + COUNTIF('08_빅분기_필기_DB'!$I$4:$K$34, DATE(2026,8,24)+27*7+0) + COUNTIF('09_빅분기_실기_DB'!$H$4:$I$25, DATE(2026,8,24)+27*7+0)</f>
        <v/>
      </c>
      <c r="AE11" s="97">
        <f>COUNTIFS('02_SWEA_통합_코딩테스트_DB'!$F$4:$F$1260, DATE(2026,8,24)+28*7+0, '02_SWEA_통합_코딩테스트_DB'!$J$4:$J$1260, "&lt;&gt;보류*") + COUNTIFS('02_SWEA_통합_코딩테스트_DB'!$G$4:$G$1260, DATE(2026,8,24)+28*7+0, '02_SWEA_통합_코딩테스트_DB'!$J$4:$J$1260, "&lt;&gt;보류*") + COUNTIFS('02_SWEA_통합_코딩테스트_DB'!$H$4:$H$1260, DATE(2026,8,24)+28*7+0, '02_SWEA_통합_코딩테스트_DB'!$J$4:$J$1260, "&lt;&gt;보류*") + COUNTIFS('02_SWEA_통합_코딩테스트_DB'!$I$4:$I$1260, DATE(2026,8,24)+28*7+0, '02_SWEA_통합_코딩테스트_DB'!$J$4:$J$1260, "&lt;&gt;보류*") + COUNTIF('03_보안기사_필기_DB'!$I$4:$M$100, DATE(2026,8,24)+28*7+0) + COUNTIF('04_보안기사_실기_DB'!$G$4:$I$30, DATE(2026,8,24)+28*7+0) + COUNTIF('08_빅분기_필기_DB'!$I$4:$K$34, DATE(2026,8,24)+28*7+0) + COUNTIF('09_빅분기_실기_DB'!$H$4:$I$25, DATE(2026,8,24)+28*7+0)</f>
        <v/>
      </c>
      <c r="AF11" s="97">
        <f>COUNTIFS('02_SWEA_통합_코딩테스트_DB'!$F$4:$F$1260, DATE(2026,8,24)+29*7+0, '02_SWEA_통합_코딩테스트_DB'!$J$4:$J$1260, "&lt;&gt;보류*") + COUNTIFS('02_SWEA_통합_코딩테스트_DB'!$G$4:$G$1260, DATE(2026,8,24)+29*7+0, '02_SWEA_통합_코딩테스트_DB'!$J$4:$J$1260, "&lt;&gt;보류*") + COUNTIFS('02_SWEA_통합_코딩테스트_DB'!$H$4:$H$1260, DATE(2026,8,24)+29*7+0, '02_SWEA_통합_코딩테스트_DB'!$J$4:$J$1260, "&lt;&gt;보류*") + COUNTIFS('02_SWEA_통합_코딩테스트_DB'!$I$4:$I$1260, DATE(2026,8,24)+29*7+0, '02_SWEA_통합_코딩테스트_DB'!$J$4:$J$1260, "&lt;&gt;보류*") + COUNTIF('03_보안기사_필기_DB'!$I$4:$M$100, DATE(2026,8,24)+29*7+0) + COUNTIF('04_보안기사_실기_DB'!$G$4:$I$30, DATE(2026,8,24)+29*7+0) + COUNTIF('08_빅분기_필기_DB'!$I$4:$K$34, DATE(2026,8,24)+29*7+0) + COUNTIF('09_빅분기_실기_DB'!$H$4:$I$25, DATE(2026,8,24)+29*7+0)</f>
        <v/>
      </c>
      <c r="AG11" s="97">
        <f>COUNTIFS('02_SWEA_통합_코딩테스트_DB'!$F$4:$F$1260, DATE(2026,8,24)+30*7+0, '02_SWEA_통합_코딩테스트_DB'!$J$4:$J$1260, "&lt;&gt;보류*") + COUNTIFS('02_SWEA_통합_코딩테스트_DB'!$G$4:$G$1260, DATE(2026,8,24)+30*7+0, '02_SWEA_통합_코딩테스트_DB'!$J$4:$J$1260, "&lt;&gt;보류*") + COUNTIFS('02_SWEA_통합_코딩테스트_DB'!$H$4:$H$1260, DATE(2026,8,24)+30*7+0, '02_SWEA_통합_코딩테스트_DB'!$J$4:$J$1260, "&lt;&gt;보류*") + COUNTIFS('02_SWEA_통합_코딩테스트_DB'!$I$4:$I$1260, DATE(2026,8,24)+30*7+0, '02_SWEA_통합_코딩테스트_DB'!$J$4:$J$1260, "&lt;&gt;보류*") + COUNTIF('03_보안기사_필기_DB'!$I$4:$M$100, DATE(2026,8,24)+30*7+0) + COUNTIF('04_보안기사_실기_DB'!$G$4:$I$30, DATE(2026,8,24)+30*7+0) + COUNTIF('08_빅분기_필기_DB'!$I$4:$K$34, DATE(2026,8,24)+30*7+0) + COUNTIF('09_빅분기_실기_DB'!$H$4:$I$25, DATE(2026,8,24)+30*7+0)</f>
        <v/>
      </c>
      <c r="AH11" s="97">
        <f>COUNTIFS('02_SWEA_통합_코딩테스트_DB'!$F$4:$F$1260, DATE(2026,8,24)+31*7+0, '02_SWEA_통합_코딩테스트_DB'!$J$4:$J$1260, "&lt;&gt;보류*") + COUNTIFS('02_SWEA_통합_코딩테스트_DB'!$G$4:$G$1260, DATE(2026,8,24)+31*7+0, '02_SWEA_통합_코딩테스트_DB'!$J$4:$J$1260, "&lt;&gt;보류*") + COUNTIFS('02_SWEA_통합_코딩테스트_DB'!$H$4:$H$1260, DATE(2026,8,24)+31*7+0, '02_SWEA_통합_코딩테스트_DB'!$J$4:$J$1260, "&lt;&gt;보류*") + COUNTIFS('02_SWEA_통합_코딩테스트_DB'!$I$4:$I$1260, DATE(2026,8,24)+31*7+0, '02_SWEA_통합_코딩테스트_DB'!$J$4:$J$1260, "&lt;&gt;보류*") + COUNTIF('03_보안기사_필기_DB'!$I$4:$M$100, DATE(2026,8,24)+31*7+0) + COUNTIF('04_보안기사_실기_DB'!$G$4:$I$30, DATE(2026,8,24)+31*7+0) + COUNTIF('08_빅분기_필기_DB'!$I$4:$K$34, DATE(2026,8,24)+31*7+0) + COUNTIF('09_빅분기_실기_DB'!$H$4:$I$25, DATE(2026,8,24)+31*7+0)</f>
        <v/>
      </c>
      <c r="AI11" s="97">
        <f>COUNTIFS('02_SWEA_통합_코딩테스트_DB'!$F$4:$F$1260, DATE(2026,8,24)+32*7+0, '02_SWEA_통합_코딩테스트_DB'!$J$4:$J$1260, "&lt;&gt;보류*") + COUNTIFS('02_SWEA_통합_코딩테스트_DB'!$G$4:$G$1260, DATE(2026,8,24)+32*7+0, '02_SWEA_통합_코딩테스트_DB'!$J$4:$J$1260, "&lt;&gt;보류*") + COUNTIFS('02_SWEA_통합_코딩테스트_DB'!$H$4:$H$1260, DATE(2026,8,24)+32*7+0, '02_SWEA_통합_코딩테스트_DB'!$J$4:$J$1260, "&lt;&gt;보류*") + COUNTIFS('02_SWEA_통합_코딩테스트_DB'!$I$4:$I$1260, DATE(2026,8,24)+32*7+0, '02_SWEA_통합_코딩테스트_DB'!$J$4:$J$1260, "&lt;&gt;보류*") + COUNTIF('03_보안기사_필기_DB'!$I$4:$M$100, DATE(2026,8,24)+32*7+0) + COUNTIF('04_보안기사_실기_DB'!$G$4:$I$30, DATE(2026,8,24)+32*7+0) + COUNTIF('08_빅분기_필기_DB'!$I$4:$K$34, DATE(2026,8,24)+32*7+0) + COUNTIF('09_빅분기_실기_DB'!$H$4:$I$25, DATE(2026,8,24)+32*7+0)</f>
        <v/>
      </c>
      <c r="AJ11" s="97">
        <f>COUNTIFS('02_SWEA_통합_코딩테스트_DB'!$F$4:$F$1260, DATE(2026,8,24)+33*7+0, '02_SWEA_통합_코딩테스트_DB'!$J$4:$J$1260, "&lt;&gt;보류*") + COUNTIFS('02_SWEA_통합_코딩테스트_DB'!$G$4:$G$1260, DATE(2026,8,24)+33*7+0, '02_SWEA_통합_코딩테스트_DB'!$J$4:$J$1260, "&lt;&gt;보류*") + COUNTIFS('02_SWEA_통합_코딩테스트_DB'!$H$4:$H$1260, DATE(2026,8,24)+33*7+0, '02_SWEA_통합_코딩테스트_DB'!$J$4:$J$1260, "&lt;&gt;보류*") + COUNTIFS('02_SWEA_통합_코딩테스트_DB'!$I$4:$I$1260, DATE(2026,8,24)+33*7+0, '02_SWEA_통합_코딩테스트_DB'!$J$4:$J$1260, "&lt;&gt;보류*") + COUNTIF('03_보안기사_필기_DB'!$I$4:$M$100, DATE(2026,8,24)+33*7+0) + COUNTIF('04_보안기사_실기_DB'!$G$4:$I$30, DATE(2026,8,24)+33*7+0) + COUNTIF('08_빅분기_필기_DB'!$I$4:$K$34, DATE(2026,8,24)+33*7+0) + COUNTIF('09_빅분기_실기_DB'!$H$4:$I$25, DATE(2026,8,24)+33*7+0)</f>
        <v/>
      </c>
      <c r="AK11" s="97">
        <f>COUNTIFS('02_SWEA_통합_코딩테스트_DB'!$F$4:$F$1260, DATE(2026,8,24)+34*7+0, '02_SWEA_통합_코딩테스트_DB'!$J$4:$J$1260, "&lt;&gt;보류*") + COUNTIFS('02_SWEA_통합_코딩테스트_DB'!$G$4:$G$1260, DATE(2026,8,24)+34*7+0, '02_SWEA_통합_코딩테스트_DB'!$J$4:$J$1260, "&lt;&gt;보류*") + COUNTIFS('02_SWEA_통합_코딩테스트_DB'!$H$4:$H$1260, DATE(2026,8,24)+34*7+0, '02_SWEA_통합_코딩테스트_DB'!$J$4:$J$1260, "&lt;&gt;보류*") + COUNTIFS('02_SWEA_통합_코딩테스트_DB'!$I$4:$I$1260, DATE(2026,8,24)+34*7+0, '02_SWEA_통합_코딩테스트_DB'!$J$4:$J$1260, "&lt;&gt;보류*") + COUNTIF('03_보안기사_필기_DB'!$I$4:$M$100, DATE(2026,8,24)+34*7+0) + COUNTIF('04_보안기사_실기_DB'!$G$4:$I$30, DATE(2026,8,24)+34*7+0) + COUNTIF('08_빅분기_필기_DB'!$I$4:$K$34, DATE(2026,8,24)+34*7+0) + COUNTIF('09_빅분기_실기_DB'!$H$4:$I$25, DATE(2026,8,24)+34*7+0)</f>
        <v/>
      </c>
      <c r="AL11" s="97">
        <f>COUNTIFS('02_SWEA_통합_코딩테스트_DB'!$F$4:$F$1260, DATE(2026,8,24)+35*7+0, '02_SWEA_통합_코딩테스트_DB'!$J$4:$J$1260, "&lt;&gt;보류*") + COUNTIFS('02_SWEA_통합_코딩테스트_DB'!$G$4:$G$1260, DATE(2026,8,24)+35*7+0, '02_SWEA_통합_코딩테스트_DB'!$J$4:$J$1260, "&lt;&gt;보류*") + COUNTIFS('02_SWEA_통합_코딩테스트_DB'!$H$4:$H$1260, DATE(2026,8,24)+35*7+0, '02_SWEA_통합_코딩테스트_DB'!$J$4:$J$1260, "&lt;&gt;보류*") + COUNTIFS('02_SWEA_통합_코딩테스트_DB'!$I$4:$I$1260, DATE(2026,8,24)+35*7+0, '02_SWEA_통합_코딩테스트_DB'!$J$4:$J$1260, "&lt;&gt;보류*") + COUNTIF('03_보안기사_필기_DB'!$I$4:$M$100, DATE(2026,8,24)+35*7+0) + COUNTIF('04_보안기사_실기_DB'!$G$4:$I$30, DATE(2026,8,24)+35*7+0) + COUNTIF('08_빅분기_필기_DB'!$I$4:$K$34, DATE(2026,8,24)+35*7+0) + COUNTIF('09_빅분기_실기_DB'!$H$4:$I$25, DATE(2026,8,24)+35*7+0)</f>
        <v/>
      </c>
      <c r="AM11" s="97">
        <f>COUNTIFS('02_SWEA_통합_코딩테스트_DB'!$F$4:$F$1260, DATE(2026,8,24)+36*7+0, '02_SWEA_통합_코딩테스트_DB'!$J$4:$J$1260, "&lt;&gt;보류*") + COUNTIFS('02_SWEA_통합_코딩테스트_DB'!$G$4:$G$1260, DATE(2026,8,24)+36*7+0, '02_SWEA_통합_코딩테스트_DB'!$J$4:$J$1260, "&lt;&gt;보류*") + COUNTIFS('02_SWEA_통합_코딩테스트_DB'!$H$4:$H$1260, DATE(2026,8,24)+36*7+0, '02_SWEA_통합_코딩테스트_DB'!$J$4:$J$1260, "&lt;&gt;보류*") + COUNTIFS('02_SWEA_통합_코딩테스트_DB'!$I$4:$I$1260, DATE(2026,8,24)+36*7+0, '02_SWEA_통합_코딩테스트_DB'!$J$4:$J$1260, "&lt;&gt;보류*") + COUNTIF('03_보안기사_필기_DB'!$I$4:$M$100, DATE(2026,8,24)+36*7+0) + COUNTIF('04_보안기사_실기_DB'!$G$4:$I$30, DATE(2026,8,24)+36*7+0) + COUNTIF('08_빅분기_필기_DB'!$I$4:$K$34, DATE(2026,8,24)+36*7+0) + COUNTIF('09_빅분기_실기_DB'!$H$4:$I$25, DATE(2026,8,24)+36*7+0)</f>
        <v/>
      </c>
      <c r="AN11" s="97">
        <f>COUNTIFS('02_SWEA_통합_코딩테스트_DB'!$F$4:$F$1260, DATE(2026,8,24)+37*7+0, '02_SWEA_통합_코딩테스트_DB'!$J$4:$J$1260, "&lt;&gt;보류*") + COUNTIFS('02_SWEA_통합_코딩테스트_DB'!$G$4:$G$1260, DATE(2026,8,24)+37*7+0, '02_SWEA_통합_코딩테스트_DB'!$J$4:$J$1260, "&lt;&gt;보류*") + COUNTIFS('02_SWEA_통합_코딩테스트_DB'!$H$4:$H$1260, DATE(2026,8,24)+37*7+0, '02_SWEA_통합_코딩테스트_DB'!$J$4:$J$1260, "&lt;&gt;보류*") + COUNTIFS('02_SWEA_통합_코딩테스트_DB'!$I$4:$I$1260, DATE(2026,8,24)+37*7+0, '02_SWEA_통합_코딩테스트_DB'!$J$4:$J$1260, "&lt;&gt;보류*") + COUNTIF('03_보안기사_필기_DB'!$I$4:$M$100, DATE(2026,8,24)+37*7+0) + COUNTIF('04_보안기사_실기_DB'!$G$4:$I$30, DATE(2026,8,24)+37*7+0) + COUNTIF('08_빅분기_필기_DB'!$I$4:$K$34, DATE(2026,8,24)+37*7+0) + COUNTIF('09_빅분기_실기_DB'!$H$4:$I$25, DATE(2026,8,24)+37*7+0)</f>
        <v/>
      </c>
      <c r="AO11" s="97">
        <f>COUNTIFS('02_SWEA_통합_코딩테스트_DB'!$F$4:$F$1260, DATE(2026,8,24)+38*7+0, '02_SWEA_통합_코딩테스트_DB'!$J$4:$J$1260, "&lt;&gt;보류*") + COUNTIFS('02_SWEA_통합_코딩테스트_DB'!$G$4:$G$1260, DATE(2026,8,24)+38*7+0, '02_SWEA_통합_코딩테스트_DB'!$J$4:$J$1260, "&lt;&gt;보류*") + COUNTIFS('02_SWEA_통합_코딩테스트_DB'!$H$4:$H$1260, DATE(2026,8,24)+38*7+0, '02_SWEA_통합_코딩테스트_DB'!$J$4:$J$1260, "&lt;&gt;보류*") + COUNTIFS('02_SWEA_통합_코딩테스트_DB'!$I$4:$I$1260, DATE(2026,8,24)+38*7+0, '02_SWEA_통합_코딩테스트_DB'!$J$4:$J$1260, "&lt;&gt;보류*") + COUNTIF('03_보안기사_필기_DB'!$I$4:$M$100, DATE(2026,8,24)+38*7+0) + COUNTIF('04_보안기사_실기_DB'!$G$4:$I$30, DATE(2026,8,24)+38*7+0) + COUNTIF('08_빅분기_필기_DB'!$I$4:$K$34, DATE(2026,8,24)+38*7+0) + COUNTIF('09_빅분기_실기_DB'!$H$4:$I$25, DATE(2026,8,24)+38*7+0)</f>
        <v/>
      </c>
      <c r="AP11" s="97">
        <f>COUNTIFS('02_SWEA_통합_코딩테스트_DB'!$F$4:$F$1260, DATE(2026,8,24)+39*7+0, '02_SWEA_통합_코딩테스트_DB'!$J$4:$J$1260, "&lt;&gt;보류*") + COUNTIFS('02_SWEA_통합_코딩테스트_DB'!$G$4:$G$1260, DATE(2026,8,24)+39*7+0, '02_SWEA_통합_코딩테스트_DB'!$J$4:$J$1260, "&lt;&gt;보류*") + COUNTIFS('02_SWEA_통합_코딩테스트_DB'!$H$4:$H$1260, DATE(2026,8,24)+39*7+0, '02_SWEA_통합_코딩테스트_DB'!$J$4:$J$1260, "&lt;&gt;보류*") + COUNTIFS('02_SWEA_통합_코딩테스트_DB'!$I$4:$I$1260, DATE(2026,8,24)+39*7+0, '02_SWEA_통합_코딩테스트_DB'!$J$4:$J$1260, "&lt;&gt;보류*") + COUNTIF('03_보안기사_필기_DB'!$I$4:$M$100, DATE(2026,8,24)+39*7+0) + COUNTIF('04_보안기사_실기_DB'!$G$4:$I$30, DATE(2026,8,24)+39*7+0) + COUNTIF('08_빅분기_필기_DB'!$I$4:$K$34, DATE(2026,8,24)+39*7+0) + COUNTIF('09_빅분기_실기_DB'!$H$4:$I$25, DATE(2026,8,24)+39*7+0)</f>
        <v/>
      </c>
      <c r="AQ11" s="97">
        <f>COUNTIFS('02_SWEA_통합_코딩테스트_DB'!$F$4:$F$1260, DATE(2026,8,24)+40*7+0, '02_SWEA_통합_코딩테스트_DB'!$J$4:$J$1260, "&lt;&gt;보류*") + COUNTIFS('02_SWEA_통합_코딩테스트_DB'!$G$4:$G$1260, DATE(2026,8,24)+40*7+0, '02_SWEA_통합_코딩테스트_DB'!$J$4:$J$1260, "&lt;&gt;보류*") + COUNTIFS('02_SWEA_통합_코딩테스트_DB'!$H$4:$H$1260, DATE(2026,8,24)+40*7+0, '02_SWEA_통합_코딩테스트_DB'!$J$4:$J$1260, "&lt;&gt;보류*") + COUNTIFS('02_SWEA_통합_코딩테스트_DB'!$I$4:$I$1260, DATE(2026,8,24)+40*7+0, '02_SWEA_통합_코딩테스트_DB'!$J$4:$J$1260, "&lt;&gt;보류*") + COUNTIF('03_보안기사_필기_DB'!$I$4:$M$100, DATE(2026,8,24)+40*7+0) + COUNTIF('04_보안기사_실기_DB'!$G$4:$I$30, DATE(2026,8,24)+40*7+0) + COUNTIF('08_빅분기_필기_DB'!$I$4:$K$34, DATE(2026,8,24)+40*7+0) + COUNTIF('09_빅분기_실기_DB'!$H$4:$I$25, DATE(2026,8,24)+40*7+0)</f>
        <v/>
      </c>
      <c r="AR11" s="97">
        <f>COUNTIFS('02_SWEA_통합_코딩테스트_DB'!$F$4:$F$1260, DATE(2026,8,24)+41*7+0, '02_SWEA_통합_코딩테스트_DB'!$J$4:$J$1260, "&lt;&gt;보류*") + COUNTIFS('02_SWEA_통합_코딩테스트_DB'!$G$4:$G$1260, DATE(2026,8,24)+41*7+0, '02_SWEA_통합_코딩테스트_DB'!$J$4:$J$1260, "&lt;&gt;보류*") + COUNTIFS('02_SWEA_통합_코딩테스트_DB'!$H$4:$H$1260, DATE(2026,8,24)+41*7+0, '02_SWEA_통합_코딩테스트_DB'!$J$4:$J$1260, "&lt;&gt;보류*") + COUNTIFS('02_SWEA_통합_코딩테스트_DB'!$I$4:$I$1260, DATE(2026,8,24)+41*7+0, '02_SWEA_통합_코딩테스트_DB'!$J$4:$J$1260, "&lt;&gt;보류*") + COUNTIF('03_보안기사_필기_DB'!$I$4:$M$100, DATE(2026,8,24)+41*7+0) + COUNTIF('04_보안기사_실기_DB'!$G$4:$I$30, DATE(2026,8,24)+41*7+0) + COUNTIF('08_빅분기_필기_DB'!$I$4:$K$34, DATE(2026,8,24)+41*7+0) + COUNTIF('09_빅분기_실기_DB'!$H$4:$I$25, DATE(2026,8,24)+41*7+0)</f>
        <v/>
      </c>
      <c r="AS11" s="97">
        <f>COUNTIFS('02_SWEA_통합_코딩테스트_DB'!$F$4:$F$1260, DATE(2026,8,24)+42*7+0, '02_SWEA_통합_코딩테스트_DB'!$J$4:$J$1260, "&lt;&gt;보류*") + COUNTIFS('02_SWEA_통합_코딩테스트_DB'!$G$4:$G$1260, DATE(2026,8,24)+42*7+0, '02_SWEA_통합_코딩테스트_DB'!$J$4:$J$1260, "&lt;&gt;보류*") + COUNTIFS('02_SWEA_통합_코딩테스트_DB'!$H$4:$H$1260, DATE(2026,8,24)+42*7+0, '02_SWEA_통합_코딩테스트_DB'!$J$4:$J$1260, "&lt;&gt;보류*") + COUNTIFS('02_SWEA_통합_코딩테스트_DB'!$I$4:$I$1260, DATE(2026,8,24)+42*7+0, '02_SWEA_통합_코딩테스트_DB'!$J$4:$J$1260, "&lt;&gt;보류*") + COUNTIF('03_보안기사_필기_DB'!$I$4:$M$100, DATE(2026,8,24)+42*7+0) + COUNTIF('04_보안기사_실기_DB'!$G$4:$I$30, DATE(2026,8,24)+42*7+0) + COUNTIF('08_빅분기_필기_DB'!$I$4:$K$34, DATE(2026,8,24)+42*7+0) + COUNTIF('09_빅분기_실기_DB'!$H$4:$I$25, DATE(2026,8,24)+42*7+0)</f>
        <v/>
      </c>
      <c r="AT11" s="97">
        <f>COUNTIFS('02_SWEA_통합_코딩테스트_DB'!$F$4:$F$1260, DATE(2026,8,24)+43*7+0, '02_SWEA_통합_코딩테스트_DB'!$J$4:$J$1260, "&lt;&gt;보류*") + COUNTIFS('02_SWEA_통합_코딩테스트_DB'!$G$4:$G$1260, DATE(2026,8,24)+43*7+0, '02_SWEA_통합_코딩테스트_DB'!$J$4:$J$1260, "&lt;&gt;보류*") + COUNTIFS('02_SWEA_통합_코딩테스트_DB'!$H$4:$H$1260, DATE(2026,8,24)+43*7+0, '02_SWEA_통합_코딩테스트_DB'!$J$4:$J$1260, "&lt;&gt;보류*") + COUNTIFS('02_SWEA_통합_코딩테스트_DB'!$I$4:$I$1260, DATE(2026,8,24)+43*7+0, '02_SWEA_통합_코딩테스트_DB'!$J$4:$J$1260, "&lt;&gt;보류*") + COUNTIF('03_보안기사_필기_DB'!$I$4:$M$100, DATE(2026,8,24)+43*7+0) + COUNTIF('04_보안기사_실기_DB'!$G$4:$I$30, DATE(2026,8,24)+43*7+0) + COUNTIF('08_빅분기_필기_DB'!$I$4:$K$34, DATE(2026,8,24)+43*7+0) + COUNTIF('09_빅분기_실기_DB'!$H$4:$I$25, DATE(2026,8,24)+43*7+0)</f>
        <v/>
      </c>
      <c r="AU11" s="97">
        <f>COUNTIFS('02_SWEA_통합_코딩테스트_DB'!$F$4:$F$1260, DATE(2026,8,24)+44*7+0, '02_SWEA_통합_코딩테스트_DB'!$J$4:$J$1260, "&lt;&gt;보류*") + COUNTIFS('02_SWEA_통합_코딩테스트_DB'!$G$4:$G$1260, DATE(2026,8,24)+44*7+0, '02_SWEA_통합_코딩테스트_DB'!$J$4:$J$1260, "&lt;&gt;보류*") + COUNTIFS('02_SWEA_통합_코딩테스트_DB'!$H$4:$H$1260, DATE(2026,8,24)+44*7+0, '02_SWEA_통합_코딩테스트_DB'!$J$4:$J$1260, "&lt;&gt;보류*") + COUNTIFS('02_SWEA_통합_코딩테스트_DB'!$I$4:$I$1260, DATE(2026,8,24)+44*7+0, '02_SWEA_통합_코딩테스트_DB'!$J$4:$J$1260, "&lt;&gt;보류*") + COUNTIF('03_보안기사_필기_DB'!$I$4:$M$100, DATE(2026,8,24)+44*7+0) + COUNTIF('04_보안기사_실기_DB'!$G$4:$I$30, DATE(2026,8,24)+44*7+0) + COUNTIF('08_빅분기_필기_DB'!$I$4:$K$34, DATE(2026,8,24)+44*7+0) + COUNTIF('09_빅분기_실기_DB'!$H$4:$I$25, DATE(2026,8,24)+44*7+0)</f>
        <v/>
      </c>
      <c r="AV11" s="97">
        <f>COUNTIFS('02_SWEA_통합_코딩테스트_DB'!$F$4:$F$1260, DATE(2026,8,24)+45*7+0, '02_SWEA_통합_코딩테스트_DB'!$J$4:$J$1260, "&lt;&gt;보류*") + COUNTIFS('02_SWEA_통합_코딩테스트_DB'!$G$4:$G$1260, DATE(2026,8,24)+45*7+0, '02_SWEA_통합_코딩테스트_DB'!$J$4:$J$1260, "&lt;&gt;보류*") + COUNTIFS('02_SWEA_통합_코딩테스트_DB'!$H$4:$H$1260, DATE(2026,8,24)+45*7+0, '02_SWEA_통합_코딩테스트_DB'!$J$4:$J$1260, "&lt;&gt;보류*") + COUNTIFS('02_SWEA_통합_코딩테스트_DB'!$I$4:$I$1260, DATE(2026,8,24)+45*7+0, '02_SWEA_통합_코딩테스트_DB'!$J$4:$J$1260, "&lt;&gt;보류*") + COUNTIF('03_보안기사_필기_DB'!$I$4:$M$100, DATE(2026,8,24)+45*7+0) + COUNTIF('04_보안기사_실기_DB'!$G$4:$I$30, DATE(2026,8,24)+45*7+0) + COUNTIF('08_빅분기_필기_DB'!$I$4:$K$34, DATE(2026,8,24)+45*7+0) + COUNTIF('09_빅분기_실기_DB'!$H$4:$I$25, DATE(2026,8,24)+45*7+0)</f>
        <v/>
      </c>
      <c r="AW11" s="97">
        <f>COUNTIFS('02_SWEA_통합_코딩테스트_DB'!$F$4:$F$1260, DATE(2026,8,24)+46*7+0, '02_SWEA_통합_코딩테스트_DB'!$J$4:$J$1260, "&lt;&gt;보류*") + COUNTIFS('02_SWEA_통합_코딩테스트_DB'!$G$4:$G$1260, DATE(2026,8,24)+46*7+0, '02_SWEA_통합_코딩테스트_DB'!$J$4:$J$1260, "&lt;&gt;보류*") + COUNTIFS('02_SWEA_통합_코딩테스트_DB'!$H$4:$H$1260, DATE(2026,8,24)+46*7+0, '02_SWEA_통합_코딩테스트_DB'!$J$4:$J$1260, "&lt;&gt;보류*") + COUNTIFS('02_SWEA_통합_코딩테스트_DB'!$I$4:$I$1260, DATE(2026,8,24)+46*7+0, '02_SWEA_통합_코딩테스트_DB'!$J$4:$J$1260, "&lt;&gt;보류*") + COUNTIF('03_보안기사_필기_DB'!$I$4:$M$100, DATE(2026,8,24)+46*7+0) + COUNTIF('04_보안기사_실기_DB'!$G$4:$I$30, DATE(2026,8,24)+46*7+0) + COUNTIF('08_빅분기_필기_DB'!$I$4:$K$34, DATE(2026,8,24)+46*7+0) + COUNTIF('09_빅분기_실기_DB'!$H$4:$I$25, DATE(2026,8,24)+46*7+0)</f>
        <v/>
      </c>
      <c r="AX11" s="97">
        <f>COUNTIFS('02_SWEA_통합_코딩테스트_DB'!$F$4:$F$1260, DATE(2026,8,24)+47*7+0, '02_SWEA_통합_코딩테스트_DB'!$J$4:$J$1260, "&lt;&gt;보류*") + COUNTIFS('02_SWEA_통합_코딩테스트_DB'!$G$4:$G$1260, DATE(2026,8,24)+47*7+0, '02_SWEA_통합_코딩테스트_DB'!$J$4:$J$1260, "&lt;&gt;보류*") + COUNTIFS('02_SWEA_통합_코딩테스트_DB'!$H$4:$H$1260, DATE(2026,8,24)+47*7+0, '02_SWEA_통합_코딩테스트_DB'!$J$4:$J$1260, "&lt;&gt;보류*") + COUNTIFS('02_SWEA_통합_코딩테스트_DB'!$I$4:$I$1260, DATE(2026,8,24)+47*7+0, '02_SWEA_통합_코딩테스트_DB'!$J$4:$J$1260, "&lt;&gt;보류*") + COUNTIF('03_보안기사_필기_DB'!$I$4:$M$100, DATE(2026,8,24)+47*7+0) + COUNTIF('04_보안기사_실기_DB'!$G$4:$I$30, DATE(2026,8,24)+47*7+0) + COUNTIF('08_빅분기_필기_DB'!$I$4:$K$34, DATE(2026,8,24)+47*7+0) + COUNTIF('09_빅분기_실기_DB'!$H$4:$I$25, DATE(2026,8,24)+47*7+0)</f>
        <v/>
      </c>
      <c r="AY11" s="97">
        <f>COUNTIFS('02_SWEA_통합_코딩테스트_DB'!$F$4:$F$1260, DATE(2026,8,24)+48*7+0, '02_SWEA_통합_코딩테스트_DB'!$J$4:$J$1260, "&lt;&gt;보류*") + COUNTIFS('02_SWEA_통합_코딩테스트_DB'!$G$4:$G$1260, DATE(2026,8,24)+48*7+0, '02_SWEA_통합_코딩테스트_DB'!$J$4:$J$1260, "&lt;&gt;보류*") + COUNTIFS('02_SWEA_통합_코딩테스트_DB'!$H$4:$H$1260, DATE(2026,8,24)+48*7+0, '02_SWEA_통합_코딩테스트_DB'!$J$4:$J$1260, "&lt;&gt;보류*") + COUNTIFS('02_SWEA_통합_코딩테스트_DB'!$I$4:$I$1260, DATE(2026,8,24)+48*7+0, '02_SWEA_통합_코딩테스트_DB'!$J$4:$J$1260, "&lt;&gt;보류*") + COUNTIF('03_보안기사_필기_DB'!$I$4:$M$100, DATE(2026,8,24)+48*7+0) + COUNTIF('04_보안기사_실기_DB'!$G$4:$I$30, DATE(2026,8,24)+48*7+0) + COUNTIF('08_빅분기_필기_DB'!$I$4:$K$34, DATE(2026,8,24)+48*7+0) + COUNTIF('09_빅분기_실기_DB'!$H$4:$I$25, DATE(2026,8,24)+48*7+0)</f>
        <v/>
      </c>
      <c r="AZ11" s="97">
        <f>COUNTIFS('02_SWEA_통합_코딩테스트_DB'!$F$4:$F$1260, DATE(2026,8,24)+49*7+0, '02_SWEA_통합_코딩테스트_DB'!$J$4:$J$1260, "&lt;&gt;보류*") + COUNTIFS('02_SWEA_통합_코딩테스트_DB'!$G$4:$G$1260, DATE(2026,8,24)+49*7+0, '02_SWEA_통합_코딩테스트_DB'!$J$4:$J$1260, "&lt;&gt;보류*") + COUNTIFS('02_SWEA_통합_코딩테스트_DB'!$H$4:$H$1260, DATE(2026,8,24)+49*7+0, '02_SWEA_통합_코딩테스트_DB'!$J$4:$J$1260, "&lt;&gt;보류*") + COUNTIFS('02_SWEA_통합_코딩테스트_DB'!$I$4:$I$1260, DATE(2026,8,24)+49*7+0, '02_SWEA_통합_코딩테스트_DB'!$J$4:$J$1260, "&lt;&gt;보류*") + COUNTIF('03_보안기사_필기_DB'!$I$4:$M$100, DATE(2026,8,24)+49*7+0) + COUNTIF('04_보안기사_실기_DB'!$G$4:$I$30, DATE(2026,8,24)+49*7+0) + COUNTIF('08_빅분기_필기_DB'!$I$4:$K$34, DATE(2026,8,24)+49*7+0) + COUNTIF('09_빅분기_실기_DB'!$H$4:$I$25, DATE(2026,8,24)+49*7+0)</f>
        <v/>
      </c>
      <c r="BA11" s="97">
        <f>COUNTIFS('02_SWEA_통합_코딩테스트_DB'!$F$4:$F$1260, DATE(2026,8,24)+50*7+0, '02_SWEA_통합_코딩테스트_DB'!$J$4:$J$1260, "&lt;&gt;보류*") + COUNTIFS('02_SWEA_통합_코딩테스트_DB'!$G$4:$G$1260, DATE(2026,8,24)+50*7+0, '02_SWEA_통합_코딩테스트_DB'!$J$4:$J$1260, "&lt;&gt;보류*") + COUNTIFS('02_SWEA_통합_코딩테스트_DB'!$H$4:$H$1260, DATE(2026,8,24)+50*7+0, '02_SWEA_통합_코딩테스트_DB'!$J$4:$J$1260, "&lt;&gt;보류*") + COUNTIFS('02_SWEA_통합_코딩테스트_DB'!$I$4:$I$1260, DATE(2026,8,24)+50*7+0, '02_SWEA_통합_코딩테스트_DB'!$J$4:$J$1260, "&lt;&gt;보류*") + COUNTIF('03_보안기사_필기_DB'!$I$4:$M$100, DATE(2026,8,24)+50*7+0) + COUNTIF('04_보안기사_실기_DB'!$G$4:$I$30, DATE(2026,8,24)+50*7+0) + COUNTIF('08_빅분기_필기_DB'!$I$4:$K$34, DATE(2026,8,24)+50*7+0) + COUNTIF('09_빅분기_실기_DB'!$H$4:$I$25, DATE(2026,8,24)+50*7+0)</f>
        <v/>
      </c>
      <c r="BB11" s="97">
        <f>COUNTIFS('02_SWEA_통합_코딩테스트_DB'!$F$4:$F$1260, DATE(2026,8,24)+51*7+0, '02_SWEA_통합_코딩테스트_DB'!$J$4:$J$1260, "&lt;&gt;보류*") + COUNTIFS('02_SWEA_통합_코딩테스트_DB'!$G$4:$G$1260, DATE(2026,8,24)+51*7+0, '02_SWEA_통합_코딩테스트_DB'!$J$4:$J$1260, "&lt;&gt;보류*") + COUNTIFS('02_SWEA_통합_코딩테스트_DB'!$H$4:$H$1260, DATE(2026,8,24)+51*7+0, '02_SWEA_통합_코딩테스트_DB'!$J$4:$J$1260, "&lt;&gt;보류*") + COUNTIFS('02_SWEA_통합_코딩테스트_DB'!$I$4:$I$1260, DATE(2026,8,24)+51*7+0, '02_SWEA_통합_코딩테스트_DB'!$J$4:$J$1260, "&lt;&gt;보류*") + COUNTIF('03_보안기사_필기_DB'!$I$4:$M$100, DATE(2026,8,24)+51*7+0) + COUNTIF('04_보안기사_실기_DB'!$G$4:$I$30, DATE(2026,8,24)+51*7+0) + COUNTIF('08_빅분기_필기_DB'!$I$4:$K$34, DATE(2026,8,24)+51*7+0) + COUNTIF('09_빅분기_실기_DB'!$H$4:$I$25, DATE(2026,8,24)+51*7+0)</f>
        <v/>
      </c>
      <c r="BC11" s="97">
        <f>COUNTIFS('02_SWEA_통합_코딩테스트_DB'!$F$4:$F$1260, DATE(2026,8,24)+52*7+0, '02_SWEA_통합_코딩테스트_DB'!$J$4:$J$1260, "&lt;&gt;보류*") + COUNTIFS('02_SWEA_통합_코딩테스트_DB'!$G$4:$G$1260, DATE(2026,8,24)+52*7+0, '02_SWEA_통합_코딩테스트_DB'!$J$4:$J$1260, "&lt;&gt;보류*") + COUNTIFS('02_SWEA_통합_코딩테스트_DB'!$H$4:$H$1260, DATE(2026,8,24)+52*7+0, '02_SWEA_통합_코딩테스트_DB'!$J$4:$J$1260, "&lt;&gt;보류*") + COUNTIFS('02_SWEA_통합_코딩테스트_DB'!$I$4:$I$1260, DATE(2026,8,24)+52*7+0, '02_SWEA_통합_코딩테스트_DB'!$J$4:$J$1260, "&lt;&gt;보류*") + COUNTIF('03_보안기사_필기_DB'!$I$4:$M$100, DATE(2026,8,24)+52*7+0) + COUNTIF('04_보안기사_실기_DB'!$G$4:$I$30, DATE(2026,8,24)+52*7+0)</f>
        <v/>
      </c>
      <c r="BD11" s="26" t="n"/>
      <c r="BE11" s="26" t="n"/>
      <c r="BF11" s="26" t="n"/>
      <c r="BG11" s="26" t="n"/>
    </row>
    <row r="12" ht="21.75" customHeight="1" s="209">
      <c r="A12" s="225" t="inlineStr">
        <is>
          <t>화 (Tue)</t>
        </is>
      </c>
      <c r="B12" s="214" t="n"/>
      <c r="C12" s="97">
        <f>COUNTIFS('02_SWEA_통합_코딩테스트_DB'!$F$4:$F$1260, DATE(2026,8,24)+0*7+1, '02_SWEA_통합_코딩테스트_DB'!$J$4:$J$1260, "&lt;&gt;보류*") + COUNTIFS('02_SWEA_통합_코딩테스트_DB'!$G$4:$G$1260, DATE(2026,8,24)+0*7+1, '02_SWEA_통합_코딩테스트_DB'!$J$4:$J$1260, "&lt;&gt;보류*") + COUNTIFS('02_SWEA_통합_코딩테스트_DB'!$H$4:$H$1260, DATE(2026,8,24)+0*7+1, '02_SWEA_통합_코딩테스트_DB'!$J$4:$J$1260, "&lt;&gt;보류*") + COUNTIFS('02_SWEA_통합_코딩테스트_DB'!$I$4:$I$1260, DATE(2026,8,24)+0*7+1, '02_SWEA_통합_코딩테스트_DB'!$J$4:$J$1260, "&lt;&gt;보류*") + COUNTIF('03_보안기사_필기_DB'!$I$4:$M$100, DATE(2026,8,24)+0*7+1) + COUNTIF('04_보안기사_실기_DB'!$G$4:$I$30, DATE(2026,8,24)+0*7+1) + COUNTIF('08_빅분기_필기_DB'!$I$4:$K$34, DATE(2026,8,24)+0*7+1) + COUNTIF('09_빅분기_실기_DB'!$H$4:$I$25, DATE(2026,8,24)+0*7+1)</f>
        <v/>
      </c>
      <c r="D12" s="97">
        <f>COUNTIFS('02_SWEA_통합_코딩테스트_DB'!$F$4:$F$1260, DATE(2026,8,24)+1*7+1, '02_SWEA_통합_코딩테스트_DB'!$J$4:$J$1260, "&lt;&gt;보류*") + COUNTIFS('02_SWEA_통합_코딩테스트_DB'!$G$4:$G$1260, DATE(2026,8,24)+1*7+1, '02_SWEA_통합_코딩테스트_DB'!$J$4:$J$1260, "&lt;&gt;보류*") + COUNTIFS('02_SWEA_통합_코딩테스트_DB'!$H$4:$H$1260, DATE(2026,8,24)+1*7+1, '02_SWEA_통합_코딩테스트_DB'!$J$4:$J$1260, "&lt;&gt;보류*") + COUNTIFS('02_SWEA_통합_코딩테스트_DB'!$I$4:$I$1260, DATE(2026,8,24)+1*7+1, '02_SWEA_통합_코딩테스트_DB'!$J$4:$J$1260, "&lt;&gt;보류*") + COUNTIF('03_보안기사_필기_DB'!$I$4:$M$100, DATE(2026,8,24)+1*7+1) + COUNTIF('04_보안기사_실기_DB'!$G$4:$I$30, DATE(2026,8,24)+1*7+1) + COUNTIF('08_빅분기_필기_DB'!$I$4:$K$34, DATE(2026,8,24)+1*7+1) + COUNTIF('09_빅분기_실기_DB'!$H$4:$I$25, DATE(2026,8,24)+1*7+1)</f>
        <v/>
      </c>
      <c r="E12" s="97">
        <f>COUNTIFS('02_SWEA_통합_코딩테스트_DB'!$F$4:$F$1260, DATE(2026,8,24)+2*7+1, '02_SWEA_통합_코딩테스트_DB'!$J$4:$J$1260, "&lt;&gt;보류*") + COUNTIFS('02_SWEA_통합_코딩테스트_DB'!$G$4:$G$1260, DATE(2026,8,24)+2*7+1, '02_SWEA_통합_코딩테스트_DB'!$J$4:$J$1260, "&lt;&gt;보류*") + COUNTIFS('02_SWEA_통합_코딩테스트_DB'!$H$4:$H$1260, DATE(2026,8,24)+2*7+1, '02_SWEA_통합_코딩테스트_DB'!$J$4:$J$1260, "&lt;&gt;보류*") + COUNTIFS('02_SWEA_통합_코딩테스트_DB'!$I$4:$I$1260, DATE(2026,8,24)+2*7+1, '02_SWEA_통합_코딩테스트_DB'!$J$4:$J$1260, "&lt;&gt;보류*") + COUNTIF('03_보안기사_필기_DB'!$I$4:$M$100, DATE(2026,8,24)+2*7+1) + COUNTIF('04_보안기사_실기_DB'!$G$4:$I$30, DATE(2026,8,24)+2*7+1) + COUNTIF('08_빅분기_필기_DB'!$I$4:$K$34, DATE(2026,8,24)+2*7+1) + COUNTIF('09_빅분기_실기_DB'!$H$4:$I$25, DATE(2026,8,24)+2*7+1)</f>
        <v/>
      </c>
      <c r="F12" s="97">
        <f>COUNTIFS('02_SWEA_통합_코딩테스트_DB'!$F$4:$F$1260, DATE(2026,8,24)+3*7+1, '02_SWEA_통합_코딩테스트_DB'!$J$4:$J$1260, "&lt;&gt;보류*") + COUNTIFS('02_SWEA_통합_코딩테스트_DB'!$G$4:$G$1260, DATE(2026,8,24)+3*7+1, '02_SWEA_통합_코딩테스트_DB'!$J$4:$J$1260, "&lt;&gt;보류*") + COUNTIFS('02_SWEA_통합_코딩테스트_DB'!$H$4:$H$1260, DATE(2026,8,24)+3*7+1, '02_SWEA_통합_코딩테스트_DB'!$J$4:$J$1260, "&lt;&gt;보류*") + COUNTIFS('02_SWEA_통합_코딩테스트_DB'!$I$4:$I$1260, DATE(2026,8,24)+3*7+1, '02_SWEA_통합_코딩테스트_DB'!$J$4:$J$1260, "&lt;&gt;보류*") + COUNTIF('03_보안기사_필기_DB'!$I$4:$M$100, DATE(2026,8,24)+3*7+1) + COUNTIF('04_보안기사_실기_DB'!$G$4:$I$30, DATE(2026,8,24)+3*7+1) + COUNTIF('08_빅분기_필기_DB'!$I$4:$K$34, DATE(2026,8,24)+3*7+1) + COUNTIF('09_빅분기_실기_DB'!$H$4:$I$25, DATE(2026,8,24)+3*7+1)</f>
        <v/>
      </c>
      <c r="G12" s="97">
        <f>COUNTIFS('02_SWEA_통합_코딩테스트_DB'!$F$4:$F$1260, DATE(2026,8,24)+4*7+1, '02_SWEA_통합_코딩테스트_DB'!$J$4:$J$1260, "&lt;&gt;보류*") + COUNTIFS('02_SWEA_통합_코딩테스트_DB'!$G$4:$G$1260, DATE(2026,8,24)+4*7+1, '02_SWEA_통합_코딩테스트_DB'!$J$4:$J$1260, "&lt;&gt;보류*") + COUNTIFS('02_SWEA_통합_코딩테스트_DB'!$H$4:$H$1260, DATE(2026,8,24)+4*7+1, '02_SWEA_통합_코딩테스트_DB'!$J$4:$J$1260, "&lt;&gt;보류*") + COUNTIFS('02_SWEA_통합_코딩테스트_DB'!$I$4:$I$1260, DATE(2026,8,24)+4*7+1, '02_SWEA_통합_코딩테스트_DB'!$J$4:$J$1260, "&lt;&gt;보류*") + COUNTIF('03_보안기사_필기_DB'!$I$4:$M$100, DATE(2026,8,24)+4*7+1) + COUNTIF('04_보안기사_실기_DB'!$G$4:$I$30, DATE(2026,8,24)+4*7+1) + COUNTIF('08_빅분기_필기_DB'!$I$4:$K$34, DATE(2026,8,24)+4*7+1) + COUNTIF('09_빅분기_실기_DB'!$H$4:$I$25, DATE(2026,8,24)+4*7+1)</f>
        <v/>
      </c>
      <c r="H12" s="97">
        <f>COUNTIFS('02_SWEA_통합_코딩테스트_DB'!$F$4:$F$1260, DATE(2026,8,24)+5*7+1, '02_SWEA_통합_코딩테스트_DB'!$J$4:$J$1260, "&lt;&gt;보류*") + COUNTIFS('02_SWEA_통합_코딩테스트_DB'!$G$4:$G$1260, DATE(2026,8,24)+5*7+1, '02_SWEA_통합_코딩테스트_DB'!$J$4:$J$1260, "&lt;&gt;보류*") + COUNTIFS('02_SWEA_통합_코딩테스트_DB'!$H$4:$H$1260, DATE(2026,8,24)+5*7+1, '02_SWEA_통합_코딩테스트_DB'!$J$4:$J$1260, "&lt;&gt;보류*") + COUNTIFS('02_SWEA_통합_코딩테스트_DB'!$I$4:$I$1260, DATE(2026,8,24)+5*7+1, '02_SWEA_통합_코딩테스트_DB'!$J$4:$J$1260, "&lt;&gt;보류*") + COUNTIF('03_보안기사_필기_DB'!$I$4:$M$100, DATE(2026,8,24)+5*7+1) + COUNTIF('04_보안기사_실기_DB'!$G$4:$I$30, DATE(2026,8,24)+5*7+1) + COUNTIF('08_빅분기_필기_DB'!$I$4:$K$34, DATE(2026,8,24)+5*7+1) + COUNTIF('09_빅분기_실기_DB'!$H$4:$I$25, DATE(2026,8,24)+5*7+1)</f>
        <v/>
      </c>
      <c r="I12" s="97">
        <f>COUNTIFS('02_SWEA_통합_코딩테스트_DB'!$F$4:$F$1260, DATE(2026,8,24)+6*7+1, '02_SWEA_통합_코딩테스트_DB'!$J$4:$J$1260, "&lt;&gt;보류*") + COUNTIFS('02_SWEA_통합_코딩테스트_DB'!$G$4:$G$1260, DATE(2026,8,24)+6*7+1, '02_SWEA_통합_코딩테스트_DB'!$J$4:$J$1260, "&lt;&gt;보류*") + COUNTIFS('02_SWEA_통합_코딩테스트_DB'!$H$4:$H$1260, DATE(2026,8,24)+6*7+1, '02_SWEA_통합_코딩테스트_DB'!$J$4:$J$1260, "&lt;&gt;보류*") + COUNTIFS('02_SWEA_통합_코딩테스트_DB'!$I$4:$I$1260, DATE(2026,8,24)+6*7+1, '02_SWEA_통합_코딩테스트_DB'!$J$4:$J$1260, "&lt;&gt;보류*") + COUNTIF('03_보안기사_필기_DB'!$I$4:$M$100, DATE(2026,8,24)+6*7+1) + COUNTIF('04_보안기사_실기_DB'!$G$4:$I$30, DATE(2026,8,24)+6*7+1) + COUNTIF('08_빅분기_필기_DB'!$I$4:$K$34, DATE(2026,8,24)+6*7+1) + COUNTIF('09_빅분기_실기_DB'!$H$4:$I$25, DATE(2026,8,24)+6*7+1)</f>
        <v/>
      </c>
      <c r="J12" s="97">
        <f>COUNTIFS('02_SWEA_통합_코딩테스트_DB'!$F$4:$F$1260, DATE(2026,8,24)+7*7+1, '02_SWEA_통합_코딩테스트_DB'!$J$4:$J$1260, "&lt;&gt;보류*") + COUNTIFS('02_SWEA_통합_코딩테스트_DB'!$G$4:$G$1260, DATE(2026,8,24)+7*7+1, '02_SWEA_통합_코딩테스트_DB'!$J$4:$J$1260, "&lt;&gt;보류*") + COUNTIFS('02_SWEA_통합_코딩테스트_DB'!$H$4:$H$1260, DATE(2026,8,24)+7*7+1, '02_SWEA_통합_코딩테스트_DB'!$J$4:$J$1260, "&lt;&gt;보류*") + COUNTIFS('02_SWEA_통합_코딩테스트_DB'!$I$4:$I$1260, DATE(2026,8,24)+7*7+1, '02_SWEA_통합_코딩테스트_DB'!$J$4:$J$1260, "&lt;&gt;보류*") + COUNTIF('03_보안기사_필기_DB'!$I$4:$M$100, DATE(2026,8,24)+7*7+1) + COUNTIF('04_보안기사_실기_DB'!$G$4:$I$30, DATE(2026,8,24)+7*7+1) + COUNTIF('08_빅분기_필기_DB'!$I$4:$K$34, DATE(2026,8,24)+7*7+1) + COUNTIF('09_빅분기_실기_DB'!$H$4:$I$25, DATE(2026,8,24)+7*7+1)</f>
        <v/>
      </c>
      <c r="K12" s="97">
        <f>COUNTIFS('02_SWEA_통합_코딩테스트_DB'!$F$4:$F$1260, DATE(2026,8,24)+8*7+1, '02_SWEA_통합_코딩테스트_DB'!$J$4:$J$1260, "&lt;&gt;보류*") + COUNTIFS('02_SWEA_통합_코딩테스트_DB'!$G$4:$G$1260, DATE(2026,8,24)+8*7+1, '02_SWEA_통합_코딩테스트_DB'!$J$4:$J$1260, "&lt;&gt;보류*") + COUNTIFS('02_SWEA_통합_코딩테스트_DB'!$H$4:$H$1260, DATE(2026,8,24)+8*7+1, '02_SWEA_통합_코딩테스트_DB'!$J$4:$J$1260, "&lt;&gt;보류*") + COUNTIFS('02_SWEA_통합_코딩테스트_DB'!$I$4:$I$1260, DATE(2026,8,24)+8*7+1, '02_SWEA_통합_코딩테스트_DB'!$J$4:$J$1260, "&lt;&gt;보류*") + COUNTIF('03_보안기사_필기_DB'!$I$4:$M$100, DATE(2026,8,24)+8*7+1) + COUNTIF('04_보안기사_실기_DB'!$G$4:$I$30, DATE(2026,8,24)+8*7+1) + COUNTIF('08_빅분기_필기_DB'!$I$4:$K$34, DATE(2026,8,24)+8*7+1) + COUNTIF('09_빅분기_실기_DB'!$H$4:$I$25, DATE(2026,8,24)+8*7+1)</f>
        <v/>
      </c>
      <c r="L12" s="97">
        <f>COUNTIFS('02_SWEA_통합_코딩테스트_DB'!$F$4:$F$1260, DATE(2026,8,24)+9*7+1, '02_SWEA_통합_코딩테스트_DB'!$J$4:$J$1260, "&lt;&gt;보류*") + COUNTIFS('02_SWEA_통합_코딩테스트_DB'!$G$4:$G$1260, DATE(2026,8,24)+9*7+1, '02_SWEA_통합_코딩테스트_DB'!$J$4:$J$1260, "&lt;&gt;보류*") + COUNTIFS('02_SWEA_통합_코딩테스트_DB'!$H$4:$H$1260, DATE(2026,8,24)+9*7+1, '02_SWEA_통합_코딩테스트_DB'!$J$4:$J$1260, "&lt;&gt;보류*") + COUNTIFS('02_SWEA_통합_코딩테스트_DB'!$I$4:$I$1260, DATE(2026,8,24)+9*7+1, '02_SWEA_통합_코딩테스트_DB'!$J$4:$J$1260, "&lt;&gt;보류*") + COUNTIF('03_보안기사_필기_DB'!$I$4:$M$100, DATE(2026,8,24)+9*7+1) + COUNTIF('04_보안기사_실기_DB'!$G$4:$I$30, DATE(2026,8,24)+9*7+1) + COUNTIF('08_빅분기_필기_DB'!$I$4:$K$34, DATE(2026,8,24)+9*7+1) + COUNTIF('09_빅분기_실기_DB'!$H$4:$I$25, DATE(2026,8,24)+9*7+1)</f>
        <v/>
      </c>
      <c r="M12" s="97">
        <f>COUNTIFS('02_SWEA_통합_코딩테스트_DB'!$F$4:$F$1260, DATE(2026,8,24)+10*7+1, '02_SWEA_통합_코딩테스트_DB'!$J$4:$J$1260, "&lt;&gt;보류*") + COUNTIFS('02_SWEA_통합_코딩테스트_DB'!$G$4:$G$1260, DATE(2026,8,24)+10*7+1, '02_SWEA_통합_코딩테스트_DB'!$J$4:$J$1260, "&lt;&gt;보류*") + COUNTIFS('02_SWEA_통합_코딩테스트_DB'!$H$4:$H$1260, DATE(2026,8,24)+10*7+1, '02_SWEA_통합_코딩테스트_DB'!$J$4:$J$1260, "&lt;&gt;보류*") + COUNTIFS('02_SWEA_통합_코딩테스트_DB'!$I$4:$I$1260, DATE(2026,8,24)+10*7+1, '02_SWEA_통합_코딩테스트_DB'!$J$4:$J$1260, "&lt;&gt;보류*") + COUNTIF('03_보안기사_필기_DB'!$I$4:$M$100, DATE(2026,8,24)+10*7+1) + COUNTIF('04_보안기사_실기_DB'!$G$4:$I$30, DATE(2026,8,24)+10*7+1) + COUNTIF('08_빅분기_필기_DB'!$I$4:$K$34, DATE(2026,8,24)+10*7+1) + COUNTIF('09_빅분기_실기_DB'!$H$4:$I$25, DATE(2026,8,24)+10*7+1)</f>
        <v/>
      </c>
      <c r="N12" s="97">
        <f>COUNTIFS('02_SWEA_통합_코딩테스트_DB'!$F$4:$F$1260, DATE(2026,8,24)+11*7+1, '02_SWEA_통합_코딩테스트_DB'!$J$4:$J$1260, "&lt;&gt;보류*") + COUNTIFS('02_SWEA_통합_코딩테스트_DB'!$G$4:$G$1260, DATE(2026,8,24)+11*7+1, '02_SWEA_통합_코딩테스트_DB'!$J$4:$J$1260, "&lt;&gt;보류*") + COUNTIFS('02_SWEA_통합_코딩테스트_DB'!$H$4:$H$1260, DATE(2026,8,24)+11*7+1, '02_SWEA_통합_코딩테스트_DB'!$J$4:$J$1260, "&lt;&gt;보류*") + COUNTIFS('02_SWEA_통합_코딩테스트_DB'!$I$4:$I$1260, DATE(2026,8,24)+11*7+1, '02_SWEA_통합_코딩테스트_DB'!$J$4:$J$1260, "&lt;&gt;보류*") + COUNTIF('03_보안기사_필기_DB'!$I$4:$M$100, DATE(2026,8,24)+11*7+1) + COUNTIF('04_보안기사_실기_DB'!$G$4:$I$30, DATE(2026,8,24)+11*7+1) + COUNTIF('08_빅분기_필기_DB'!$I$4:$K$34, DATE(2026,8,24)+11*7+1) + COUNTIF('09_빅분기_실기_DB'!$H$4:$I$25, DATE(2026,8,24)+11*7+1)</f>
        <v/>
      </c>
      <c r="O12" s="97">
        <f>COUNTIFS('02_SWEA_통합_코딩테스트_DB'!$F$4:$F$1260, DATE(2026,8,24)+12*7+1, '02_SWEA_통합_코딩테스트_DB'!$J$4:$J$1260, "&lt;&gt;보류*") + COUNTIFS('02_SWEA_통합_코딩테스트_DB'!$G$4:$G$1260, DATE(2026,8,24)+12*7+1, '02_SWEA_통합_코딩테스트_DB'!$J$4:$J$1260, "&lt;&gt;보류*") + COUNTIFS('02_SWEA_통합_코딩테스트_DB'!$H$4:$H$1260, DATE(2026,8,24)+12*7+1, '02_SWEA_통합_코딩테스트_DB'!$J$4:$J$1260, "&lt;&gt;보류*") + COUNTIFS('02_SWEA_통합_코딩테스트_DB'!$I$4:$I$1260, DATE(2026,8,24)+12*7+1, '02_SWEA_통합_코딩테스트_DB'!$J$4:$J$1260, "&lt;&gt;보류*") + COUNTIF('03_보안기사_필기_DB'!$I$4:$M$100, DATE(2026,8,24)+12*7+1) + COUNTIF('04_보안기사_실기_DB'!$G$4:$I$30, DATE(2026,8,24)+12*7+1) + COUNTIF('08_빅분기_필기_DB'!$I$4:$K$34, DATE(2026,8,24)+12*7+1) + COUNTIF('09_빅분기_실기_DB'!$H$4:$I$25, DATE(2026,8,24)+12*7+1)</f>
        <v/>
      </c>
      <c r="P12" s="97">
        <f>COUNTIFS('02_SWEA_통합_코딩테스트_DB'!$F$4:$F$1260, DATE(2026,8,24)+13*7+1, '02_SWEA_통합_코딩테스트_DB'!$J$4:$J$1260, "&lt;&gt;보류*") + COUNTIFS('02_SWEA_통합_코딩테스트_DB'!$G$4:$G$1260, DATE(2026,8,24)+13*7+1, '02_SWEA_통합_코딩테스트_DB'!$J$4:$J$1260, "&lt;&gt;보류*") + COUNTIFS('02_SWEA_통합_코딩테스트_DB'!$H$4:$H$1260, DATE(2026,8,24)+13*7+1, '02_SWEA_통합_코딩테스트_DB'!$J$4:$J$1260, "&lt;&gt;보류*") + COUNTIFS('02_SWEA_통합_코딩테스트_DB'!$I$4:$I$1260, DATE(2026,8,24)+13*7+1, '02_SWEA_통합_코딩테스트_DB'!$J$4:$J$1260, "&lt;&gt;보류*") + COUNTIF('03_보안기사_필기_DB'!$I$4:$M$100, DATE(2026,8,24)+13*7+1) + COUNTIF('04_보안기사_실기_DB'!$G$4:$I$30, DATE(2026,8,24)+13*7+1) + COUNTIF('08_빅분기_필기_DB'!$I$4:$K$34, DATE(2026,8,24)+13*7+1) + COUNTIF('09_빅분기_실기_DB'!$H$4:$I$25, DATE(2026,8,24)+13*7+1)</f>
        <v/>
      </c>
      <c r="Q12" s="97">
        <f>COUNTIFS('02_SWEA_통합_코딩테스트_DB'!$F$4:$F$1260, DATE(2026,8,24)+14*7+1, '02_SWEA_통합_코딩테스트_DB'!$J$4:$J$1260, "&lt;&gt;보류*") + COUNTIFS('02_SWEA_통합_코딩테스트_DB'!$G$4:$G$1260, DATE(2026,8,24)+14*7+1, '02_SWEA_통합_코딩테스트_DB'!$J$4:$J$1260, "&lt;&gt;보류*") + COUNTIFS('02_SWEA_통합_코딩테스트_DB'!$H$4:$H$1260, DATE(2026,8,24)+14*7+1, '02_SWEA_통합_코딩테스트_DB'!$J$4:$J$1260, "&lt;&gt;보류*") + COUNTIFS('02_SWEA_통합_코딩테스트_DB'!$I$4:$I$1260, DATE(2026,8,24)+14*7+1, '02_SWEA_통합_코딩테스트_DB'!$J$4:$J$1260, "&lt;&gt;보류*") + COUNTIF('03_보안기사_필기_DB'!$I$4:$M$100, DATE(2026,8,24)+14*7+1) + COUNTIF('04_보안기사_실기_DB'!$G$4:$I$30, DATE(2026,8,24)+14*7+1) + COUNTIF('08_빅분기_필기_DB'!$I$4:$K$34, DATE(2026,8,24)+14*7+1) + COUNTIF('09_빅분기_실기_DB'!$H$4:$I$25, DATE(2026,8,24)+14*7+1)</f>
        <v/>
      </c>
      <c r="R12" s="97">
        <f>COUNTIFS('02_SWEA_통합_코딩테스트_DB'!$F$4:$F$1260, DATE(2026,8,24)+15*7+1, '02_SWEA_통합_코딩테스트_DB'!$J$4:$J$1260, "&lt;&gt;보류*") + COUNTIFS('02_SWEA_통합_코딩테스트_DB'!$G$4:$G$1260, DATE(2026,8,24)+15*7+1, '02_SWEA_통합_코딩테스트_DB'!$J$4:$J$1260, "&lt;&gt;보류*") + COUNTIFS('02_SWEA_통합_코딩테스트_DB'!$H$4:$H$1260, DATE(2026,8,24)+15*7+1, '02_SWEA_통합_코딩테스트_DB'!$J$4:$J$1260, "&lt;&gt;보류*") + COUNTIFS('02_SWEA_통합_코딩테스트_DB'!$I$4:$I$1260, DATE(2026,8,24)+15*7+1, '02_SWEA_통합_코딩테스트_DB'!$J$4:$J$1260, "&lt;&gt;보류*") + COUNTIF('03_보안기사_필기_DB'!$I$4:$M$100, DATE(2026,8,24)+15*7+1) + COUNTIF('04_보안기사_실기_DB'!$G$4:$I$30, DATE(2026,8,24)+15*7+1) + COUNTIF('08_빅분기_필기_DB'!$I$4:$K$34, DATE(2026,8,24)+15*7+1) + COUNTIF('09_빅분기_실기_DB'!$H$4:$I$25, DATE(2026,8,24)+15*7+1)</f>
        <v/>
      </c>
      <c r="S12" s="97">
        <f>COUNTIFS('02_SWEA_통합_코딩테스트_DB'!$F$4:$F$1260, DATE(2026,8,24)+16*7+1, '02_SWEA_통합_코딩테스트_DB'!$J$4:$J$1260, "&lt;&gt;보류*") + COUNTIFS('02_SWEA_통합_코딩테스트_DB'!$G$4:$G$1260, DATE(2026,8,24)+16*7+1, '02_SWEA_통합_코딩테스트_DB'!$J$4:$J$1260, "&lt;&gt;보류*") + COUNTIFS('02_SWEA_통합_코딩테스트_DB'!$H$4:$H$1260, DATE(2026,8,24)+16*7+1, '02_SWEA_통합_코딩테스트_DB'!$J$4:$J$1260, "&lt;&gt;보류*") + COUNTIFS('02_SWEA_통합_코딩테스트_DB'!$I$4:$I$1260, DATE(2026,8,24)+16*7+1, '02_SWEA_통합_코딩테스트_DB'!$J$4:$J$1260, "&lt;&gt;보류*") + COUNTIF('03_보안기사_필기_DB'!$I$4:$M$100, DATE(2026,8,24)+16*7+1) + COUNTIF('04_보안기사_실기_DB'!$G$4:$I$30, DATE(2026,8,24)+16*7+1) + COUNTIF('08_빅분기_필기_DB'!$I$4:$K$34, DATE(2026,8,24)+16*7+1) + COUNTIF('09_빅분기_실기_DB'!$H$4:$I$25, DATE(2026,8,24)+16*7+1)</f>
        <v/>
      </c>
      <c r="T12" s="97">
        <f>COUNTIFS('02_SWEA_통합_코딩테스트_DB'!$F$4:$F$1260, DATE(2026,8,24)+17*7+1, '02_SWEA_통합_코딩테스트_DB'!$J$4:$J$1260, "&lt;&gt;보류*") + COUNTIFS('02_SWEA_통합_코딩테스트_DB'!$G$4:$G$1260, DATE(2026,8,24)+17*7+1, '02_SWEA_통합_코딩테스트_DB'!$J$4:$J$1260, "&lt;&gt;보류*") + COUNTIFS('02_SWEA_통합_코딩테스트_DB'!$H$4:$H$1260, DATE(2026,8,24)+17*7+1, '02_SWEA_통합_코딩테스트_DB'!$J$4:$J$1260, "&lt;&gt;보류*") + COUNTIFS('02_SWEA_통합_코딩테스트_DB'!$I$4:$I$1260, DATE(2026,8,24)+17*7+1, '02_SWEA_통합_코딩테스트_DB'!$J$4:$J$1260, "&lt;&gt;보류*") + COUNTIF('03_보안기사_필기_DB'!$I$4:$M$100, DATE(2026,8,24)+17*7+1) + COUNTIF('04_보안기사_실기_DB'!$G$4:$I$30, DATE(2026,8,24)+17*7+1) + COUNTIF('08_빅분기_필기_DB'!$I$4:$K$34, DATE(2026,8,24)+17*7+1) + COUNTIF('09_빅분기_실기_DB'!$H$4:$I$25, DATE(2026,8,24)+17*7+1)</f>
        <v/>
      </c>
      <c r="U12" s="97">
        <f>COUNTIFS('02_SWEA_통합_코딩테스트_DB'!$F$4:$F$1260, DATE(2026,8,24)+18*7+1, '02_SWEA_통합_코딩테스트_DB'!$J$4:$J$1260, "&lt;&gt;보류*") + COUNTIFS('02_SWEA_통합_코딩테스트_DB'!$G$4:$G$1260, DATE(2026,8,24)+18*7+1, '02_SWEA_통합_코딩테스트_DB'!$J$4:$J$1260, "&lt;&gt;보류*") + COUNTIFS('02_SWEA_통합_코딩테스트_DB'!$H$4:$H$1260, DATE(2026,8,24)+18*7+1, '02_SWEA_통합_코딩테스트_DB'!$J$4:$J$1260, "&lt;&gt;보류*") + COUNTIFS('02_SWEA_통합_코딩테스트_DB'!$I$4:$I$1260, DATE(2026,8,24)+18*7+1, '02_SWEA_통합_코딩테스트_DB'!$J$4:$J$1260, "&lt;&gt;보류*") + COUNTIF('03_보안기사_필기_DB'!$I$4:$M$100, DATE(2026,8,24)+18*7+1) + COUNTIF('04_보안기사_실기_DB'!$G$4:$I$30, DATE(2026,8,24)+18*7+1) + COUNTIF('08_빅분기_필기_DB'!$I$4:$K$34, DATE(2026,8,24)+18*7+1) + COUNTIF('09_빅분기_실기_DB'!$H$4:$I$25, DATE(2026,8,24)+18*7+1)</f>
        <v/>
      </c>
      <c r="V12" s="97">
        <f>COUNTIFS('02_SWEA_통합_코딩테스트_DB'!$F$4:$F$1260, DATE(2026,8,24)+19*7+1, '02_SWEA_통합_코딩테스트_DB'!$J$4:$J$1260, "&lt;&gt;보류*") + COUNTIFS('02_SWEA_통합_코딩테스트_DB'!$G$4:$G$1260, DATE(2026,8,24)+19*7+1, '02_SWEA_통합_코딩테스트_DB'!$J$4:$J$1260, "&lt;&gt;보류*") + COUNTIFS('02_SWEA_통합_코딩테스트_DB'!$H$4:$H$1260, DATE(2026,8,24)+19*7+1, '02_SWEA_통합_코딩테스트_DB'!$J$4:$J$1260, "&lt;&gt;보류*") + COUNTIFS('02_SWEA_통합_코딩테스트_DB'!$I$4:$I$1260, DATE(2026,8,24)+19*7+1, '02_SWEA_통합_코딩테스트_DB'!$J$4:$J$1260, "&lt;&gt;보류*") + COUNTIF('03_보안기사_필기_DB'!$I$4:$M$100, DATE(2026,8,24)+19*7+1) + COUNTIF('04_보안기사_실기_DB'!$G$4:$I$30, DATE(2026,8,24)+19*7+1) + COUNTIF('08_빅분기_필기_DB'!$I$4:$K$34, DATE(2026,8,24)+19*7+1) + COUNTIF('09_빅분기_실기_DB'!$H$4:$I$25, DATE(2026,8,24)+19*7+1)</f>
        <v/>
      </c>
      <c r="W12" s="97">
        <f>COUNTIFS('02_SWEA_통합_코딩테스트_DB'!$F$4:$F$1260, DATE(2026,8,24)+20*7+1, '02_SWEA_통합_코딩테스트_DB'!$J$4:$J$1260, "&lt;&gt;보류*") + COUNTIFS('02_SWEA_통합_코딩테스트_DB'!$G$4:$G$1260, DATE(2026,8,24)+20*7+1, '02_SWEA_통합_코딩테스트_DB'!$J$4:$J$1260, "&lt;&gt;보류*") + COUNTIFS('02_SWEA_통합_코딩테스트_DB'!$H$4:$H$1260, DATE(2026,8,24)+20*7+1, '02_SWEA_통합_코딩테스트_DB'!$J$4:$J$1260, "&lt;&gt;보류*") + COUNTIFS('02_SWEA_통합_코딩테스트_DB'!$I$4:$I$1260, DATE(2026,8,24)+20*7+1, '02_SWEA_통합_코딩테스트_DB'!$J$4:$J$1260, "&lt;&gt;보류*") + COUNTIF('03_보안기사_필기_DB'!$I$4:$M$100, DATE(2026,8,24)+20*7+1) + COUNTIF('04_보안기사_실기_DB'!$G$4:$I$30, DATE(2026,8,24)+20*7+1) + COUNTIF('08_빅분기_필기_DB'!$I$4:$K$34, DATE(2026,8,24)+20*7+1) + COUNTIF('09_빅분기_실기_DB'!$H$4:$I$25, DATE(2026,8,24)+20*7+1)</f>
        <v/>
      </c>
      <c r="X12" s="97">
        <f>COUNTIFS('02_SWEA_통합_코딩테스트_DB'!$F$4:$F$1260, DATE(2026,8,24)+21*7+1, '02_SWEA_통합_코딩테스트_DB'!$J$4:$J$1260, "&lt;&gt;보류*") + COUNTIFS('02_SWEA_통합_코딩테스트_DB'!$G$4:$G$1260, DATE(2026,8,24)+21*7+1, '02_SWEA_통합_코딩테스트_DB'!$J$4:$J$1260, "&lt;&gt;보류*") + COUNTIFS('02_SWEA_통합_코딩테스트_DB'!$H$4:$H$1260, DATE(2026,8,24)+21*7+1, '02_SWEA_통합_코딩테스트_DB'!$J$4:$J$1260, "&lt;&gt;보류*") + COUNTIFS('02_SWEA_통합_코딩테스트_DB'!$I$4:$I$1260, DATE(2026,8,24)+21*7+1, '02_SWEA_통합_코딩테스트_DB'!$J$4:$J$1260, "&lt;&gt;보류*") + COUNTIF('03_보안기사_필기_DB'!$I$4:$M$100, DATE(2026,8,24)+21*7+1) + COUNTIF('04_보안기사_실기_DB'!$G$4:$I$30, DATE(2026,8,24)+21*7+1) + COUNTIF('08_빅분기_필기_DB'!$I$4:$K$34, DATE(2026,8,24)+21*7+1) + COUNTIF('09_빅분기_실기_DB'!$H$4:$I$25, DATE(2026,8,24)+21*7+1)</f>
        <v/>
      </c>
      <c r="Y12" s="97">
        <f>COUNTIFS('02_SWEA_통합_코딩테스트_DB'!$F$4:$F$1260, DATE(2026,8,24)+22*7+1, '02_SWEA_통합_코딩테스트_DB'!$J$4:$J$1260, "&lt;&gt;보류*") + COUNTIFS('02_SWEA_통합_코딩테스트_DB'!$G$4:$G$1260, DATE(2026,8,24)+22*7+1, '02_SWEA_통합_코딩테스트_DB'!$J$4:$J$1260, "&lt;&gt;보류*") + COUNTIFS('02_SWEA_통합_코딩테스트_DB'!$H$4:$H$1260, DATE(2026,8,24)+22*7+1, '02_SWEA_통합_코딩테스트_DB'!$J$4:$J$1260, "&lt;&gt;보류*") + COUNTIFS('02_SWEA_통합_코딩테스트_DB'!$I$4:$I$1260, DATE(2026,8,24)+22*7+1, '02_SWEA_통합_코딩테스트_DB'!$J$4:$J$1260, "&lt;&gt;보류*") + COUNTIF('03_보안기사_필기_DB'!$I$4:$M$100, DATE(2026,8,24)+22*7+1) + COUNTIF('04_보안기사_실기_DB'!$G$4:$I$30, DATE(2026,8,24)+22*7+1) + COUNTIF('08_빅분기_필기_DB'!$I$4:$K$34, DATE(2026,8,24)+22*7+1) + COUNTIF('09_빅분기_실기_DB'!$H$4:$I$25, DATE(2026,8,24)+22*7+1)</f>
        <v/>
      </c>
      <c r="Z12" s="97">
        <f>COUNTIFS('02_SWEA_통합_코딩테스트_DB'!$F$4:$F$1260, DATE(2026,8,24)+23*7+1, '02_SWEA_통합_코딩테스트_DB'!$J$4:$J$1260, "&lt;&gt;보류*") + COUNTIFS('02_SWEA_통합_코딩테스트_DB'!$G$4:$G$1260, DATE(2026,8,24)+23*7+1, '02_SWEA_통합_코딩테스트_DB'!$J$4:$J$1260, "&lt;&gt;보류*") + COUNTIFS('02_SWEA_통합_코딩테스트_DB'!$H$4:$H$1260, DATE(2026,8,24)+23*7+1, '02_SWEA_통합_코딩테스트_DB'!$J$4:$J$1260, "&lt;&gt;보류*") + COUNTIFS('02_SWEA_통합_코딩테스트_DB'!$I$4:$I$1260, DATE(2026,8,24)+23*7+1, '02_SWEA_통합_코딩테스트_DB'!$J$4:$J$1260, "&lt;&gt;보류*") + COUNTIF('03_보안기사_필기_DB'!$I$4:$M$100, DATE(2026,8,24)+23*7+1) + COUNTIF('04_보안기사_실기_DB'!$G$4:$I$30, DATE(2026,8,24)+23*7+1) + COUNTIF('08_빅분기_필기_DB'!$I$4:$K$34, DATE(2026,8,24)+23*7+1) + COUNTIF('09_빅분기_실기_DB'!$H$4:$I$25, DATE(2026,8,24)+23*7+1)</f>
        <v/>
      </c>
      <c r="AA12" s="97">
        <f>COUNTIFS('02_SWEA_통합_코딩테스트_DB'!$F$4:$F$1260, DATE(2026,8,24)+24*7+1, '02_SWEA_통합_코딩테스트_DB'!$J$4:$J$1260, "&lt;&gt;보류*") + COUNTIFS('02_SWEA_통합_코딩테스트_DB'!$G$4:$G$1260, DATE(2026,8,24)+24*7+1, '02_SWEA_통합_코딩테스트_DB'!$J$4:$J$1260, "&lt;&gt;보류*") + COUNTIFS('02_SWEA_통합_코딩테스트_DB'!$H$4:$H$1260, DATE(2026,8,24)+24*7+1, '02_SWEA_통합_코딩테스트_DB'!$J$4:$J$1260, "&lt;&gt;보류*") + COUNTIFS('02_SWEA_통합_코딩테스트_DB'!$I$4:$I$1260, DATE(2026,8,24)+24*7+1, '02_SWEA_통합_코딩테스트_DB'!$J$4:$J$1260, "&lt;&gt;보류*") + COUNTIF('03_보안기사_필기_DB'!$I$4:$M$100, DATE(2026,8,24)+24*7+1) + COUNTIF('04_보안기사_실기_DB'!$G$4:$I$30, DATE(2026,8,24)+24*7+1) + COUNTIF('08_빅분기_필기_DB'!$I$4:$K$34, DATE(2026,8,24)+24*7+1) + COUNTIF('09_빅분기_실기_DB'!$H$4:$I$25, DATE(2026,8,24)+24*7+1)</f>
        <v/>
      </c>
      <c r="AB12" s="97">
        <f>COUNTIFS('02_SWEA_통합_코딩테스트_DB'!$F$4:$F$1260, DATE(2026,8,24)+25*7+1, '02_SWEA_통합_코딩테스트_DB'!$J$4:$J$1260, "&lt;&gt;보류*") + COUNTIFS('02_SWEA_통합_코딩테스트_DB'!$G$4:$G$1260, DATE(2026,8,24)+25*7+1, '02_SWEA_통합_코딩테스트_DB'!$J$4:$J$1260, "&lt;&gt;보류*") + COUNTIFS('02_SWEA_통합_코딩테스트_DB'!$H$4:$H$1260, DATE(2026,8,24)+25*7+1, '02_SWEA_통합_코딩테스트_DB'!$J$4:$J$1260, "&lt;&gt;보류*") + COUNTIFS('02_SWEA_통합_코딩테스트_DB'!$I$4:$I$1260, DATE(2026,8,24)+25*7+1, '02_SWEA_통합_코딩테스트_DB'!$J$4:$J$1260, "&lt;&gt;보류*") + COUNTIF('03_보안기사_필기_DB'!$I$4:$M$100, DATE(2026,8,24)+25*7+1) + COUNTIF('04_보안기사_실기_DB'!$G$4:$I$30, DATE(2026,8,24)+25*7+1) + COUNTIF('08_빅분기_필기_DB'!$I$4:$K$34, DATE(2026,8,24)+25*7+1) + COUNTIF('09_빅분기_실기_DB'!$H$4:$I$25, DATE(2026,8,24)+25*7+1)</f>
        <v/>
      </c>
      <c r="AC12" s="97">
        <f>COUNTIFS('02_SWEA_통합_코딩테스트_DB'!$F$4:$F$1260, DATE(2026,8,24)+26*7+1, '02_SWEA_통합_코딩테스트_DB'!$J$4:$J$1260, "&lt;&gt;보류*") + COUNTIFS('02_SWEA_통합_코딩테스트_DB'!$G$4:$G$1260, DATE(2026,8,24)+26*7+1, '02_SWEA_통합_코딩테스트_DB'!$J$4:$J$1260, "&lt;&gt;보류*") + COUNTIFS('02_SWEA_통합_코딩테스트_DB'!$H$4:$H$1260, DATE(2026,8,24)+26*7+1, '02_SWEA_통합_코딩테스트_DB'!$J$4:$J$1260, "&lt;&gt;보류*") + COUNTIFS('02_SWEA_통합_코딩테스트_DB'!$I$4:$I$1260, DATE(2026,8,24)+26*7+1, '02_SWEA_통합_코딩테스트_DB'!$J$4:$J$1260, "&lt;&gt;보류*") + COUNTIF('03_보안기사_필기_DB'!$I$4:$M$100, DATE(2026,8,24)+26*7+1) + COUNTIF('04_보안기사_실기_DB'!$G$4:$I$30, DATE(2026,8,24)+26*7+1) + COUNTIF('08_빅분기_필기_DB'!$I$4:$K$34, DATE(2026,8,24)+26*7+1) + COUNTIF('09_빅분기_실기_DB'!$H$4:$I$25, DATE(2026,8,24)+26*7+1)</f>
        <v/>
      </c>
      <c r="AD12" s="97">
        <f>COUNTIFS('02_SWEA_통합_코딩테스트_DB'!$F$4:$F$1260, DATE(2026,8,24)+27*7+1, '02_SWEA_통합_코딩테스트_DB'!$J$4:$J$1260, "&lt;&gt;보류*") + COUNTIFS('02_SWEA_통합_코딩테스트_DB'!$G$4:$G$1260, DATE(2026,8,24)+27*7+1, '02_SWEA_통합_코딩테스트_DB'!$J$4:$J$1260, "&lt;&gt;보류*") + COUNTIFS('02_SWEA_통합_코딩테스트_DB'!$H$4:$H$1260, DATE(2026,8,24)+27*7+1, '02_SWEA_통합_코딩테스트_DB'!$J$4:$J$1260, "&lt;&gt;보류*") + COUNTIFS('02_SWEA_통합_코딩테스트_DB'!$I$4:$I$1260, DATE(2026,8,24)+27*7+1, '02_SWEA_통합_코딩테스트_DB'!$J$4:$J$1260, "&lt;&gt;보류*") + COUNTIF('03_보안기사_필기_DB'!$I$4:$M$100, DATE(2026,8,24)+27*7+1) + COUNTIF('04_보안기사_실기_DB'!$G$4:$I$30, DATE(2026,8,24)+27*7+1) + COUNTIF('08_빅분기_필기_DB'!$I$4:$K$34, DATE(2026,8,24)+27*7+1) + COUNTIF('09_빅분기_실기_DB'!$H$4:$I$25, DATE(2026,8,24)+27*7+1)</f>
        <v/>
      </c>
      <c r="AE12" s="97">
        <f>COUNTIFS('02_SWEA_통합_코딩테스트_DB'!$F$4:$F$1260, DATE(2026,8,24)+28*7+1, '02_SWEA_통합_코딩테스트_DB'!$J$4:$J$1260, "&lt;&gt;보류*") + COUNTIFS('02_SWEA_통합_코딩테스트_DB'!$G$4:$G$1260, DATE(2026,8,24)+28*7+1, '02_SWEA_통합_코딩테스트_DB'!$J$4:$J$1260, "&lt;&gt;보류*") + COUNTIFS('02_SWEA_통합_코딩테스트_DB'!$H$4:$H$1260, DATE(2026,8,24)+28*7+1, '02_SWEA_통합_코딩테스트_DB'!$J$4:$J$1260, "&lt;&gt;보류*") + COUNTIFS('02_SWEA_통합_코딩테스트_DB'!$I$4:$I$1260, DATE(2026,8,24)+28*7+1, '02_SWEA_통합_코딩테스트_DB'!$J$4:$J$1260, "&lt;&gt;보류*") + COUNTIF('03_보안기사_필기_DB'!$I$4:$M$100, DATE(2026,8,24)+28*7+1) + COUNTIF('04_보안기사_실기_DB'!$G$4:$I$30, DATE(2026,8,24)+28*7+1) + COUNTIF('08_빅분기_필기_DB'!$I$4:$K$34, DATE(2026,8,24)+28*7+1) + COUNTIF('09_빅분기_실기_DB'!$H$4:$I$25, DATE(2026,8,24)+28*7+1)</f>
        <v/>
      </c>
      <c r="AF12" s="97">
        <f>COUNTIFS('02_SWEA_통합_코딩테스트_DB'!$F$4:$F$1260, DATE(2026,8,24)+29*7+1, '02_SWEA_통합_코딩테스트_DB'!$J$4:$J$1260, "&lt;&gt;보류*") + COUNTIFS('02_SWEA_통합_코딩테스트_DB'!$G$4:$G$1260, DATE(2026,8,24)+29*7+1, '02_SWEA_통합_코딩테스트_DB'!$J$4:$J$1260, "&lt;&gt;보류*") + COUNTIFS('02_SWEA_통합_코딩테스트_DB'!$H$4:$H$1260, DATE(2026,8,24)+29*7+1, '02_SWEA_통합_코딩테스트_DB'!$J$4:$J$1260, "&lt;&gt;보류*") + COUNTIFS('02_SWEA_통합_코딩테스트_DB'!$I$4:$I$1260, DATE(2026,8,24)+29*7+1, '02_SWEA_통합_코딩테스트_DB'!$J$4:$J$1260, "&lt;&gt;보류*") + COUNTIF('03_보안기사_필기_DB'!$I$4:$M$100, DATE(2026,8,24)+29*7+1) + COUNTIF('04_보안기사_실기_DB'!$G$4:$I$30, DATE(2026,8,24)+29*7+1) + COUNTIF('08_빅분기_필기_DB'!$I$4:$K$34, DATE(2026,8,24)+29*7+1) + COUNTIF('09_빅분기_실기_DB'!$H$4:$I$25, DATE(2026,8,24)+29*7+1)</f>
        <v/>
      </c>
      <c r="AG12" s="97">
        <f>COUNTIFS('02_SWEA_통합_코딩테스트_DB'!$F$4:$F$1260, DATE(2026,8,24)+30*7+1, '02_SWEA_통합_코딩테스트_DB'!$J$4:$J$1260, "&lt;&gt;보류*") + COUNTIFS('02_SWEA_통합_코딩테스트_DB'!$G$4:$G$1260, DATE(2026,8,24)+30*7+1, '02_SWEA_통합_코딩테스트_DB'!$J$4:$J$1260, "&lt;&gt;보류*") + COUNTIFS('02_SWEA_통합_코딩테스트_DB'!$H$4:$H$1260, DATE(2026,8,24)+30*7+1, '02_SWEA_통합_코딩테스트_DB'!$J$4:$J$1260, "&lt;&gt;보류*") + COUNTIFS('02_SWEA_통합_코딩테스트_DB'!$I$4:$I$1260, DATE(2026,8,24)+30*7+1, '02_SWEA_통합_코딩테스트_DB'!$J$4:$J$1260, "&lt;&gt;보류*") + COUNTIF('03_보안기사_필기_DB'!$I$4:$M$100, DATE(2026,8,24)+30*7+1) + COUNTIF('04_보안기사_실기_DB'!$G$4:$I$30, DATE(2026,8,24)+30*7+1) + COUNTIF('08_빅분기_필기_DB'!$I$4:$K$34, DATE(2026,8,24)+30*7+1) + COUNTIF('09_빅분기_실기_DB'!$H$4:$I$25, DATE(2026,8,24)+30*7+1)</f>
        <v/>
      </c>
      <c r="AH12" s="97">
        <f>COUNTIFS('02_SWEA_통합_코딩테스트_DB'!$F$4:$F$1260, DATE(2026,8,24)+31*7+1, '02_SWEA_통합_코딩테스트_DB'!$J$4:$J$1260, "&lt;&gt;보류*") + COUNTIFS('02_SWEA_통합_코딩테스트_DB'!$G$4:$G$1260, DATE(2026,8,24)+31*7+1, '02_SWEA_통합_코딩테스트_DB'!$J$4:$J$1260, "&lt;&gt;보류*") + COUNTIFS('02_SWEA_통합_코딩테스트_DB'!$H$4:$H$1260, DATE(2026,8,24)+31*7+1, '02_SWEA_통합_코딩테스트_DB'!$J$4:$J$1260, "&lt;&gt;보류*") + COUNTIFS('02_SWEA_통합_코딩테스트_DB'!$I$4:$I$1260, DATE(2026,8,24)+31*7+1, '02_SWEA_통합_코딩테스트_DB'!$J$4:$J$1260, "&lt;&gt;보류*") + COUNTIF('03_보안기사_필기_DB'!$I$4:$M$100, DATE(2026,8,24)+31*7+1) + COUNTIF('04_보안기사_실기_DB'!$G$4:$I$30, DATE(2026,8,24)+31*7+1) + COUNTIF('08_빅분기_필기_DB'!$I$4:$K$34, DATE(2026,8,24)+31*7+1) + COUNTIF('09_빅분기_실기_DB'!$H$4:$I$25, DATE(2026,8,24)+31*7+1)</f>
        <v/>
      </c>
      <c r="AI12" s="97">
        <f>COUNTIFS('02_SWEA_통합_코딩테스트_DB'!$F$4:$F$1260, DATE(2026,8,24)+32*7+1, '02_SWEA_통합_코딩테스트_DB'!$J$4:$J$1260, "&lt;&gt;보류*") + COUNTIFS('02_SWEA_통합_코딩테스트_DB'!$G$4:$G$1260, DATE(2026,8,24)+32*7+1, '02_SWEA_통합_코딩테스트_DB'!$J$4:$J$1260, "&lt;&gt;보류*") + COUNTIFS('02_SWEA_통합_코딩테스트_DB'!$H$4:$H$1260, DATE(2026,8,24)+32*7+1, '02_SWEA_통합_코딩테스트_DB'!$J$4:$J$1260, "&lt;&gt;보류*") + COUNTIFS('02_SWEA_통합_코딩테스트_DB'!$I$4:$I$1260, DATE(2026,8,24)+32*7+1, '02_SWEA_통합_코딩테스트_DB'!$J$4:$J$1260, "&lt;&gt;보류*") + COUNTIF('03_보안기사_필기_DB'!$I$4:$M$100, DATE(2026,8,24)+32*7+1) + COUNTIF('04_보안기사_실기_DB'!$G$4:$I$30, DATE(2026,8,24)+32*7+1) + COUNTIF('08_빅분기_필기_DB'!$I$4:$K$34, DATE(2026,8,24)+32*7+1) + COUNTIF('09_빅분기_실기_DB'!$H$4:$I$25, DATE(2026,8,24)+32*7+1)</f>
        <v/>
      </c>
      <c r="AJ12" s="97">
        <f>COUNTIFS('02_SWEA_통합_코딩테스트_DB'!$F$4:$F$1260, DATE(2026,8,24)+33*7+1, '02_SWEA_통합_코딩테스트_DB'!$J$4:$J$1260, "&lt;&gt;보류*") + COUNTIFS('02_SWEA_통합_코딩테스트_DB'!$G$4:$G$1260, DATE(2026,8,24)+33*7+1, '02_SWEA_통합_코딩테스트_DB'!$J$4:$J$1260, "&lt;&gt;보류*") + COUNTIFS('02_SWEA_통합_코딩테스트_DB'!$H$4:$H$1260, DATE(2026,8,24)+33*7+1, '02_SWEA_통합_코딩테스트_DB'!$J$4:$J$1260, "&lt;&gt;보류*") + COUNTIFS('02_SWEA_통합_코딩테스트_DB'!$I$4:$I$1260, DATE(2026,8,24)+33*7+1, '02_SWEA_통합_코딩테스트_DB'!$J$4:$J$1260, "&lt;&gt;보류*") + COUNTIF('03_보안기사_필기_DB'!$I$4:$M$100, DATE(2026,8,24)+33*7+1) + COUNTIF('04_보안기사_실기_DB'!$G$4:$I$30, DATE(2026,8,24)+33*7+1) + COUNTIF('08_빅분기_필기_DB'!$I$4:$K$34, DATE(2026,8,24)+33*7+1) + COUNTIF('09_빅분기_실기_DB'!$H$4:$I$25, DATE(2026,8,24)+33*7+1)</f>
        <v/>
      </c>
      <c r="AK12" s="97">
        <f>COUNTIFS('02_SWEA_통합_코딩테스트_DB'!$F$4:$F$1260, DATE(2026,8,24)+34*7+1, '02_SWEA_통합_코딩테스트_DB'!$J$4:$J$1260, "&lt;&gt;보류*") + COUNTIFS('02_SWEA_통합_코딩테스트_DB'!$G$4:$G$1260, DATE(2026,8,24)+34*7+1, '02_SWEA_통합_코딩테스트_DB'!$J$4:$J$1260, "&lt;&gt;보류*") + COUNTIFS('02_SWEA_통합_코딩테스트_DB'!$H$4:$H$1260, DATE(2026,8,24)+34*7+1, '02_SWEA_통합_코딩테스트_DB'!$J$4:$J$1260, "&lt;&gt;보류*") + COUNTIFS('02_SWEA_통합_코딩테스트_DB'!$I$4:$I$1260, DATE(2026,8,24)+34*7+1, '02_SWEA_통합_코딩테스트_DB'!$J$4:$J$1260, "&lt;&gt;보류*") + COUNTIF('03_보안기사_필기_DB'!$I$4:$M$100, DATE(2026,8,24)+34*7+1) + COUNTIF('04_보안기사_실기_DB'!$G$4:$I$30, DATE(2026,8,24)+34*7+1) + COUNTIF('08_빅분기_필기_DB'!$I$4:$K$34, DATE(2026,8,24)+34*7+1) + COUNTIF('09_빅분기_실기_DB'!$H$4:$I$25, DATE(2026,8,24)+34*7+1)</f>
        <v/>
      </c>
      <c r="AL12" s="97">
        <f>COUNTIFS('02_SWEA_통합_코딩테스트_DB'!$F$4:$F$1260, DATE(2026,8,24)+35*7+1, '02_SWEA_통합_코딩테스트_DB'!$J$4:$J$1260, "&lt;&gt;보류*") + COUNTIFS('02_SWEA_통합_코딩테스트_DB'!$G$4:$G$1260, DATE(2026,8,24)+35*7+1, '02_SWEA_통합_코딩테스트_DB'!$J$4:$J$1260, "&lt;&gt;보류*") + COUNTIFS('02_SWEA_통합_코딩테스트_DB'!$H$4:$H$1260, DATE(2026,8,24)+35*7+1, '02_SWEA_통합_코딩테스트_DB'!$J$4:$J$1260, "&lt;&gt;보류*") + COUNTIFS('02_SWEA_통합_코딩테스트_DB'!$I$4:$I$1260, DATE(2026,8,24)+35*7+1, '02_SWEA_통합_코딩테스트_DB'!$J$4:$J$1260, "&lt;&gt;보류*") + COUNTIF('03_보안기사_필기_DB'!$I$4:$M$100, DATE(2026,8,24)+35*7+1) + COUNTIF('04_보안기사_실기_DB'!$G$4:$I$30, DATE(2026,8,24)+35*7+1) + COUNTIF('08_빅분기_필기_DB'!$I$4:$K$34, DATE(2026,8,24)+35*7+1) + COUNTIF('09_빅분기_실기_DB'!$H$4:$I$25, DATE(2026,8,24)+35*7+1)</f>
        <v/>
      </c>
      <c r="AM12" s="97">
        <f>COUNTIFS('02_SWEA_통합_코딩테스트_DB'!$F$4:$F$1260, DATE(2026,8,24)+36*7+1, '02_SWEA_통합_코딩테스트_DB'!$J$4:$J$1260, "&lt;&gt;보류*") + COUNTIFS('02_SWEA_통합_코딩테스트_DB'!$G$4:$G$1260, DATE(2026,8,24)+36*7+1, '02_SWEA_통합_코딩테스트_DB'!$J$4:$J$1260, "&lt;&gt;보류*") + COUNTIFS('02_SWEA_통합_코딩테스트_DB'!$H$4:$H$1260, DATE(2026,8,24)+36*7+1, '02_SWEA_통합_코딩테스트_DB'!$J$4:$J$1260, "&lt;&gt;보류*") + COUNTIFS('02_SWEA_통합_코딩테스트_DB'!$I$4:$I$1260, DATE(2026,8,24)+36*7+1, '02_SWEA_통합_코딩테스트_DB'!$J$4:$J$1260, "&lt;&gt;보류*") + COUNTIF('03_보안기사_필기_DB'!$I$4:$M$100, DATE(2026,8,24)+36*7+1) + COUNTIF('04_보안기사_실기_DB'!$G$4:$I$30, DATE(2026,8,24)+36*7+1) + COUNTIF('08_빅분기_필기_DB'!$I$4:$K$34, DATE(2026,8,24)+36*7+1) + COUNTIF('09_빅분기_실기_DB'!$H$4:$I$25, DATE(2026,8,24)+36*7+1)</f>
        <v/>
      </c>
      <c r="AN12" s="97">
        <f>COUNTIFS('02_SWEA_통합_코딩테스트_DB'!$F$4:$F$1260, DATE(2026,8,24)+37*7+1, '02_SWEA_통합_코딩테스트_DB'!$J$4:$J$1260, "&lt;&gt;보류*") + COUNTIFS('02_SWEA_통합_코딩테스트_DB'!$G$4:$G$1260, DATE(2026,8,24)+37*7+1, '02_SWEA_통합_코딩테스트_DB'!$J$4:$J$1260, "&lt;&gt;보류*") + COUNTIFS('02_SWEA_통합_코딩테스트_DB'!$H$4:$H$1260, DATE(2026,8,24)+37*7+1, '02_SWEA_통합_코딩테스트_DB'!$J$4:$J$1260, "&lt;&gt;보류*") + COUNTIFS('02_SWEA_통합_코딩테스트_DB'!$I$4:$I$1260, DATE(2026,8,24)+37*7+1, '02_SWEA_통합_코딩테스트_DB'!$J$4:$J$1260, "&lt;&gt;보류*") + COUNTIF('03_보안기사_필기_DB'!$I$4:$M$100, DATE(2026,8,24)+37*7+1) + COUNTIF('04_보안기사_실기_DB'!$G$4:$I$30, DATE(2026,8,24)+37*7+1) + COUNTIF('08_빅분기_필기_DB'!$I$4:$K$34, DATE(2026,8,24)+37*7+1) + COUNTIF('09_빅분기_실기_DB'!$H$4:$I$25, DATE(2026,8,24)+37*7+1)</f>
        <v/>
      </c>
      <c r="AO12" s="97">
        <f>COUNTIFS('02_SWEA_통합_코딩테스트_DB'!$F$4:$F$1260, DATE(2026,8,24)+38*7+1, '02_SWEA_통합_코딩테스트_DB'!$J$4:$J$1260, "&lt;&gt;보류*") + COUNTIFS('02_SWEA_통합_코딩테스트_DB'!$G$4:$G$1260, DATE(2026,8,24)+38*7+1, '02_SWEA_통합_코딩테스트_DB'!$J$4:$J$1260, "&lt;&gt;보류*") + COUNTIFS('02_SWEA_통합_코딩테스트_DB'!$H$4:$H$1260, DATE(2026,8,24)+38*7+1, '02_SWEA_통합_코딩테스트_DB'!$J$4:$J$1260, "&lt;&gt;보류*") + COUNTIFS('02_SWEA_통합_코딩테스트_DB'!$I$4:$I$1260, DATE(2026,8,24)+38*7+1, '02_SWEA_통합_코딩테스트_DB'!$J$4:$J$1260, "&lt;&gt;보류*") + COUNTIF('03_보안기사_필기_DB'!$I$4:$M$100, DATE(2026,8,24)+38*7+1) + COUNTIF('04_보안기사_실기_DB'!$G$4:$I$30, DATE(2026,8,24)+38*7+1) + COUNTIF('08_빅분기_필기_DB'!$I$4:$K$34, DATE(2026,8,24)+38*7+1) + COUNTIF('09_빅분기_실기_DB'!$H$4:$I$25, DATE(2026,8,24)+38*7+1)</f>
        <v/>
      </c>
      <c r="AP12" s="97">
        <f>COUNTIFS('02_SWEA_통합_코딩테스트_DB'!$F$4:$F$1260, DATE(2026,8,24)+39*7+1, '02_SWEA_통합_코딩테스트_DB'!$J$4:$J$1260, "&lt;&gt;보류*") + COUNTIFS('02_SWEA_통합_코딩테스트_DB'!$G$4:$G$1260, DATE(2026,8,24)+39*7+1, '02_SWEA_통합_코딩테스트_DB'!$J$4:$J$1260, "&lt;&gt;보류*") + COUNTIFS('02_SWEA_통합_코딩테스트_DB'!$H$4:$H$1260, DATE(2026,8,24)+39*7+1, '02_SWEA_통합_코딩테스트_DB'!$J$4:$J$1260, "&lt;&gt;보류*") + COUNTIFS('02_SWEA_통합_코딩테스트_DB'!$I$4:$I$1260, DATE(2026,8,24)+39*7+1, '02_SWEA_통합_코딩테스트_DB'!$J$4:$J$1260, "&lt;&gt;보류*") + COUNTIF('03_보안기사_필기_DB'!$I$4:$M$100, DATE(2026,8,24)+39*7+1) + COUNTIF('04_보안기사_실기_DB'!$G$4:$I$30, DATE(2026,8,24)+39*7+1) + COUNTIF('08_빅분기_필기_DB'!$I$4:$K$34, DATE(2026,8,24)+39*7+1) + COUNTIF('09_빅분기_실기_DB'!$H$4:$I$25, DATE(2026,8,24)+39*7+1)</f>
        <v/>
      </c>
      <c r="AQ12" s="97">
        <f>COUNTIFS('02_SWEA_통합_코딩테스트_DB'!$F$4:$F$1260, DATE(2026,8,24)+40*7+1, '02_SWEA_통합_코딩테스트_DB'!$J$4:$J$1260, "&lt;&gt;보류*") + COUNTIFS('02_SWEA_통합_코딩테스트_DB'!$G$4:$G$1260, DATE(2026,8,24)+40*7+1, '02_SWEA_통합_코딩테스트_DB'!$J$4:$J$1260, "&lt;&gt;보류*") + COUNTIFS('02_SWEA_통합_코딩테스트_DB'!$H$4:$H$1260, DATE(2026,8,24)+40*7+1, '02_SWEA_통합_코딩테스트_DB'!$J$4:$J$1260, "&lt;&gt;보류*") + COUNTIFS('02_SWEA_통합_코딩테스트_DB'!$I$4:$I$1260, DATE(2026,8,24)+40*7+1, '02_SWEA_통합_코딩테스트_DB'!$J$4:$J$1260, "&lt;&gt;보류*") + COUNTIF('03_보안기사_필기_DB'!$I$4:$M$100, DATE(2026,8,24)+40*7+1) + COUNTIF('04_보안기사_실기_DB'!$G$4:$I$30, DATE(2026,8,24)+40*7+1) + COUNTIF('08_빅분기_필기_DB'!$I$4:$K$34, DATE(2026,8,24)+40*7+1) + COUNTIF('09_빅분기_실기_DB'!$H$4:$I$25, DATE(2026,8,24)+40*7+1)</f>
        <v/>
      </c>
      <c r="AR12" s="97">
        <f>COUNTIFS('02_SWEA_통합_코딩테스트_DB'!$F$4:$F$1260, DATE(2026,8,24)+41*7+1, '02_SWEA_통합_코딩테스트_DB'!$J$4:$J$1260, "&lt;&gt;보류*") + COUNTIFS('02_SWEA_통합_코딩테스트_DB'!$G$4:$G$1260, DATE(2026,8,24)+41*7+1, '02_SWEA_통합_코딩테스트_DB'!$J$4:$J$1260, "&lt;&gt;보류*") + COUNTIFS('02_SWEA_통합_코딩테스트_DB'!$H$4:$H$1260, DATE(2026,8,24)+41*7+1, '02_SWEA_통합_코딩테스트_DB'!$J$4:$J$1260, "&lt;&gt;보류*") + COUNTIFS('02_SWEA_통합_코딩테스트_DB'!$I$4:$I$1260, DATE(2026,8,24)+41*7+1, '02_SWEA_통합_코딩테스트_DB'!$J$4:$J$1260, "&lt;&gt;보류*") + COUNTIF('03_보안기사_필기_DB'!$I$4:$M$100, DATE(2026,8,24)+41*7+1) + COUNTIF('04_보안기사_실기_DB'!$G$4:$I$30, DATE(2026,8,24)+41*7+1) + COUNTIF('08_빅분기_필기_DB'!$I$4:$K$34, DATE(2026,8,24)+41*7+1) + COUNTIF('09_빅분기_실기_DB'!$H$4:$I$25, DATE(2026,8,24)+41*7+1)</f>
        <v/>
      </c>
      <c r="AS12" s="97">
        <f>COUNTIFS('02_SWEA_통합_코딩테스트_DB'!$F$4:$F$1260, DATE(2026,8,24)+42*7+1, '02_SWEA_통합_코딩테스트_DB'!$J$4:$J$1260, "&lt;&gt;보류*") + COUNTIFS('02_SWEA_통합_코딩테스트_DB'!$G$4:$G$1260, DATE(2026,8,24)+42*7+1, '02_SWEA_통합_코딩테스트_DB'!$J$4:$J$1260, "&lt;&gt;보류*") + COUNTIFS('02_SWEA_통합_코딩테스트_DB'!$H$4:$H$1260, DATE(2026,8,24)+42*7+1, '02_SWEA_통합_코딩테스트_DB'!$J$4:$J$1260, "&lt;&gt;보류*") + COUNTIFS('02_SWEA_통합_코딩테스트_DB'!$I$4:$I$1260, DATE(2026,8,24)+42*7+1, '02_SWEA_통합_코딩테스트_DB'!$J$4:$J$1260, "&lt;&gt;보류*") + COUNTIF('03_보안기사_필기_DB'!$I$4:$M$100, DATE(2026,8,24)+42*7+1) + COUNTIF('04_보안기사_실기_DB'!$G$4:$I$30, DATE(2026,8,24)+42*7+1) + COUNTIF('08_빅분기_필기_DB'!$I$4:$K$34, DATE(2026,8,24)+42*7+1) + COUNTIF('09_빅분기_실기_DB'!$H$4:$I$25, DATE(2026,8,24)+42*7+1)</f>
        <v/>
      </c>
      <c r="AT12" s="97">
        <f>COUNTIFS('02_SWEA_통합_코딩테스트_DB'!$F$4:$F$1260, DATE(2026,8,24)+43*7+1, '02_SWEA_통합_코딩테스트_DB'!$J$4:$J$1260, "&lt;&gt;보류*") + COUNTIFS('02_SWEA_통합_코딩테스트_DB'!$G$4:$G$1260, DATE(2026,8,24)+43*7+1, '02_SWEA_통합_코딩테스트_DB'!$J$4:$J$1260, "&lt;&gt;보류*") + COUNTIFS('02_SWEA_통합_코딩테스트_DB'!$H$4:$H$1260, DATE(2026,8,24)+43*7+1, '02_SWEA_통합_코딩테스트_DB'!$J$4:$J$1260, "&lt;&gt;보류*") + COUNTIFS('02_SWEA_통합_코딩테스트_DB'!$I$4:$I$1260, DATE(2026,8,24)+43*7+1, '02_SWEA_통합_코딩테스트_DB'!$J$4:$J$1260, "&lt;&gt;보류*") + COUNTIF('03_보안기사_필기_DB'!$I$4:$M$100, DATE(2026,8,24)+43*7+1) + COUNTIF('04_보안기사_실기_DB'!$G$4:$I$30, DATE(2026,8,24)+43*7+1) + COUNTIF('08_빅분기_필기_DB'!$I$4:$K$34, DATE(2026,8,24)+43*7+1) + COUNTIF('09_빅분기_실기_DB'!$H$4:$I$25, DATE(2026,8,24)+43*7+1)</f>
        <v/>
      </c>
      <c r="AU12" s="97">
        <f>COUNTIFS('02_SWEA_통합_코딩테스트_DB'!$F$4:$F$1260, DATE(2026,8,24)+44*7+1, '02_SWEA_통합_코딩테스트_DB'!$J$4:$J$1260, "&lt;&gt;보류*") + COUNTIFS('02_SWEA_통합_코딩테스트_DB'!$G$4:$G$1260, DATE(2026,8,24)+44*7+1, '02_SWEA_통합_코딩테스트_DB'!$J$4:$J$1260, "&lt;&gt;보류*") + COUNTIFS('02_SWEA_통합_코딩테스트_DB'!$H$4:$H$1260, DATE(2026,8,24)+44*7+1, '02_SWEA_통합_코딩테스트_DB'!$J$4:$J$1260, "&lt;&gt;보류*") + COUNTIFS('02_SWEA_통합_코딩테스트_DB'!$I$4:$I$1260, DATE(2026,8,24)+44*7+1, '02_SWEA_통합_코딩테스트_DB'!$J$4:$J$1260, "&lt;&gt;보류*") + COUNTIF('03_보안기사_필기_DB'!$I$4:$M$100, DATE(2026,8,24)+44*7+1) + COUNTIF('04_보안기사_실기_DB'!$G$4:$I$30, DATE(2026,8,24)+44*7+1) + COUNTIF('08_빅분기_필기_DB'!$I$4:$K$34, DATE(2026,8,24)+44*7+1) + COUNTIF('09_빅분기_실기_DB'!$H$4:$I$25, DATE(2026,8,24)+44*7+1)</f>
        <v/>
      </c>
      <c r="AV12" s="97">
        <f>COUNTIFS('02_SWEA_통합_코딩테스트_DB'!$F$4:$F$1260, DATE(2026,8,24)+45*7+1, '02_SWEA_통합_코딩테스트_DB'!$J$4:$J$1260, "&lt;&gt;보류*") + COUNTIFS('02_SWEA_통합_코딩테스트_DB'!$G$4:$G$1260, DATE(2026,8,24)+45*7+1, '02_SWEA_통합_코딩테스트_DB'!$J$4:$J$1260, "&lt;&gt;보류*") + COUNTIFS('02_SWEA_통합_코딩테스트_DB'!$H$4:$H$1260, DATE(2026,8,24)+45*7+1, '02_SWEA_통합_코딩테스트_DB'!$J$4:$J$1260, "&lt;&gt;보류*") + COUNTIFS('02_SWEA_통합_코딩테스트_DB'!$I$4:$I$1260, DATE(2026,8,24)+45*7+1, '02_SWEA_통합_코딩테스트_DB'!$J$4:$J$1260, "&lt;&gt;보류*") + COUNTIF('03_보안기사_필기_DB'!$I$4:$M$100, DATE(2026,8,24)+45*7+1) + COUNTIF('04_보안기사_실기_DB'!$G$4:$I$30, DATE(2026,8,24)+45*7+1) + COUNTIF('08_빅분기_필기_DB'!$I$4:$K$34, DATE(2026,8,24)+45*7+1) + COUNTIF('09_빅분기_실기_DB'!$H$4:$I$25, DATE(2026,8,24)+45*7+1)</f>
        <v/>
      </c>
      <c r="AW12" s="97">
        <f>COUNTIFS('02_SWEA_통합_코딩테스트_DB'!$F$4:$F$1260, DATE(2026,8,24)+46*7+1, '02_SWEA_통합_코딩테스트_DB'!$J$4:$J$1260, "&lt;&gt;보류*") + COUNTIFS('02_SWEA_통합_코딩테스트_DB'!$G$4:$G$1260, DATE(2026,8,24)+46*7+1, '02_SWEA_통합_코딩테스트_DB'!$J$4:$J$1260, "&lt;&gt;보류*") + COUNTIFS('02_SWEA_통합_코딩테스트_DB'!$H$4:$H$1260, DATE(2026,8,24)+46*7+1, '02_SWEA_통합_코딩테스트_DB'!$J$4:$J$1260, "&lt;&gt;보류*") + COUNTIFS('02_SWEA_통합_코딩테스트_DB'!$I$4:$I$1260, DATE(2026,8,24)+46*7+1, '02_SWEA_통합_코딩테스트_DB'!$J$4:$J$1260, "&lt;&gt;보류*") + COUNTIF('03_보안기사_필기_DB'!$I$4:$M$100, DATE(2026,8,24)+46*7+1) + COUNTIF('04_보안기사_실기_DB'!$G$4:$I$30, DATE(2026,8,24)+46*7+1) + COUNTIF('08_빅분기_필기_DB'!$I$4:$K$34, DATE(2026,8,24)+46*7+1) + COUNTIF('09_빅분기_실기_DB'!$H$4:$I$25, DATE(2026,8,24)+46*7+1)</f>
        <v/>
      </c>
      <c r="AX12" s="97">
        <f>COUNTIFS('02_SWEA_통합_코딩테스트_DB'!$F$4:$F$1260, DATE(2026,8,24)+47*7+1, '02_SWEA_통합_코딩테스트_DB'!$J$4:$J$1260, "&lt;&gt;보류*") + COUNTIFS('02_SWEA_통합_코딩테스트_DB'!$G$4:$G$1260, DATE(2026,8,24)+47*7+1, '02_SWEA_통합_코딩테스트_DB'!$J$4:$J$1260, "&lt;&gt;보류*") + COUNTIFS('02_SWEA_통합_코딩테스트_DB'!$H$4:$H$1260, DATE(2026,8,24)+47*7+1, '02_SWEA_통합_코딩테스트_DB'!$J$4:$J$1260, "&lt;&gt;보류*") + COUNTIFS('02_SWEA_통합_코딩테스트_DB'!$I$4:$I$1260, DATE(2026,8,24)+47*7+1, '02_SWEA_통합_코딩테스트_DB'!$J$4:$J$1260, "&lt;&gt;보류*") + COUNTIF('03_보안기사_필기_DB'!$I$4:$M$100, DATE(2026,8,24)+47*7+1) + COUNTIF('04_보안기사_실기_DB'!$G$4:$I$30, DATE(2026,8,24)+47*7+1) + COUNTIF('08_빅분기_필기_DB'!$I$4:$K$34, DATE(2026,8,24)+47*7+1) + COUNTIF('09_빅분기_실기_DB'!$H$4:$I$25, DATE(2026,8,24)+47*7+1)</f>
        <v/>
      </c>
      <c r="AY12" s="97">
        <f>COUNTIFS('02_SWEA_통합_코딩테스트_DB'!$F$4:$F$1260, DATE(2026,8,24)+48*7+1, '02_SWEA_통합_코딩테스트_DB'!$J$4:$J$1260, "&lt;&gt;보류*") + COUNTIFS('02_SWEA_통합_코딩테스트_DB'!$G$4:$G$1260, DATE(2026,8,24)+48*7+1, '02_SWEA_통합_코딩테스트_DB'!$J$4:$J$1260, "&lt;&gt;보류*") + COUNTIFS('02_SWEA_통합_코딩테스트_DB'!$H$4:$H$1260, DATE(2026,8,24)+48*7+1, '02_SWEA_통합_코딩테스트_DB'!$J$4:$J$1260, "&lt;&gt;보류*") + COUNTIFS('02_SWEA_통합_코딩테스트_DB'!$I$4:$I$1260, DATE(2026,8,24)+48*7+1, '02_SWEA_통합_코딩테스트_DB'!$J$4:$J$1260, "&lt;&gt;보류*") + COUNTIF('03_보안기사_필기_DB'!$I$4:$M$100, DATE(2026,8,24)+48*7+1) + COUNTIF('04_보안기사_실기_DB'!$G$4:$I$30, DATE(2026,8,24)+48*7+1) + COUNTIF('08_빅분기_필기_DB'!$I$4:$K$34, DATE(2026,8,24)+48*7+1) + COUNTIF('09_빅분기_실기_DB'!$H$4:$I$25, DATE(2026,8,24)+48*7+1)</f>
        <v/>
      </c>
      <c r="AZ12" s="97">
        <f>COUNTIFS('02_SWEA_통합_코딩테스트_DB'!$F$4:$F$1260, DATE(2026,8,24)+49*7+1, '02_SWEA_통합_코딩테스트_DB'!$J$4:$J$1260, "&lt;&gt;보류*") + COUNTIFS('02_SWEA_통합_코딩테스트_DB'!$G$4:$G$1260, DATE(2026,8,24)+49*7+1, '02_SWEA_통합_코딩테스트_DB'!$J$4:$J$1260, "&lt;&gt;보류*") + COUNTIFS('02_SWEA_통합_코딩테스트_DB'!$H$4:$H$1260, DATE(2026,8,24)+49*7+1, '02_SWEA_통합_코딩테스트_DB'!$J$4:$J$1260, "&lt;&gt;보류*") + COUNTIFS('02_SWEA_통합_코딩테스트_DB'!$I$4:$I$1260, DATE(2026,8,24)+49*7+1, '02_SWEA_통합_코딩테스트_DB'!$J$4:$J$1260, "&lt;&gt;보류*") + COUNTIF('03_보안기사_필기_DB'!$I$4:$M$100, DATE(2026,8,24)+49*7+1) + COUNTIF('04_보안기사_실기_DB'!$G$4:$I$30, DATE(2026,8,24)+49*7+1) + COUNTIF('08_빅분기_필기_DB'!$I$4:$K$34, DATE(2026,8,24)+49*7+1) + COUNTIF('09_빅분기_실기_DB'!$H$4:$I$25, DATE(2026,8,24)+49*7+1)</f>
        <v/>
      </c>
      <c r="BA12" s="97">
        <f>COUNTIFS('02_SWEA_통합_코딩테스트_DB'!$F$4:$F$1260, DATE(2026,8,24)+50*7+1, '02_SWEA_통합_코딩테스트_DB'!$J$4:$J$1260, "&lt;&gt;보류*") + COUNTIFS('02_SWEA_통합_코딩테스트_DB'!$G$4:$G$1260, DATE(2026,8,24)+50*7+1, '02_SWEA_통합_코딩테스트_DB'!$J$4:$J$1260, "&lt;&gt;보류*") + COUNTIFS('02_SWEA_통합_코딩테스트_DB'!$H$4:$H$1260, DATE(2026,8,24)+50*7+1, '02_SWEA_통합_코딩테스트_DB'!$J$4:$J$1260, "&lt;&gt;보류*") + COUNTIFS('02_SWEA_통합_코딩테스트_DB'!$I$4:$I$1260, DATE(2026,8,24)+50*7+1, '02_SWEA_통합_코딩테스트_DB'!$J$4:$J$1260, "&lt;&gt;보류*") + COUNTIF('03_보안기사_필기_DB'!$I$4:$M$100, DATE(2026,8,24)+50*7+1) + COUNTIF('04_보안기사_실기_DB'!$G$4:$I$30, DATE(2026,8,24)+50*7+1) + COUNTIF('08_빅분기_필기_DB'!$I$4:$K$34, DATE(2026,8,24)+50*7+1) + COUNTIF('09_빅분기_실기_DB'!$H$4:$I$25, DATE(2026,8,24)+50*7+1)</f>
        <v/>
      </c>
      <c r="BB12" s="97">
        <f>COUNTIFS('02_SWEA_통합_코딩테스트_DB'!$F$4:$F$1260, DATE(2026,8,24)+51*7+1, '02_SWEA_통합_코딩테스트_DB'!$J$4:$J$1260, "&lt;&gt;보류*") + COUNTIFS('02_SWEA_통합_코딩테스트_DB'!$G$4:$G$1260, DATE(2026,8,24)+51*7+1, '02_SWEA_통합_코딩테스트_DB'!$J$4:$J$1260, "&lt;&gt;보류*") + COUNTIFS('02_SWEA_통합_코딩테스트_DB'!$H$4:$H$1260, DATE(2026,8,24)+51*7+1, '02_SWEA_통합_코딩테스트_DB'!$J$4:$J$1260, "&lt;&gt;보류*") + COUNTIFS('02_SWEA_통합_코딩테스트_DB'!$I$4:$I$1260, DATE(2026,8,24)+51*7+1, '02_SWEA_통합_코딩테스트_DB'!$J$4:$J$1260, "&lt;&gt;보류*") + COUNTIF('03_보안기사_필기_DB'!$I$4:$M$100, DATE(2026,8,24)+51*7+1) + COUNTIF('04_보안기사_실기_DB'!$G$4:$I$30, DATE(2026,8,24)+51*7+1) + COUNTIF('08_빅분기_필기_DB'!$I$4:$K$34, DATE(2026,8,24)+51*7+1) + COUNTIF('09_빅분기_실기_DB'!$H$4:$I$25, DATE(2026,8,24)+51*7+1)</f>
        <v/>
      </c>
      <c r="BC12" s="97">
        <f>COUNTIFS('02_SWEA_통합_코딩테스트_DB'!$F$4:$F$1260, DATE(2026,8,24)+52*7+1, '02_SWEA_통합_코딩테스트_DB'!$J$4:$J$1260, "&lt;&gt;보류*") + COUNTIFS('02_SWEA_통합_코딩테스트_DB'!$G$4:$G$1260, DATE(2026,8,24)+52*7+1, '02_SWEA_통합_코딩테스트_DB'!$J$4:$J$1260, "&lt;&gt;보류*") + COUNTIFS('02_SWEA_통합_코딩테스트_DB'!$H$4:$H$1260, DATE(2026,8,24)+52*7+1, '02_SWEA_통합_코딩테스트_DB'!$J$4:$J$1260, "&lt;&gt;보류*") + COUNTIFS('02_SWEA_통합_코딩테스트_DB'!$I$4:$I$1260, DATE(2026,8,24)+52*7+1, '02_SWEA_통합_코딩테스트_DB'!$J$4:$J$1260, "&lt;&gt;보류*") + COUNTIF('03_보안기사_필기_DB'!$I$4:$M$100, DATE(2026,8,24)+52*7+1) + COUNTIF('04_보안기사_실기_DB'!$G$4:$I$30, DATE(2026,8,24)+52*7+1)</f>
        <v/>
      </c>
      <c r="BD12" s="26" t="n"/>
      <c r="BE12" s="26" t="n"/>
      <c r="BF12" s="26" t="n"/>
      <c r="BG12" s="26" t="n"/>
    </row>
    <row r="13" ht="21.75" customHeight="1" s="209">
      <c r="A13" s="225" t="inlineStr">
        <is>
          <t>수 (Wed)</t>
        </is>
      </c>
      <c r="B13" s="214" t="n"/>
      <c r="C13" s="97">
        <f>COUNTIFS('02_SWEA_통합_코딩테스트_DB'!$F$4:$F$1260, DATE(2026,8,24)+0*7+2, '02_SWEA_통합_코딩테스트_DB'!$J$4:$J$1260, "&lt;&gt;보류*") + COUNTIFS('02_SWEA_통합_코딩테스트_DB'!$G$4:$G$1260, DATE(2026,8,24)+0*7+2, '02_SWEA_통합_코딩테스트_DB'!$J$4:$J$1260, "&lt;&gt;보류*") + COUNTIFS('02_SWEA_통합_코딩테스트_DB'!$H$4:$H$1260, DATE(2026,8,24)+0*7+2, '02_SWEA_통합_코딩테스트_DB'!$J$4:$J$1260, "&lt;&gt;보류*") + COUNTIFS('02_SWEA_통합_코딩테스트_DB'!$I$4:$I$1260, DATE(2026,8,24)+0*7+2, '02_SWEA_통합_코딩테스트_DB'!$J$4:$J$1260, "&lt;&gt;보류*") + COUNTIF('03_보안기사_필기_DB'!$I$4:$M$100, DATE(2026,8,24)+0*7+2) + COUNTIF('04_보안기사_실기_DB'!$G$4:$I$30, DATE(2026,8,24)+0*7+2) + COUNTIF('08_빅분기_필기_DB'!$I$4:$K$34, DATE(2026,8,24)+0*7+2) + COUNTIF('09_빅분기_실기_DB'!$H$4:$I$25, DATE(2026,8,24)+0*7+2)</f>
        <v/>
      </c>
      <c r="D13" s="97">
        <f>COUNTIFS('02_SWEA_통합_코딩테스트_DB'!$F$4:$F$1260, DATE(2026,8,24)+1*7+2, '02_SWEA_통합_코딩테스트_DB'!$J$4:$J$1260, "&lt;&gt;보류*") + COUNTIFS('02_SWEA_통합_코딩테스트_DB'!$G$4:$G$1260, DATE(2026,8,24)+1*7+2, '02_SWEA_통합_코딩테스트_DB'!$J$4:$J$1260, "&lt;&gt;보류*") + COUNTIFS('02_SWEA_통합_코딩테스트_DB'!$H$4:$H$1260, DATE(2026,8,24)+1*7+2, '02_SWEA_통합_코딩테스트_DB'!$J$4:$J$1260, "&lt;&gt;보류*") + COUNTIFS('02_SWEA_통합_코딩테스트_DB'!$I$4:$I$1260, DATE(2026,8,24)+1*7+2, '02_SWEA_통합_코딩테스트_DB'!$J$4:$J$1260, "&lt;&gt;보류*") + COUNTIF('03_보안기사_필기_DB'!$I$4:$M$100, DATE(2026,8,24)+1*7+2) + COUNTIF('04_보안기사_실기_DB'!$G$4:$I$30, DATE(2026,8,24)+1*7+2) + COUNTIF('08_빅분기_필기_DB'!$I$4:$K$34, DATE(2026,8,24)+1*7+2) + COUNTIF('09_빅분기_실기_DB'!$H$4:$I$25, DATE(2026,8,24)+1*7+2)</f>
        <v/>
      </c>
      <c r="E13" s="97">
        <f>COUNTIFS('02_SWEA_통합_코딩테스트_DB'!$F$4:$F$1260, DATE(2026,8,24)+2*7+2, '02_SWEA_통합_코딩테스트_DB'!$J$4:$J$1260, "&lt;&gt;보류*") + COUNTIFS('02_SWEA_통합_코딩테스트_DB'!$G$4:$G$1260, DATE(2026,8,24)+2*7+2, '02_SWEA_통합_코딩테스트_DB'!$J$4:$J$1260, "&lt;&gt;보류*") + COUNTIFS('02_SWEA_통합_코딩테스트_DB'!$H$4:$H$1260, DATE(2026,8,24)+2*7+2, '02_SWEA_통합_코딩테스트_DB'!$J$4:$J$1260, "&lt;&gt;보류*") + COUNTIFS('02_SWEA_통합_코딩테스트_DB'!$I$4:$I$1260, DATE(2026,8,24)+2*7+2, '02_SWEA_통합_코딩테스트_DB'!$J$4:$J$1260, "&lt;&gt;보류*") + COUNTIF('03_보안기사_필기_DB'!$I$4:$M$100, DATE(2026,8,24)+2*7+2) + COUNTIF('04_보안기사_실기_DB'!$G$4:$I$30, DATE(2026,8,24)+2*7+2) + COUNTIF('08_빅분기_필기_DB'!$I$4:$K$34, DATE(2026,8,24)+2*7+2) + COUNTIF('09_빅분기_실기_DB'!$H$4:$I$25, DATE(2026,8,24)+2*7+2)</f>
        <v/>
      </c>
      <c r="F13" s="97">
        <f>COUNTIFS('02_SWEA_통합_코딩테스트_DB'!$F$4:$F$1260, DATE(2026,8,24)+3*7+2, '02_SWEA_통합_코딩테스트_DB'!$J$4:$J$1260, "&lt;&gt;보류*") + COUNTIFS('02_SWEA_통합_코딩테스트_DB'!$G$4:$G$1260, DATE(2026,8,24)+3*7+2, '02_SWEA_통합_코딩테스트_DB'!$J$4:$J$1260, "&lt;&gt;보류*") + COUNTIFS('02_SWEA_통합_코딩테스트_DB'!$H$4:$H$1260, DATE(2026,8,24)+3*7+2, '02_SWEA_통합_코딩테스트_DB'!$J$4:$J$1260, "&lt;&gt;보류*") + COUNTIFS('02_SWEA_통합_코딩테스트_DB'!$I$4:$I$1260, DATE(2026,8,24)+3*7+2, '02_SWEA_통합_코딩테스트_DB'!$J$4:$J$1260, "&lt;&gt;보류*") + COUNTIF('03_보안기사_필기_DB'!$I$4:$M$100, DATE(2026,8,24)+3*7+2) + COUNTIF('04_보안기사_실기_DB'!$G$4:$I$30, DATE(2026,8,24)+3*7+2) + COUNTIF('08_빅분기_필기_DB'!$I$4:$K$34, DATE(2026,8,24)+3*7+2) + COUNTIF('09_빅분기_실기_DB'!$H$4:$I$25, DATE(2026,8,24)+3*7+2)</f>
        <v/>
      </c>
      <c r="G13" s="97">
        <f>COUNTIFS('02_SWEA_통합_코딩테스트_DB'!$F$4:$F$1260, DATE(2026,8,24)+4*7+2, '02_SWEA_통합_코딩테스트_DB'!$J$4:$J$1260, "&lt;&gt;보류*") + COUNTIFS('02_SWEA_통합_코딩테스트_DB'!$G$4:$G$1260, DATE(2026,8,24)+4*7+2, '02_SWEA_통합_코딩테스트_DB'!$J$4:$J$1260, "&lt;&gt;보류*") + COUNTIFS('02_SWEA_통합_코딩테스트_DB'!$H$4:$H$1260, DATE(2026,8,24)+4*7+2, '02_SWEA_통합_코딩테스트_DB'!$J$4:$J$1260, "&lt;&gt;보류*") + COUNTIFS('02_SWEA_통합_코딩테스트_DB'!$I$4:$I$1260, DATE(2026,8,24)+4*7+2, '02_SWEA_통합_코딩테스트_DB'!$J$4:$J$1260, "&lt;&gt;보류*") + COUNTIF('03_보안기사_필기_DB'!$I$4:$M$100, DATE(2026,8,24)+4*7+2) + COUNTIF('04_보안기사_실기_DB'!$G$4:$I$30, DATE(2026,8,24)+4*7+2) + COUNTIF('08_빅분기_필기_DB'!$I$4:$K$34, DATE(2026,8,24)+4*7+2) + COUNTIF('09_빅분기_실기_DB'!$H$4:$I$25, DATE(2026,8,24)+4*7+2)</f>
        <v/>
      </c>
      <c r="H13" s="97">
        <f>COUNTIFS('02_SWEA_통합_코딩테스트_DB'!$F$4:$F$1260, DATE(2026,8,24)+5*7+2, '02_SWEA_통합_코딩테스트_DB'!$J$4:$J$1260, "&lt;&gt;보류*") + COUNTIFS('02_SWEA_통합_코딩테스트_DB'!$G$4:$G$1260, DATE(2026,8,24)+5*7+2, '02_SWEA_통합_코딩테스트_DB'!$J$4:$J$1260, "&lt;&gt;보류*") + COUNTIFS('02_SWEA_통합_코딩테스트_DB'!$H$4:$H$1260, DATE(2026,8,24)+5*7+2, '02_SWEA_통합_코딩테스트_DB'!$J$4:$J$1260, "&lt;&gt;보류*") + COUNTIFS('02_SWEA_통합_코딩테스트_DB'!$I$4:$I$1260, DATE(2026,8,24)+5*7+2, '02_SWEA_통합_코딩테스트_DB'!$J$4:$J$1260, "&lt;&gt;보류*") + COUNTIF('03_보안기사_필기_DB'!$I$4:$M$100, DATE(2026,8,24)+5*7+2) + COUNTIF('04_보안기사_실기_DB'!$G$4:$I$30, DATE(2026,8,24)+5*7+2) + COUNTIF('08_빅분기_필기_DB'!$I$4:$K$34, DATE(2026,8,24)+5*7+2) + COUNTIF('09_빅분기_실기_DB'!$H$4:$I$25, DATE(2026,8,24)+5*7+2)</f>
        <v/>
      </c>
      <c r="I13" s="97">
        <f>COUNTIFS('02_SWEA_통합_코딩테스트_DB'!$F$4:$F$1260, DATE(2026,8,24)+6*7+2, '02_SWEA_통합_코딩테스트_DB'!$J$4:$J$1260, "&lt;&gt;보류*") + COUNTIFS('02_SWEA_통합_코딩테스트_DB'!$G$4:$G$1260, DATE(2026,8,24)+6*7+2, '02_SWEA_통합_코딩테스트_DB'!$J$4:$J$1260, "&lt;&gt;보류*") + COUNTIFS('02_SWEA_통합_코딩테스트_DB'!$H$4:$H$1260, DATE(2026,8,24)+6*7+2, '02_SWEA_통합_코딩테스트_DB'!$J$4:$J$1260, "&lt;&gt;보류*") + COUNTIFS('02_SWEA_통합_코딩테스트_DB'!$I$4:$I$1260, DATE(2026,8,24)+6*7+2, '02_SWEA_통합_코딩테스트_DB'!$J$4:$J$1260, "&lt;&gt;보류*") + COUNTIF('03_보안기사_필기_DB'!$I$4:$M$100, DATE(2026,8,24)+6*7+2) + COUNTIF('04_보안기사_실기_DB'!$G$4:$I$30, DATE(2026,8,24)+6*7+2) + COUNTIF('08_빅분기_필기_DB'!$I$4:$K$34, DATE(2026,8,24)+6*7+2) + COUNTIF('09_빅분기_실기_DB'!$H$4:$I$25, DATE(2026,8,24)+6*7+2)</f>
        <v/>
      </c>
      <c r="J13" s="97">
        <f>COUNTIFS('02_SWEA_통합_코딩테스트_DB'!$F$4:$F$1260, DATE(2026,8,24)+7*7+2, '02_SWEA_통합_코딩테스트_DB'!$J$4:$J$1260, "&lt;&gt;보류*") + COUNTIFS('02_SWEA_통합_코딩테스트_DB'!$G$4:$G$1260, DATE(2026,8,24)+7*7+2, '02_SWEA_통합_코딩테스트_DB'!$J$4:$J$1260, "&lt;&gt;보류*") + COUNTIFS('02_SWEA_통합_코딩테스트_DB'!$H$4:$H$1260, DATE(2026,8,24)+7*7+2, '02_SWEA_통합_코딩테스트_DB'!$J$4:$J$1260, "&lt;&gt;보류*") + COUNTIFS('02_SWEA_통합_코딩테스트_DB'!$I$4:$I$1260, DATE(2026,8,24)+7*7+2, '02_SWEA_통합_코딩테스트_DB'!$J$4:$J$1260, "&lt;&gt;보류*") + COUNTIF('03_보안기사_필기_DB'!$I$4:$M$100, DATE(2026,8,24)+7*7+2) + COUNTIF('04_보안기사_실기_DB'!$G$4:$I$30, DATE(2026,8,24)+7*7+2) + COUNTIF('08_빅분기_필기_DB'!$I$4:$K$34, DATE(2026,8,24)+7*7+2) + COUNTIF('09_빅분기_실기_DB'!$H$4:$I$25, DATE(2026,8,24)+7*7+2)</f>
        <v/>
      </c>
      <c r="K13" s="97">
        <f>COUNTIFS('02_SWEA_통합_코딩테스트_DB'!$F$4:$F$1260, DATE(2026,8,24)+8*7+2, '02_SWEA_통합_코딩테스트_DB'!$J$4:$J$1260, "&lt;&gt;보류*") + COUNTIFS('02_SWEA_통합_코딩테스트_DB'!$G$4:$G$1260, DATE(2026,8,24)+8*7+2, '02_SWEA_통합_코딩테스트_DB'!$J$4:$J$1260, "&lt;&gt;보류*") + COUNTIFS('02_SWEA_통합_코딩테스트_DB'!$H$4:$H$1260, DATE(2026,8,24)+8*7+2, '02_SWEA_통합_코딩테스트_DB'!$J$4:$J$1260, "&lt;&gt;보류*") + COUNTIFS('02_SWEA_통합_코딩테스트_DB'!$I$4:$I$1260, DATE(2026,8,24)+8*7+2, '02_SWEA_통합_코딩테스트_DB'!$J$4:$J$1260, "&lt;&gt;보류*") + COUNTIF('03_보안기사_필기_DB'!$I$4:$M$100, DATE(2026,8,24)+8*7+2) + COUNTIF('04_보안기사_실기_DB'!$G$4:$I$30, DATE(2026,8,24)+8*7+2) + COUNTIF('08_빅분기_필기_DB'!$I$4:$K$34, DATE(2026,8,24)+8*7+2) + COUNTIF('09_빅분기_실기_DB'!$H$4:$I$25, DATE(2026,8,24)+8*7+2)</f>
        <v/>
      </c>
      <c r="L13" s="97">
        <f>COUNTIFS('02_SWEA_통합_코딩테스트_DB'!$F$4:$F$1260, DATE(2026,8,24)+9*7+2, '02_SWEA_통합_코딩테스트_DB'!$J$4:$J$1260, "&lt;&gt;보류*") + COUNTIFS('02_SWEA_통합_코딩테스트_DB'!$G$4:$G$1260, DATE(2026,8,24)+9*7+2, '02_SWEA_통합_코딩테스트_DB'!$J$4:$J$1260, "&lt;&gt;보류*") + COUNTIFS('02_SWEA_통합_코딩테스트_DB'!$H$4:$H$1260, DATE(2026,8,24)+9*7+2, '02_SWEA_통합_코딩테스트_DB'!$J$4:$J$1260, "&lt;&gt;보류*") + COUNTIFS('02_SWEA_통합_코딩테스트_DB'!$I$4:$I$1260, DATE(2026,8,24)+9*7+2, '02_SWEA_통합_코딩테스트_DB'!$J$4:$J$1260, "&lt;&gt;보류*") + COUNTIF('03_보안기사_필기_DB'!$I$4:$M$100, DATE(2026,8,24)+9*7+2) + COUNTIF('04_보안기사_실기_DB'!$G$4:$I$30, DATE(2026,8,24)+9*7+2) + COUNTIF('08_빅분기_필기_DB'!$I$4:$K$34, DATE(2026,8,24)+9*7+2) + COUNTIF('09_빅분기_실기_DB'!$H$4:$I$25, DATE(2026,8,24)+9*7+2)</f>
        <v/>
      </c>
      <c r="M13" s="97">
        <f>COUNTIFS('02_SWEA_통합_코딩테스트_DB'!$F$4:$F$1260, DATE(2026,8,24)+10*7+2, '02_SWEA_통합_코딩테스트_DB'!$J$4:$J$1260, "&lt;&gt;보류*") + COUNTIFS('02_SWEA_통합_코딩테스트_DB'!$G$4:$G$1260, DATE(2026,8,24)+10*7+2, '02_SWEA_통합_코딩테스트_DB'!$J$4:$J$1260, "&lt;&gt;보류*") + COUNTIFS('02_SWEA_통합_코딩테스트_DB'!$H$4:$H$1260, DATE(2026,8,24)+10*7+2, '02_SWEA_통합_코딩테스트_DB'!$J$4:$J$1260, "&lt;&gt;보류*") + COUNTIFS('02_SWEA_통합_코딩테스트_DB'!$I$4:$I$1260, DATE(2026,8,24)+10*7+2, '02_SWEA_통합_코딩테스트_DB'!$J$4:$J$1260, "&lt;&gt;보류*") + COUNTIF('03_보안기사_필기_DB'!$I$4:$M$100, DATE(2026,8,24)+10*7+2) + COUNTIF('04_보안기사_실기_DB'!$G$4:$I$30, DATE(2026,8,24)+10*7+2) + COUNTIF('08_빅분기_필기_DB'!$I$4:$K$34, DATE(2026,8,24)+10*7+2) + COUNTIF('09_빅분기_실기_DB'!$H$4:$I$25, DATE(2026,8,24)+10*7+2)</f>
        <v/>
      </c>
      <c r="N13" s="97">
        <f>COUNTIFS('02_SWEA_통합_코딩테스트_DB'!$F$4:$F$1260, DATE(2026,8,24)+11*7+2, '02_SWEA_통합_코딩테스트_DB'!$J$4:$J$1260, "&lt;&gt;보류*") + COUNTIFS('02_SWEA_통합_코딩테스트_DB'!$G$4:$G$1260, DATE(2026,8,24)+11*7+2, '02_SWEA_통합_코딩테스트_DB'!$J$4:$J$1260, "&lt;&gt;보류*") + COUNTIFS('02_SWEA_통합_코딩테스트_DB'!$H$4:$H$1260, DATE(2026,8,24)+11*7+2, '02_SWEA_통합_코딩테스트_DB'!$J$4:$J$1260, "&lt;&gt;보류*") + COUNTIFS('02_SWEA_통합_코딩테스트_DB'!$I$4:$I$1260, DATE(2026,8,24)+11*7+2, '02_SWEA_통합_코딩테스트_DB'!$J$4:$J$1260, "&lt;&gt;보류*") + COUNTIF('03_보안기사_필기_DB'!$I$4:$M$100, DATE(2026,8,24)+11*7+2) + COUNTIF('04_보안기사_실기_DB'!$G$4:$I$30, DATE(2026,8,24)+11*7+2) + COUNTIF('08_빅분기_필기_DB'!$I$4:$K$34, DATE(2026,8,24)+11*7+2) + COUNTIF('09_빅분기_실기_DB'!$H$4:$I$25, DATE(2026,8,24)+11*7+2)</f>
        <v/>
      </c>
      <c r="O13" s="97">
        <f>COUNTIFS('02_SWEA_통합_코딩테스트_DB'!$F$4:$F$1260, DATE(2026,8,24)+12*7+2, '02_SWEA_통합_코딩테스트_DB'!$J$4:$J$1260, "&lt;&gt;보류*") + COUNTIFS('02_SWEA_통합_코딩테스트_DB'!$G$4:$G$1260, DATE(2026,8,24)+12*7+2, '02_SWEA_통합_코딩테스트_DB'!$J$4:$J$1260, "&lt;&gt;보류*") + COUNTIFS('02_SWEA_통합_코딩테스트_DB'!$H$4:$H$1260, DATE(2026,8,24)+12*7+2, '02_SWEA_통합_코딩테스트_DB'!$J$4:$J$1260, "&lt;&gt;보류*") + COUNTIFS('02_SWEA_통합_코딩테스트_DB'!$I$4:$I$1260, DATE(2026,8,24)+12*7+2, '02_SWEA_통합_코딩테스트_DB'!$J$4:$J$1260, "&lt;&gt;보류*") + COUNTIF('03_보안기사_필기_DB'!$I$4:$M$100, DATE(2026,8,24)+12*7+2) + COUNTIF('04_보안기사_실기_DB'!$G$4:$I$30, DATE(2026,8,24)+12*7+2) + COUNTIF('08_빅분기_필기_DB'!$I$4:$K$34, DATE(2026,8,24)+12*7+2) + COUNTIF('09_빅분기_실기_DB'!$H$4:$I$25, DATE(2026,8,24)+12*7+2)</f>
        <v/>
      </c>
      <c r="P13" s="97">
        <f>COUNTIFS('02_SWEA_통합_코딩테스트_DB'!$F$4:$F$1260, DATE(2026,8,24)+13*7+2, '02_SWEA_통합_코딩테스트_DB'!$J$4:$J$1260, "&lt;&gt;보류*") + COUNTIFS('02_SWEA_통합_코딩테스트_DB'!$G$4:$G$1260, DATE(2026,8,24)+13*7+2, '02_SWEA_통합_코딩테스트_DB'!$J$4:$J$1260, "&lt;&gt;보류*") + COUNTIFS('02_SWEA_통합_코딩테스트_DB'!$H$4:$H$1260, DATE(2026,8,24)+13*7+2, '02_SWEA_통합_코딩테스트_DB'!$J$4:$J$1260, "&lt;&gt;보류*") + COUNTIFS('02_SWEA_통합_코딩테스트_DB'!$I$4:$I$1260, DATE(2026,8,24)+13*7+2, '02_SWEA_통합_코딩테스트_DB'!$J$4:$J$1260, "&lt;&gt;보류*") + COUNTIF('03_보안기사_필기_DB'!$I$4:$M$100, DATE(2026,8,24)+13*7+2) + COUNTIF('04_보안기사_실기_DB'!$G$4:$I$30, DATE(2026,8,24)+13*7+2) + COUNTIF('08_빅분기_필기_DB'!$I$4:$K$34, DATE(2026,8,24)+13*7+2) + COUNTIF('09_빅분기_실기_DB'!$H$4:$I$25, DATE(2026,8,24)+13*7+2)</f>
        <v/>
      </c>
      <c r="Q13" s="97">
        <f>COUNTIFS('02_SWEA_통합_코딩테스트_DB'!$F$4:$F$1260, DATE(2026,8,24)+14*7+2, '02_SWEA_통합_코딩테스트_DB'!$J$4:$J$1260, "&lt;&gt;보류*") + COUNTIFS('02_SWEA_통합_코딩테스트_DB'!$G$4:$G$1260, DATE(2026,8,24)+14*7+2, '02_SWEA_통합_코딩테스트_DB'!$J$4:$J$1260, "&lt;&gt;보류*") + COUNTIFS('02_SWEA_통합_코딩테스트_DB'!$H$4:$H$1260, DATE(2026,8,24)+14*7+2, '02_SWEA_통합_코딩테스트_DB'!$J$4:$J$1260, "&lt;&gt;보류*") + COUNTIFS('02_SWEA_통합_코딩테스트_DB'!$I$4:$I$1260, DATE(2026,8,24)+14*7+2, '02_SWEA_통합_코딩테스트_DB'!$J$4:$J$1260, "&lt;&gt;보류*") + COUNTIF('03_보안기사_필기_DB'!$I$4:$M$100, DATE(2026,8,24)+14*7+2) + COUNTIF('04_보안기사_실기_DB'!$G$4:$I$30, DATE(2026,8,24)+14*7+2) + COUNTIF('08_빅분기_필기_DB'!$I$4:$K$34, DATE(2026,8,24)+14*7+2) + COUNTIF('09_빅분기_실기_DB'!$H$4:$I$25, DATE(2026,8,24)+14*7+2)</f>
        <v/>
      </c>
      <c r="R13" s="97">
        <f>COUNTIFS('02_SWEA_통합_코딩테스트_DB'!$F$4:$F$1260, DATE(2026,8,24)+15*7+2, '02_SWEA_통합_코딩테스트_DB'!$J$4:$J$1260, "&lt;&gt;보류*") + COUNTIFS('02_SWEA_통합_코딩테스트_DB'!$G$4:$G$1260, DATE(2026,8,24)+15*7+2, '02_SWEA_통합_코딩테스트_DB'!$J$4:$J$1260, "&lt;&gt;보류*") + COUNTIFS('02_SWEA_통합_코딩테스트_DB'!$H$4:$H$1260, DATE(2026,8,24)+15*7+2, '02_SWEA_통합_코딩테스트_DB'!$J$4:$J$1260, "&lt;&gt;보류*") + COUNTIFS('02_SWEA_통합_코딩테스트_DB'!$I$4:$I$1260, DATE(2026,8,24)+15*7+2, '02_SWEA_통합_코딩테스트_DB'!$J$4:$J$1260, "&lt;&gt;보류*") + COUNTIF('03_보안기사_필기_DB'!$I$4:$M$100, DATE(2026,8,24)+15*7+2) + COUNTIF('04_보안기사_실기_DB'!$G$4:$I$30, DATE(2026,8,24)+15*7+2) + COUNTIF('08_빅분기_필기_DB'!$I$4:$K$34, DATE(2026,8,24)+15*7+2) + COUNTIF('09_빅분기_실기_DB'!$H$4:$I$25, DATE(2026,8,24)+15*7+2)</f>
        <v/>
      </c>
      <c r="S13" s="97">
        <f>COUNTIFS('02_SWEA_통합_코딩테스트_DB'!$F$4:$F$1260, DATE(2026,8,24)+16*7+2, '02_SWEA_통합_코딩테스트_DB'!$J$4:$J$1260, "&lt;&gt;보류*") + COUNTIFS('02_SWEA_통합_코딩테스트_DB'!$G$4:$G$1260, DATE(2026,8,24)+16*7+2, '02_SWEA_통합_코딩테스트_DB'!$J$4:$J$1260, "&lt;&gt;보류*") + COUNTIFS('02_SWEA_통합_코딩테스트_DB'!$H$4:$H$1260, DATE(2026,8,24)+16*7+2, '02_SWEA_통합_코딩테스트_DB'!$J$4:$J$1260, "&lt;&gt;보류*") + COUNTIFS('02_SWEA_통합_코딩테스트_DB'!$I$4:$I$1260, DATE(2026,8,24)+16*7+2, '02_SWEA_통합_코딩테스트_DB'!$J$4:$J$1260, "&lt;&gt;보류*") + COUNTIF('03_보안기사_필기_DB'!$I$4:$M$100, DATE(2026,8,24)+16*7+2) + COUNTIF('04_보안기사_실기_DB'!$G$4:$I$30, DATE(2026,8,24)+16*7+2) + COUNTIF('08_빅분기_필기_DB'!$I$4:$K$34, DATE(2026,8,24)+16*7+2) + COUNTIF('09_빅분기_실기_DB'!$H$4:$I$25, DATE(2026,8,24)+16*7+2)</f>
        <v/>
      </c>
      <c r="T13" s="97">
        <f>COUNTIFS('02_SWEA_통합_코딩테스트_DB'!$F$4:$F$1260, DATE(2026,8,24)+17*7+2, '02_SWEA_통합_코딩테스트_DB'!$J$4:$J$1260, "&lt;&gt;보류*") + COUNTIFS('02_SWEA_통합_코딩테스트_DB'!$G$4:$G$1260, DATE(2026,8,24)+17*7+2, '02_SWEA_통합_코딩테스트_DB'!$J$4:$J$1260, "&lt;&gt;보류*") + COUNTIFS('02_SWEA_통합_코딩테스트_DB'!$H$4:$H$1260, DATE(2026,8,24)+17*7+2, '02_SWEA_통합_코딩테스트_DB'!$J$4:$J$1260, "&lt;&gt;보류*") + COUNTIFS('02_SWEA_통합_코딩테스트_DB'!$I$4:$I$1260, DATE(2026,8,24)+17*7+2, '02_SWEA_통합_코딩테스트_DB'!$J$4:$J$1260, "&lt;&gt;보류*") + COUNTIF('03_보안기사_필기_DB'!$I$4:$M$100, DATE(2026,8,24)+17*7+2) + COUNTIF('04_보안기사_실기_DB'!$G$4:$I$30, DATE(2026,8,24)+17*7+2) + COUNTIF('08_빅분기_필기_DB'!$I$4:$K$34, DATE(2026,8,24)+17*7+2) + COUNTIF('09_빅분기_실기_DB'!$H$4:$I$25, DATE(2026,8,24)+17*7+2)</f>
        <v/>
      </c>
      <c r="U13" s="97">
        <f>COUNTIFS('02_SWEA_통합_코딩테스트_DB'!$F$4:$F$1260, DATE(2026,8,24)+18*7+2, '02_SWEA_통합_코딩테스트_DB'!$J$4:$J$1260, "&lt;&gt;보류*") + COUNTIFS('02_SWEA_통합_코딩테스트_DB'!$G$4:$G$1260, DATE(2026,8,24)+18*7+2, '02_SWEA_통합_코딩테스트_DB'!$J$4:$J$1260, "&lt;&gt;보류*") + COUNTIFS('02_SWEA_통합_코딩테스트_DB'!$H$4:$H$1260, DATE(2026,8,24)+18*7+2, '02_SWEA_통합_코딩테스트_DB'!$J$4:$J$1260, "&lt;&gt;보류*") + COUNTIFS('02_SWEA_통합_코딩테스트_DB'!$I$4:$I$1260, DATE(2026,8,24)+18*7+2, '02_SWEA_통합_코딩테스트_DB'!$J$4:$J$1260, "&lt;&gt;보류*") + COUNTIF('03_보안기사_필기_DB'!$I$4:$M$100, DATE(2026,8,24)+18*7+2) + COUNTIF('04_보안기사_실기_DB'!$G$4:$I$30, DATE(2026,8,24)+18*7+2) + COUNTIF('08_빅분기_필기_DB'!$I$4:$K$34, DATE(2026,8,24)+18*7+2) + COUNTIF('09_빅분기_실기_DB'!$H$4:$I$25, DATE(2026,8,24)+18*7+2)</f>
        <v/>
      </c>
      <c r="V13" s="97">
        <f>COUNTIFS('02_SWEA_통합_코딩테스트_DB'!$F$4:$F$1260, DATE(2026,8,24)+19*7+2, '02_SWEA_통합_코딩테스트_DB'!$J$4:$J$1260, "&lt;&gt;보류*") + COUNTIFS('02_SWEA_통합_코딩테스트_DB'!$G$4:$G$1260, DATE(2026,8,24)+19*7+2, '02_SWEA_통합_코딩테스트_DB'!$J$4:$J$1260, "&lt;&gt;보류*") + COUNTIFS('02_SWEA_통합_코딩테스트_DB'!$H$4:$H$1260, DATE(2026,8,24)+19*7+2, '02_SWEA_통합_코딩테스트_DB'!$J$4:$J$1260, "&lt;&gt;보류*") + COUNTIFS('02_SWEA_통합_코딩테스트_DB'!$I$4:$I$1260, DATE(2026,8,24)+19*7+2, '02_SWEA_통합_코딩테스트_DB'!$J$4:$J$1260, "&lt;&gt;보류*") + COUNTIF('03_보안기사_필기_DB'!$I$4:$M$100, DATE(2026,8,24)+19*7+2) + COUNTIF('04_보안기사_실기_DB'!$G$4:$I$30, DATE(2026,8,24)+19*7+2) + COUNTIF('08_빅분기_필기_DB'!$I$4:$K$34, DATE(2026,8,24)+19*7+2) + COUNTIF('09_빅분기_실기_DB'!$H$4:$I$25, DATE(2026,8,24)+19*7+2)</f>
        <v/>
      </c>
      <c r="W13" s="97">
        <f>COUNTIFS('02_SWEA_통합_코딩테스트_DB'!$F$4:$F$1260, DATE(2026,8,24)+20*7+2, '02_SWEA_통합_코딩테스트_DB'!$J$4:$J$1260, "&lt;&gt;보류*") + COUNTIFS('02_SWEA_통합_코딩테스트_DB'!$G$4:$G$1260, DATE(2026,8,24)+20*7+2, '02_SWEA_통합_코딩테스트_DB'!$J$4:$J$1260, "&lt;&gt;보류*") + COUNTIFS('02_SWEA_통합_코딩테스트_DB'!$H$4:$H$1260, DATE(2026,8,24)+20*7+2, '02_SWEA_통합_코딩테스트_DB'!$J$4:$J$1260, "&lt;&gt;보류*") + COUNTIFS('02_SWEA_통합_코딩테스트_DB'!$I$4:$I$1260, DATE(2026,8,24)+20*7+2, '02_SWEA_통합_코딩테스트_DB'!$J$4:$J$1260, "&lt;&gt;보류*") + COUNTIF('03_보안기사_필기_DB'!$I$4:$M$100, DATE(2026,8,24)+20*7+2) + COUNTIF('04_보안기사_실기_DB'!$G$4:$I$30, DATE(2026,8,24)+20*7+2) + COUNTIF('08_빅분기_필기_DB'!$I$4:$K$34, DATE(2026,8,24)+20*7+2) + COUNTIF('09_빅분기_실기_DB'!$H$4:$I$25, DATE(2026,8,24)+20*7+2)</f>
        <v/>
      </c>
      <c r="X13" s="97">
        <f>COUNTIFS('02_SWEA_통합_코딩테스트_DB'!$F$4:$F$1260, DATE(2026,8,24)+21*7+2, '02_SWEA_통합_코딩테스트_DB'!$J$4:$J$1260, "&lt;&gt;보류*") + COUNTIFS('02_SWEA_통합_코딩테스트_DB'!$G$4:$G$1260, DATE(2026,8,24)+21*7+2, '02_SWEA_통합_코딩테스트_DB'!$J$4:$J$1260, "&lt;&gt;보류*") + COUNTIFS('02_SWEA_통합_코딩테스트_DB'!$H$4:$H$1260, DATE(2026,8,24)+21*7+2, '02_SWEA_통합_코딩테스트_DB'!$J$4:$J$1260, "&lt;&gt;보류*") + COUNTIFS('02_SWEA_통합_코딩테스트_DB'!$I$4:$I$1260, DATE(2026,8,24)+21*7+2, '02_SWEA_통합_코딩테스트_DB'!$J$4:$J$1260, "&lt;&gt;보류*") + COUNTIF('03_보안기사_필기_DB'!$I$4:$M$100, DATE(2026,8,24)+21*7+2) + COUNTIF('04_보안기사_실기_DB'!$G$4:$I$30, DATE(2026,8,24)+21*7+2) + COUNTIF('08_빅분기_필기_DB'!$I$4:$K$34, DATE(2026,8,24)+21*7+2) + COUNTIF('09_빅분기_실기_DB'!$H$4:$I$25, DATE(2026,8,24)+21*7+2)</f>
        <v/>
      </c>
      <c r="Y13" s="97">
        <f>COUNTIFS('02_SWEA_통합_코딩테스트_DB'!$F$4:$F$1260, DATE(2026,8,24)+22*7+2, '02_SWEA_통합_코딩테스트_DB'!$J$4:$J$1260, "&lt;&gt;보류*") + COUNTIFS('02_SWEA_통합_코딩테스트_DB'!$G$4:$G$1260, DATE(2026,8,24)+22*7+2, '02_SWEA_통합_코딩테스트_DB'!$J$4:$J$1260, "&lt;&gt;보류*") + COUNTIFS('02_SWEA_통합_코딩테스트_DB'!$H$4:$H$1260, DATE(2026,8,24)+22*7+2, '02_SWEA_통합_코딩테스트_DB'!$J$4:$J$1260, "&lt;&gt;보류*") + COUNTIFS('02_SWEA_통합_코딩테스트_DB'!$I$4:$I$1260, DATE(2026,8,24)+22*7+2, '02_SWEA_통합_코딩테스트_DB'!$J$4:$J$1260, "&lt;&gt;보류*") + COUNTIF('03_보안기사_필기_DB'!$I$4:$M$100, DATE(2026,8,24)+22*7+2) + COUNTIF('04_보안기사_실기_DB'!$G$4:$I$30, DATE(2026,8,24)+22*7+2) + COUNTIF('08_빅분기_필기_DB'!$I$4:$K$34, DATE(2026,8,24)+22*7+2) + COUNTIF('09_빅분기_실기_DB'!$H$4:$I$25, DATE(2026,8,24)+22*7+2)</f>
        <v/>
      </c>
      <c r="Z13" s="97">
        <f>COUNTIFS('02_SWEA_통합_코딩테스트_DB'!$F$4:$F$1260, DATE(2026,8,24)+23*7+2, '02_SWEA_통합_코딩테스트_DB'!$J$4:$J$1260, "&lt;&gt;보류*") + COUNTIFS('02_SWEA_통합_코딩테스트_DB'!$G$4:$G$1260, DATE(2026,8,24)+23*7+2, '02_SWEA_통합_코딩테스트_DB'!$J$4:$J$1260, "&lt;&gt;보류*") + COUNTIFS('02_SWEA_통합_코딩테스트_DB'!$H$4:$H$1260, DATE(2026,8,24)+23*7+2, '02_SWEA_통합_코딩테스트_DB'!$J$4:$J$1260, "&lt;&gt;보류*") + COUNTIFS('02_SWEA_통합_코딩테스트_DB'!$I$4:$I$1260, DATE(2026,8,24)+23*7+2, '02_SWEA_통합_코딩테스트_DB'!$J$4:$J$1260, "&lt;&gt;보류*") + COUNTIF('03_보안기사_필기_DB'!$I$4:$M$100, DATE(2026,8,24)+23*7+2) + COUNTIF('04_보안기사_실기_DB'!$G$4:$I$30, DATE(2026,8,24)+23*7+2) + COUNTIF('08_빅분기_필기_DB'!$I$4:$K$34, DATE(2026,8,24)+23*7+2) + COUNTIF('09_빅분기_실기_DB'!$H$4:$I$25, DATE(2026,8,24)+23*7+2)</f>
        <v/>
      </c>
      <c r="AA13" s="97">
        <f>COUNTIFS('02_SWEA_통합_코딩테스트_DB'!$F$4:$F$1260, DATE(2026,8,24)+24*7+2, '02_SWEA_통합_코딩테스트_DB'!$J$4:$J$1260, "&lt;&gt;보류*") + COUNTIFS('02_SWEA_통합_코딩테스트_DB'!$G$4:$G$1260, DATE(2026,8,24)+24*7+2, '02_SWEA_통합_코딩테스트_DB'!$J$4:$J$1260, "&lt;&gt;보류*") + COUNTIFS('02_SWEA_통합_코딩테스트_DB'!$H$4:$H$1260, DATE(2026,8,24)+24*7+2, '02_SWEA_통합_코딩테스트_DB'!$J$4:$J$1260, "&lt;&gt;보류*") + COUNTIFS('02_SWEA_통합_코딩테스트_DB'!$I$4:$I$1260, DATE(2026,8,24)+24*7+2, '02_SWEA_통합_코딩테스트_DB'!$J$4:$J$1260, "&lt;&gt;보류*") + COUNTIF('03_보안기사_필기_DB'!$I$4:$M$100, DATE(2026,8,24)+24*7+2) + COUNTIF('04_보안기사_실기_DB'!$G$4:$I$30, DATE(2026,8,24)+24*7+2) + COUNTIF('08_빅분기_필기_DB'!$I$4:$K$34, DATE(2026,8,24)+24*7+2) + COUNTIF('09_빅분기_실기_DB'!$H$4:$I$25, DATE(2026,8,24)+24*7+2)</f>
        <v/>
      </c>
      <c r="AB13" s="97">
        <f>COUNTIFS('02_SWEA_통합_코딩테스트_DB'!$F$4:$F$1260, DATE(2026,8,24)+25*7+2, '02_SWEA_통합_코딩테스트_DB'!$J$4:$J$1260, "&lt;&gt;보류*") + COUNTIFS('02_SWEA_통합_코딩테스트_DB'!$G$4:$G$1260, DATE(2026,8,24)+25*7+2, '02_SWEA_통합_코딩테스트_DB'!$J$4:$J$1260, "&lt;&gt;보류*") + COUNTIFS('02_SWEA_통합_코딩테스트_DB'!$H$4:$H$1260, DATE(2026,8,24)+25*7+2, '02_SWEA_통합_코딩테스트_DB'!$J$4:$J$1260, "&lt;&gt;보류*") + COUNTIFS('02_SWEA_통합_코딩테스트_DB'!$I$4:$I$1260, DATE(2026,8,24)+25*7+2, '02_SWEA_통합_코딩테스트_DB'!$J$4:$J$1260, "&lt;&gt;보류*") + COUNTIF('03_보안기사_필기_DB'!$I$4:$M$100, DATE(2026,8,24)+25*7+2) + COUNTIF('04_보안기사_실기_DB'!$G$4:$I$30, DATE(2026,8,24)+25*7+2) + COUNTIF('08_빅분기_필기_DB'!$I$4:$K$34, DATE(2026,8,24)+25*7+2) + COUNTIF('09_빅분기_실기_DB'!$H$4:$I$25, DATE(2026,8,24)+25*7+2)</f>
        <v/>
      </c>
      <c r="AC13" s="97">
        <f>COUNTIFS('02_SWEA_통합_코딩테스트_DB'!$F$4:$F$1260, DATE(2026,8,24)+26*7+2, '02_SWEA_통합_코딩테스트_DB'!$J$4:$J$1260, "&lt;&gt;보류*") + COUNTIFS('02_SWEA_통합_코딩테스트_DB'!$G$4:$G$1260, DATE(2026,8,24)+26*7+2, '02_SWEA_통합_코딩테스트_DB'!$J$4:$J$1260, "&lt;&gt;보류*") + COUNTIFS('02_SWEA_통합_코딩테스트_DB'!$H$4:$H$1260, DATE(2026,8,24)+26*7+2, '02_SWEA_통합_코딩테스트_DB'!$J$4:$J$1260, "&lt;&gt;보류*") + COUNTIFS('02_SWEA_통합_코딩테스트_DB'!$I$4:$I$1260, DATE(2026,8,24)+26*7+2, '02_SWEA_통합_코딩테스트_DB'!$J$4:$J$1260, "&lt;&gt;보류*") + COUNTIF('03_보안기사_필기_DB'!$I$4:$M$100, DATE(2026,8,24)+26*7+2) + COUNTIF('04_보안기사_실기_DB'!$G$4:$I$30, DATE(2026,8,24)+26*7+2) + COUNTIF('08_빅분기_필기_DB'!$I$4:$K$34, DATE(2026,8,24)+26*7+2) + COUNTIF('09_빅분기_실기_DB'!$H$4:$I$25, DATE(2026,8,24)+26*7+2)</f>
        <v/>
      </c>
      <c r="AD13" s="97">
        <f>COUNTIFS('02_SWEA_통합_코딩테스트_DB'!$F$4:$F$1260, DATE(2026,8,24)+27*7+2, '02_SWEA_통합_코딩테스트_DB'!$J$4:$J$1260, "&lt;&gt;보류*") + COUNTIFS('02_SWEA_통합_코딩테스트_DB'!$G$4:$G$1260, DATE(2026,8,24)+27*7+2, '02_SWEA_통합_코딩테스트_DB'!$J$4:$J$1260, "&lt;&gt;보류*") + COUNTIFS('02_SWEA_통합_코딩테스트_DB'!$H$4:$H$1260, DATE(2026,8,24)+27*7+2, '02_SWEA_통합_코딩테스트_DB'!$J$4:$J$1260, "&lt;&gt;보류*") + COUNTIFS('02_SWEA_통합_코딩테스트_DB'!$I$4:$I$1260, DATE(2026,8,24)+27*7+2, '02_SWEA_통합_코딩테스트_DB'!$J$4:$J$1260, "&lt;&gt;보류*") + COUNTIF('03_보안기사_필기_DB'!$I$4:$M$100, DATE(2026,8,24)+27*7+2) + COUNTIF('04_보안기사_실기_DB'!$G$4:$I$30, DATE(2026,8,24)+27*7+2) + COUNTIF('08_빅분기_필기_DB'!$I$4:$K$34, DATE(2026,8,24)+27*7+2) + COUNTIF('09_빅분기_실기_DB'!$H$4:$I$25, DATE(2026,8,24)+27*7+2)</f>
        <v/>
      </c>
      <c r="AE13" s="97">
        <f>COUNTIFS('02_SWEA_통합_코딩테스트_DB'!$F$4:$F$1260, DATE(2026,8,24)+28*7+2, '02_SWEA_통합_코딩테스트_DB'!$J$4:$J$1260, "&lt;&gt;보류*") + COUNTIFS('02_SWEA_통합_코딩테스트_DB'!$G$4:$G$1260, DATE(2026,8,24)+28*7+2, '02_SWEA_통합_코딩테스트_DB'!$J$4:$J$1260, "&lt;&gt;보류*") + COUNTIFS('02_SWEA_통합_코딩테스트_DB'!$H$4:$H$1260, DATE(2026,8,24)+28*7+2, '02_SWEA_통합_코딩테스트_DB'!$J$4:$J$1260, "&lt;&gt;보류*") + COUNTIFS('02_SWEA_통합_코딩테스트_DB'!$I$4:$I$1260, DATE(2026,8,24)+28*7+2, '02_SWEA_통합_코딩테스트_DB'!$J$4:$J$1260, "&lt;&gt;보류*") + COUNTIF('03_보안기사_필기_DB'!$I$4:$M$100, DATE(2026,8,24)+28*7+2) + COUNTIF('04_보안기사_실기_DB'!$G$4:$I$30, DATE(2026,8,24)+28*7+2) + COUNTIF('08_빅분기_필기_DB'!$I$4:$K$34, DATE(2026,8,24)+28*7+2) + COUNTIF('09_빅분기_실기_DB'!$H$4:$I$25, DATE(2026,8,24)+28*7+2)</f>
        <v/>
      </c>
      <c r="AF13" s="97">
        <f>COUNTIFS('02_SWEA_통합_코딩테스트_DB'!$F$4:$F$1260, DATE(2026,8,24)+29*7+2, '02_SWEA_통합_코딩테스트_DB'!$J$4:$J$1260, "&lt;&gt;보류*") + COUNTIFS('02_SWEA_통합_코딩테스트_DB'!$G$4:$G$1260, DATE(2026,8,24)+29*7+2, '02_SWEA_통합_코딩테스트_DB'!$J$4:$J$1260, "&lt;&gt;보류*") + COUNTIFS('02_SWEA_통합_코딩테스트_DB'!$H$4:$H$1260, DATE(2026,8,24)+29*7+2, '02_SWEA_통합_코딩테스트_DB'!$J$4:$J$1260, "&lt;&gt;보류*") + COUNTIFS('02_SWEA_통합_코딩테스트_DB'!$I$4:$I$1260, DATE(2026,8,24)+29*7+2, '02_SWEA_통합_코딩테스트_DB'!$J$4:$J$1260, "&lt;&gt;보류*") + COUNTIF('03_보안기사_필기_DB'!$I$4:$M$100, DATE(2026,8,24)+29*7+2) + COUNTIF('04_보안기사_실기_DB'!$G$4:$I$30, DATE(2026,8,24)+29*7+2) + COUNTIF('08_빅분기_필기_DB'!$I$4:$K$34, DATE(2026,8,24)+29*7+2) + COUNTIF('09_빅분기_실기_DB'!$H$4:$I$25, DATE(2026,8,24)+29*7+2)</f>
        <v/>
      </c>
      <c r="AG13" s="97">
        <f>COUNTIFS('02_SWEA_통합_코딩테스트_DB'!$F$4:$F$1260, DATE(2026,8,24)+30*7+2, '02_SWEA_통합_코딩테스트_DB'!$J$4:$J$1260, "&lt;&gt;보류*") + COUNTIFS('02_SWEA_통합_코딩테스트_DB'!$G$4:$G$1260, DATE(2026,8,24)+30*7+2, '02_SWEA_통합_코딩테스트_DB'!$J$4:$J$1260, "&lt;&gt;보류*") + COUNTIFS('02_SWEA_통합_코딩테스트_DB'!$H$4:$H$1260, DATE(2026,8,24)+30*7+2, '02_SWEA_통합_코딩테스트_DB'!$J$4:$J$1260, "&lt;&gt;보류*") + COUNTIFS('02_SWEA_통합_코딩테스트_DB'!$I$4:$I$1260, DATE(2026,8,24)+30*7+2, '02_SWEA_통합_코딩테스트_DB'!$J$4:$J$1260, "&lt;&gt;보류*") + COUNTIF('03_보안기사_필기_DB'!$I$4:$M$100, DATE(2026,8,24)+30*7+2) + COUNTIF('04_보안기사_실기_DB'!$G$4:$I$30, DATE(2026,8,24)+30*7+2) + COUNTIF('08_빅분기_필기_DB'!$I$4:$K$34, DATE(2026,8,24)+30*7+2) + COUNTIF('09_빅분기_실기_DB'!$H$4:$I$25, DATE(2026,8,24)+30*7+2)</f>
        <v/>
      </c>
      <c r="AH13" s="97">
        <f>COUNTIFS('02_SWEA_통합_코딩테스트_DB'!$F$4:$F$1260, DATE(2026,8,24)+31*7+2, '02_SWEA_통합_코딩테스트_DB'!$J$4:$J$1260, "&lt;&gt;보류*") + COUNTIFS('02_SWEA_통합_코딩테스트_DB'!$G$4:$G$1260, DATE(2026,8,24)+31*7+2, '02_SWEA_통합_코딩테스트_DB'!$J$4:$J$1260, "&lt;&gt;보류*") + COUNTIFS('02_SWEA_통합_코딩테스트_DB'!$H$4:$H$1260, DATE(2026,8,24)+31*7+2, '02_SWEA_통합_코딩테스트_DB'!$J$4:$J$1260, "&lt;&gt;보류*") + COUNTIFS('02_SWEA_통합_코딩테스트_DB'!$I$4:$I$1260, DATE(2026,8,24)+31*7+2, '02_SWEA_통합_코딩테스트_DB'!$J$4:$J$1260, "&lt;&gt;보류*") + COUNTIF('03_보안기사_필기_DB'!$I$4:$M$100, DATE(2026,8,24)+31*7+2) + COUNTIF('04_보안기사_실기_DB'!$G$4:$I$30, DATE(2026,8,24)+31*7+2) + COUNTIF('08_빅분기_필기_DB'!$I$4:$K$34, DATE(2026,8,24)+31*7+2) + COUNTIF('09_빅분기_실기_DB'!$H$4:$I$25, DATE(2026,8,24)+31*7+2)</f>
        <v/>
      </c>
      <c r="AI13" s="97">
        <f>COUNTIFS('02_SWEA_통합_코딩테스트_DB'!$F$4:$F$1260, DATE(2026,8,24)+32*7+2, '02_SWEA_통합_코딩테스트_DB'!$J$4:$J$1260, "&lt;&gt;보류*") + COUNTIFS('02_SWEA_통합_코딩테스트_DB'!$G$4:$G$1260, DATE(2026,8,24)+32*7+2, '02_SWEA_통합_코딩테스트_DB'!$J$4:$J$1260, "&lt;&gt;보류*") + COUNTIFS('02_SWEA_통합_코딩테스트_DB'!$H$4:$H$1260, DATE(2026,8,24)+32*7+2, '02_SWEA_통합_코딩테스트_DB'!$J$4:$J$1260, "&lt;&gt;보류*") + COUNTIFS('02_SWEA_통합_코딩테스트_DB'!$I$4:$I$1260, DATE(2026,8,24)+32*7+2, '02_SWEA_통합_코딩테스트_DB'!$J$4:$J$1260, "&lt;&gt;보류*") + COUNTIF('03_보안기사_필기_DB'!$I$4:$M$100, DATE(2026,8,24)+32*7+2) + COUNTIF('04_보안기사_실기_DB'!$G$4:$I$30, DATE(2026,8,24)+32*7+2) + COUNTIF('08_빅분기_필기_DB'!$I$4:$K$34, DATE(2026,8,24)+32*7+2) + COUNTIF('09_빅분기_실기_DB'!$H$4:$I$25, DATE(2026,8,24)+32*7+2)</f>
        <v/>
      </c>
      <c r="AJ13" s="97">
        <f>COUNTIFS('02_SWEA_통합_코딩테스트_DB'!$F$4:$F$1260, DATE(2026,8,24)+33*7+2, '02_SWEA_통합_코딩테스트_DB'!$J$4:$J$1260, "&lt;&gt;보류*") + COUNTIFS('02_SWEA_통합_코딩테스트_DB'!$G$4:$G$1260, DATE(2026,8,24)+33*7+2, '02_SWEA_통합_코딩테스트_DB'!$J$4:$J$1260, "&lt;&gt;보류*") + COUNTIFS('02_SWEA_통합_코딩테스트_DB'!$H$4:$H$1260, DATE(2026,8,24)+33*7+2, '02_SWEA_통합_코딩테스트_DB'!$J$4:$J$1260, "&lt;&gt;보류*") + COUNTIFS('02_SWEA_통합_코딩테스트_DB'!$I$4:$I$1260, DATE(2026,8,24)+33*7+2, '02_SWEA_통합_코딩테스트_DB'!$J$4:$J$1260, "&lt;&gt;보류*") + COUNTIF('03_보안기사_필기_DB'!$I$4:$M$100, DATE(2026,8,24)+33*7+2) + COUNTIF('04_보안기사_실기_DB'!$G$4:$I$30, DATE(2026,8,24)+33*7+2) + COUNTIF('08_빅분기_필기_DB'!$I$4:$K$34, DATE(2026,8,24)+33*7+2) + COUNTIF('09_빅분기_실기_DB'!$H$4:$I$25, DATE(2026,8,24)+33*7+2)</f>
        <v/>
      </c>
      <c r="AK13" s="97">
        <f>COUNTIFS('02_SWEA_통합_코딩테스트_DB'!$F$4:$F$1260, DATE(2026,8,24)+34*7+2, '02_SWEA_통합_코딩테스트_DB'!$J$4:$J$1260, "&lt;&gt;보류*") + COUNTIFS('02_SWEA_통합_코딩테스트_DB'!$G$4:$G$1260, DATE(2026,8,24)+34*7+2, '02_SWEA_통합_코딩테스트_DB'!$J$4:$J$1260, "&lt;&gt;보류*") + COUNTIFS('02_SWEA_통합_코딩테스트_DB'!$H$4:$H$1260, DATE(2026,8,24)+34*7+2, '02_SWEA_통합_코딩테스트_DB'!$J$4:$J$1260, "&lt;&gt;보류*") + COUNTIFS('02_SWEA_통합_코딩테스트_DB'!$I$4:$I$1260, DATE(2026,8,24)+34*7+2, '02_SWEA_통합_코딩테스트_DB'!$J$4:$J$1260, "&lt;&gt;보류*") + COUNTIF('03_보안기사_필기_DB'!$I$4:$M$100, DATE(2026,8,24)+34*7+2) + COUNTIF('04_보안기사_실기_DB'!$G$4:$I$30, DATE(2026,8,24)+34*7+2) + COUNTIF('08_빅분기_필기_DB'!$I$4:$K$34, DATE(2026,8,24)+34*7+2) + COUNTIF('09_빅분기_실기_DB'!$H$4:$I$25, DATE(2026,8,24)+34*7+2)</f>
        <v/>
      </c>
      <c r="AL13" s="97">
        <f>COUNTIFS('02_SWEA_통합_코딩테스트_DB'!$F$4:$F$1260, DATE(2026,8,24)+35*7+2, '02_SWEA_통합_코딩테스트_DB'!$J$4:$J$1260, "&lt;&gt;보류*") + COUNTIFS('02_SWEA_통합_코딩테스트_DB'!$G$4:$G$1260, DATE(2026,8,24)+35*7+2, '02_SWEA_통합_코딩테스트_DB'!$J$4:$J$1260, "&lt;&gt;보류*") + COUNTIFS('02_SWEA_통합_코딩테스트_DB'!$H$4:$H$1260, DATE(2026,8,24)+35*7+2, '02_SWEA_통합_코딩테스트_DB'!$J$4:$J$1260, "&lt;&gt;보류*") + COUNTIFS('02_SWEA_통합_코딩테스트_DB'!$I$4:$I$1260, DATE(2026,8,24)+35*7+2, '02_SWEA_통합_코딩테스트_DB'!$J$4:$J$1260, "&lt;&gt;보류*") + COUNTIF('03_보안기사_필기_DB'!$I$4:$M$100, DATE(2026,8,24)+35*7+2) + COUNTIF('04_보안기사_실기_DB'!$G$4:$I$30, DATE(2026,8,24)+35*7+2) + COUNTIF('08_빅분기_필기_DB'!$I$4:$K$34, DATE(2026,8,24)+35*7+2) + COUNTIF('09_빅분기_실기_DB'!$H$4:$I$25, DATE(2026,8,24)+35*7+2)</f>
        <v/>
      </c>
      <c r="AM13" s="97">
        <f>COUNTIFS('02_SWEA_통합_코딩테스트_DB'!$F$4:$F$1260, DATE(2026,8,24)+36*7+2, '02_SWEA_통합_코딩테스트_DB'!$J$4:$J$1260, "&lt;&gt;보류*") + COUNTIFS('02_SWEA_통합_코딩테스트_DB'!$G$4:$G$1260, DATE(2026,8,24)+36*7+2, '02_SWEA_통합_코딩테스트_DB'!$J$4:$J$1260, "&lt;&gt;보류*") + COUNTIFS('02_SWEA_통합_코딩테스트_DB'!$H$4:$H$1260, DATE(2026,8,24)+36*7+2, '02_SWEA_통합_코딩테스트_DB'!$J$4:$J$1260, "&lt;&gt;보류*") + COUNTIFS('02_SWEA_통합_코딩테스트_DB'!$I$4:$I$1260, DATE(2026,8,24)+36*7+2, '02_SWEA_통합_코딩테스트_DB'!$J$4:$J$1260, "&lt;&gt;보류*") + COUNTIF('03_보안기사_필기_DB'!$I$4:$M$100, DATE(2026,8,24)+36*7+2) + COUNTIF('04_보안기사_실기_DB'!$G$4:$I$30, DATE(2026,8,24)+36*7+2) + COUNTIF('08_빅분기_필기_DB'!$I$4:$K$34, DATE(2026,8,24)+36*7+2) + COUNTIF('09_빅분기_실기_DB'!$H$4:$I$25, DATE(2026,8,24)+36*7+2)</f>
        <v/>
      </c>
      <c r="AN13" s="97">
        <f>COUNTIFS('02_SWEA_통합_코딩테스트_DB'!$F$4:$F$1260, DATE(2026,8,24)+37*7+2, '02_SWEA_통합_코딩테스트_DB'!$J$4:$J$1260, "&lt;&gt;보류*") + COUNTIFS('02_SWEA_통합_코딩테스트_DB'!$G$4:$G$1260, DATE(2026,8,24)+37*7+2, '02_SWEA_통합_코딩테스트_DB'!$J$4:$J$1260, "&lt;&gt;보류*") + COUNTIFS('02_SWEA_통합_코딩테스트_DB'!$H$4:$H$1260, DATE(2026,8,24)+37*7+2, '02_SWEA_통합_코딩테스트_DB'!$J$4:$J$1260, "&lt;&gt;보류*") + COUNTIFS('02_SWEA_통합_코딩테스트_DB'!$I$4:$I$1260, DATE(2026,8,24)+37*7+2, '02_SWEA_통합_코딩테스트_DB'!$J$4:$J$1260, "&lt;&gt;보류*") + COUNTIF('03_보안기사_필기_DB'!$I$4:$M$100, DATE(2026,8,24)+37*7+2) + COUNTIF('04_보안기사_실기_DB'!$G$4:$I$30, DATE(2026,8,24)+37*7+2) + COUNTIF('08_빅분기_필기_DB'!$I$4:$K$34, DATE(2026,8,24)+37*7+2) + COUNTIF('09_빅분기_실기_DB'!$H$4:$I$25, DATE(2026,8,24)+37*7+2)</f>
        <v/>
      </c>
      <c r="AO13" s="97">
        <f>COUNTIFS('02_SWEA_통합_코딩테스트_DB'!$F$4:$F$1260, DATE(2026,8,24)+38*7+2, '02_SWEA_통합_코딩테스트_DB'!$J$4:$J$1260, "&lt;&gt;보류*") + COUNTIFS('02_SWEA_통합_코딩테스트_DB'!$G$4:$G$1260, DATE(2026,8,24)+38*7+2, '02_SWEA_통합_코딩테스트_DB'!$J$4:$J$1260, "&lt;&gt;보류*") + COUNTIFS('02_SWEA_통합_코딩테스트_DB'!$H$4:$H$1260, DATE(2026,8,24)+38*7+2, '02_SWEA_통합_코딩테스트_DB'!$J$4:$J$1260, "&lt;&gt;보류*") + COUNTIFS('02_SWEA_통합_코딩테스트_DB'!$I$4:$I$1260, DATE(2026,8,24)+38*7+2, '02_SWEA_통합_코딩테스트_DB'!$J$4:$J$1260, "&lt;&gt;보류*") + COUNTIF('03_보안기사_필기_DB'!$I$4:$M$100, DATE(2026,8,24)+38*7+2) + COUNTIF('04_보안기사_실기_DB'!$G$4:$I$30, DATE(2026,8,24)+38*7+2) + COUNTIF('08_빅분기_필기_DB'!$I$4:$K$34, DATE(2026,8,24)+38*7+2) + COUNTIF('09_빅분기_실기_DB'!$H$4:$I$25, DATE(2026,8,24)+38*7+2)</f>
        <v/>
      </c>
      <c r="AP13" s="97">
        <f>COUNTIFS('02_SWEA_통합_코딩테스트_DB'!$F$4:$F$1260, DATE(2026,8,24)+39*7+2, '02_SWEA_통합_코딩테스트_DB'!$J$4:$J$1260, "&lt;&gt;보류*") + COUNTIFS('02_SWEA_통합_코딩테스트_DB'!$G$4:$G$1260, DATE(2026,8,24)+39*7+2, '02_SWEA_통합_코딩테스트_DB'!$J$4:$J$1260, "&lt;&gt;보류*") + COUNTIFS('02_SWEA_통합_코딩테스트_DB'!$H$4:$H$1260, DATE(2026,8,24)+39*7+2, '02_SWEA_통합_코딩테스트_DB'!$J$4:$J$1260, "&lt;&gt;보류*") + COUNTIFS('02_SWEA_통합_코딩테스트_DB'!$I$4:$I$1260, DATE(2026,8,24)+39*7+2, '02_SWEA_통합_코딩테스트_DB'!$J$4:$J$1260, "&lt;&gt;보류*") + COUNTIF('03_보안기사_필기_DB'!$I$4:$M$100, DATE(2026,8,24)+39*7+2) + COUNTIF('04_보안기사_실기_DB'!$G$4:$I$30, DATE(2026,8,24)+39*7+2) + COUNTIF('08_빅분기_필기_DB'!$I$4:$K$34, DATE(2026,8,24)+39*7+2) + COUNTIF('09_빅분기_실기_DB'!$H$4:$I$25, DATE(2026,8,24)+39*7+2)</f>
        <v/>
      </c>
      <c r="AQ13" s="97">
        <f>COUNTIFS('02_SWEA_통합_코딩테스트_DB'!$F$4:$F$1260, DATE(2026,8,24)+40*7+2, '02_SWEA_통합_코딩테스트_DB'!$J$4:$J$1260, "&lt;&gt;보류*") + COUNTIFS('02_SWEA_통합_코딩테스트_DB'!$G$4:$G$1260, DATE(2026,8,24)+40*7+2, '02_SWEA_통합_코딩테스트_DB'!$J$4:$J$1260, "&lt;&gt;보류*") + COUNTIFS('02_SWEA_통합_코딩테스트_DB'!$H$4:$H$1260, DATE(2026,8,24)+40*7+2, '02_SWEA_통합_코딩테스트_DB'!$J$4:$J$1260, "&lt;&gt;보류*") + COUNTIFS('02_SWEA_통합_코딩테스트_DB'!$I$4:$I$1260, DATE(2026,8,24)+40*7+2, '02_SWEA_통합_코딩테스트_DB'!$J$4:$J$1260, "&lt;&gt;보류*") + COUNTIF('03_보안기사_필기_DB'!$I$4:$M$100, DATE(2026,8,24)+40*7+2) + COUNTIF('04_보안기사_실기_DB'!$G$4:$I$30, DATE(2026,8,24)+40*7+2) + COUNTIF('08_빅분기_필기_DB'!$I$4:$K$34, DATE(2026,8,24)+40*7+2) + COUNTIF('09_빅분기_실기_DB'!$H$4:$I$25, DATE(2026,8,24)+40*7+2)</f>
        <v/>
      </c>
      <c r="AR13" s="97">
        <f>COUNTIFS('02_SWEA_통합_코딩테스트_DB'!$F$4:$F$1260, DATE(2026,8,24)+41*7+2, '02_SWEA_통합_코딩테스트_DB'!$J$4:$J$1260, "&lt;&gt;보류*") + COUNTIFS('02_SWEA_통합_코딩테스트_DB'!$G$4:$G$1260, DATE(2026,8,24)+41*7+2, '02_SWEA_통합_코딩테스트_DB'!$J$4:$J$1260, "&lt;&gt;보류*") + COUNTIFS('02_SWEA_통합_코딩테스트_DB'!$H$4:$H$1260, DATE(2026,8,24)+41*7+2, '02_SWEA_통합_코딩테스트_DB'!$J$4:$J$1260, "&lt;&gt;보류*") + COUNTIFS('02_SWEA_통합_코딩테스트_DB'!$I$4:$I$1260, DATE(2026,8,24)+41*7+2, '02_SWEA_통합_코딩테스트_DB'!$J$4:$J$1260, "&lt;&gt;보류*") + COUNTIF('03_보안기사_필기_DB'!$I$4:$M$100, DATE(2026,8,24)+41*7+2) + COUNTIF('04_보안기사_실기_DB'!$G$4:$I$30, DATE(2026,8,24)+41*7+2) + COUNTIF('08_빅분기_필기_DB'!$I$4:$K$34, DATE(2026,8,24)+41*7+2) + COUNTIF('09_빅분기_실기_DB'!$H$4:$I$25, DATE(2026,8,24)+41*7+2)</f>
        <v/>
      </c>
      <c r="AS13" s="97">
        <f>COUNTIFS('02_SWEA_통합_코딩테스트_DB'!$F$4:$F$1260, DATE(2026,8,24)+42*7+2, '02_SWEA_통합_코딩테스트_DB'!$J$4:$J$1260, "&lt;&gt;보류*") + COUNTIFS('02_SWEA_통합_코딩테스트_DB'!$G$4:$G$1260, DATE(2026,8,24)+42*7+2, '02_SWEA_통합_코딩테스트_DB'!$J$4:$J$1260, "&lt;&gt;보류*") + COUNTIFS('02_SWEA_통합_코딩테스트_DB'!$H$4:$H$1260, DATE(2026,8,24)+42*7+2, '02_SWEA_통합_코딩테스트_DB'!$J$4:$J$1260, "&lt;&gt;보류*") + COUNTIFS('02_SWEA_통합_코딩테스트_DB'!$I$4:$I$1260, DATE(2026,8,24)+42*7+2, '02_SWEA_통합_코딩테스트_DB'!$J$4:$J$1260, "&lt;&gt;보류*") + COUNTIF('03_보안기사_필기_DB'!$I$4:$M$100, DATE(2026,8,24)+42*7+2) + COUNTIF('04_보안기사_실기_DB'!$G$4:$I$30, DATE(2026,8,24)+42*7+2) + COUNTIF('08_빅분기_필기_DB'!$I$4:$K$34, DATE(2026,8,24)+42*7+2) + COUNTIF('09_빅분기_실기_DB'!$H$4:$I$25, DATE(2026,8,24)+42*7+2)</f>
        <v/>
      </c>
      <c r="AT13" s="97">
        <f>COUNTIFS('02_SWEA_통합_코딩테스트_DB'!$F$4:$F$1260, DATE(2026,8,24)+43*7+2, '02_SWEA_통합_코딩테스트_DB'!$J$4:$J$1260, "&lt;&gt;보류*") + COUNTIFS('02_SWEA_통합_코딩테스트_DB'!$G$4:$G$1260, DATE(2026,8,24)+43*7+2, '02_SWEA_통합_코딩테스트_DB'!$J$4:$J$1260, "&lt;&gt;보류*") + COUNTIFS('02_SWEA_통합_코딩테스트_DB'!$H$4:$H$1260, DATE(2026,8,24)+43*7+2, '02_SWEA_통합_코딩테스트_DB'!$J$4:$J$1260, "&lt;&gt;보류*") + COUNTIFS('02_SWEA_통합_코딩테스트_DB'!$I$4:$I$1260, DATE(2026,8,24)+43*7+2, '02_SWEA_통합_코딩테스트_DB'!$J$4:$J$1260, "&lt;&gt;보류*") + COUNTIF('03_보안기사_필기_DB'!$I$4:$M$100, DATE(2026,8,24)+43*7+2) + COUNTIF('04_보안기사_실기_DB'!$G$4:$I$30, DATE(2026,8,24)+43*7+2) + COUNTIF('08_빅분기_필기_DB'!$I$4:$K$34, DATE(2026,8,24)+43*7+2) + COUNTIF('09_빅분기_실기_DB'!$H$4:$I$25, DATE(2026,8,24)+43*7+2)</f>
        <v/>
      </c>
      <c r="AU13" s="97">
        <f>COUNTIFS('02_SWEA_통합_코딩테스트_DB'!$F$4:$F$1260, DATE(2026,8,24)+44*7+2, '02_SWEA_통합_코딩테스트_DB'!$J$4:$J$1260, "&lt;&gt;보류*") + COUNTIFS('02_SWEA_통합_코딩테스트_DB'!$G$4:$G$1260, DATE(2026,8,24)+44*7+2, '02_SWEA_통합_코딩테스트_DB'!$J$4:$J$1260, "&lt;&gt;보류*") + COUNTIFS('02_SWEA_통합_코딩테스트_DB'!$H$4:$H$1260, DATE(2026,8,24)+44*7+2, '02_SWEA_통합_코딩테스트_DB'!$J$4:$J$1260, "&lt;&gt;보류*") + COUNTIFS('02_SWEA_통합_코딩테스트_DB'!$I$4:$I$1260, DATE(2026,8,24)+44*7+2, '02_SWEA_통합_코딩테스트_DB'!$J$4:$J$1260, "&lt;&gt;보류*") + COUNTIF('03_보안기사_필기_DB'!$I$4:$M$100, DATE(2026,8,24)+44*7+2) + COUNTIF('04_보안기사_실기_DB'!$G$4:$I$30, DATE(2026,8,24)+44*7+2) + COUNTIF('08_빅분기_필기_DB'!$I$4:$K$34, DATE(2026,8,24)+44*7+2) + COUNTIF('09_빅분기_실기_DB'!$H$4:$I$25, DATE(2026,8,24)+44*7+2)</f>
        <v/>
      </c>
      <c r="AV13" s="97">
        <f>COUNTIFS('02_SWEA_통합_코딩테스트_DB'!$F$4:$F$1260, DATE(2026,8,24)+45*7+2, '02_SWEA_통합_코딩테스트_DB'!$J$4:$J$1260, "&lt;&gt;보류*") + COUNTIFS('02_SWEA_통합_코딩테스트_DB'!$G$4:$G$1260, DATE(2026,8,24)+45*7+2, '02_SWEA_통합_코딩테스트_DB'!$J$4:$J$1260, "&lt;&gt;보류*") + COUNTIFS('02_SWEA_통합_코딩테스트_DB'!$H$4:$H$1260, DATE(2026,8,24)+45*7+2, '02_SWEA_통합_코딩테스트_DB'!$J$4:$J$1260, "&lt;&gt;보류*") + COUNTIFS('02_SWEA_통합_코딩테스트_DB'!$I$4:$I$1260, DATE(2026,8,24)+45*7+2, '02_SWEA_통합_코딩테스트_DB'!$J$4:$J$1260, "&lt;&gt;보류*") + COUNTIF('03_보안기사_필기_DB'!$I$4:$M$100, DATE(2026,8,24)+45*7+2) + COUNTIF('04_보안기사_실기_DB'!$G$4:$I$30, DATE(2026,8,24)+45*7+2) + COUNTIF('08_빅분기_필기_DB'!$I$4:$K$34, DATE(2026,8,24)+45*7+2) + COUNTIF('09_빅분기_실기_DB'!$H$4:$I$25, DATE(2026,8,24)+45*7+2)</f>
        <v/>
      </c>
      <c r="AW13" s="97">
        <f>COUNTIFS('02_SWEA_통합_코딩테스트_DB'!$F$4:$F$1260, DATE(2026,8,24)+46*7+2, '02_SWEA_통합_코딩테스트_DB'!$J$4:$J$1260, "&lt;&gt;보류*") + COUNTIFS('02_SWEA_통합_코딩테스트_DB'!$G$4:$G$1260, DATE(2026,8,24)+46*7+2, '02_SWEA_통합_코딩테스트_DB'!$J$4:$J$1260, "&lt;&gt;보류*") + COUNTIFS('02_SWEA_통합_코딩테스트_DB'!$H$4:$H$1260, DATE(2026,8,24)+46*7+2, '02_SWEA_통합_코딩테스트_DB'!$J$4:$J$1260, "&lt;&gt;보류*") + COUNTIFS('02_SWEA_통합_코딩테스트_DB'!$I$4:$I$1260, DATE(2026,8,24)+46*7+2, '02_SWEA_통합_코딩테스트_DB'!$J$4:$J$1260, "&lt;&gt;보류*") + COUNTIF('03_보안기사_필기_DB'!$I$4:$M$100, DATE(2026,8,24)+46*7+2) + COUNTIF('04_보안기사_실기_DB'!$G$4:$I$30, DATE(2026,8,24)+46*7+2) + COUNTIF('08_빅분기_필기_DB'!$I$4:$K$34, DATE(2026,8,24)+46*7+2) + COUNTIF('09_빅분기_실기_DB'!$H$4:$I$25, DATE(2026,8,24)+46*7+2)</f>
        <v/>
      </c>
      <c r="AX13" s="97">
        <f>COUNTIFS('02_SWEA_통합_코딩테스트_DB'!$F$4:$F$1260, DATE(2026,8,24)+47*7+2, '02_SWEA_통합_코딩테스트_DB'!$J$4:$J$1260, "&lt;&gt;보류*") + COUNTIFS('02_SWEA_통합_코딩테스트_DB'!$G$4:$G$1260, DATE(2026,8,24)+47*7+2, '02_SWEA_통합_코딩테스트_DB'!$J$4:$J$1260, "&lt;&gt;보류*") + COUNTIFS('02_SWEA_통합_코딩테스트_DB'!$H$4:$H$1260, DATE(2026,8,24)+47*7+2, '02_SWEA_통합_코딩테스트_DB'!$J$4:$J$1260, "&lt;&gt;보류*") + COUNTIFS('02_SWEA_통합_코딩테스트_DB'!$I$4:$I$1260, DATE(2026,8,24)+47*7+2, '02_SWEA_통합_코딩테스트_DB'!$J$4:$J$1260, "&lt;&gt;보류*") + COUNTIF('03_보안기사_필기_DB'!$I$4:$M$100, DATE(2026,8,24)+47*7+2) + COUNTIF('04_보안기사_실기_DB'!$G$4:$I$30, DATE(2026,8,24)+47*7+2) + COUNTIF('08_빅분기_필기_DB'!$I$4:$K$34, DATE(2026,8,24)+47*7+2) + COUNTIF('09_빅분기_실기_DB'!$H$4:$I$25, DATE(2026,8,24)+47*7+2)</f>
        <v/>
      </c>
      <c r="AY13" s="97">
        <f>COUNTIFS('02_SWEA_통합_코딩테스트_DB'!$F$4:$F$1260, DATE(2026,8,24)+48*7+2, '02_SWEA_통합_코딩테스트_DB'!$J$4:$J$1260, "&lt;&gt;보류*") + COUNTIFS('02_SWEA_통합_코딩테스트_DB'!$G$4:$G$1260, DATE(2026,8,24)+48*7+2, '02_SWEA_통합_코딩테스트_DB'!$J$4:$J$1260, "&lt;&gt;보류*") + COUNTIFS('02_SWEA_통합_코딩테스트_DB'!$H$4:$H$1260, DATE(2026,8,24)+48*7+2, '02_SWEA_통합_코딩테스트_DB'!$J$4:$J$1260, "&lt;&gt;보류*") + COUNTIFS('02_SWEA_통합_코딩테스트_DB'!$I$4:$I$1260, DATE(2026,8,24)+48*7+2, '02_SWEA_통합_코딩테스트_DB'!$J$4:$J$1260, "&lt;&gt;보류*") + COUNTIF('03_보안기사_필기_DB'!$I$4:$M$100, DATE(2026,8,24)+48*7+2) + COUNTIF('04_보안기사_실기_DB'!$G$4:$I$30, DATE(2026,8,24)+48*7+2) + COUNTIF('08_빅분기_필기_DB'!$I$4:$K$34, DATE(2026,8,24)+48*7+2) + COUNTIF('09_빅분기_실기_DB'!$H$4:$I$25, DATE(2026,8,24)+48*7+2)</f>
        <v/>
      </c>
      <c r="AZ13" s="97">
        <f>COUNTIFS('02_SWEA_통합_코딩테스트_DB'!$F$4:$F$1260, DATE(2026,8,24)+49*7+2, '02_SWEA_통합_코딩테스트_DB'!$J$4:$J$1260, "&lt;&gt;보류*") + COUNTIFS('02_SWEA_통합_코딩테스트_DB'!$G$4:$G$1260, DATE(2026,8,24)+49*7+2, '02_SWEA_통합_코딩테스트_DB'!$J$4:$J$1260, "&lt;&gt;보류*") + COUNTIFS('02_SWEA_통합_코딩테스트_DB'!$H$4:$H$1260, DATE(2026,8,24)+49*7+2, '02_SWEA_통합_코딩테스트_DB'!$J$4:$J$1260, "&lt;&gt;보류*") + COUNTIFS('02_SWEA_통합_코딩테스트_DB'!$I$4:$I$1260, DATE(2026,8,24)+49*7+2, '02_SWEA_통합_코딩테스트_DB'!$J$4:$J$1260, "&lt;&gt;보류*") + COUNTIF('03_보안기사_필기_DB'!$I$4:$M$100, DATE(2026,8,24)+49*7+2) + COUNTIF('04_보안기사_실기_DB'!$G$4:$I$30, DATE(2026,8,24)+49*7+2) + COUNTIF('08_빅분기_필기_DB'!$I$4:$K$34, DATE(2026,8,24)+49*7+2) + COUNTIF('09_빅분기_실기_DB'!$H$4:$I$25, DATE(2026,8,24)+49*7+2)</f>
        <v/>
      </c>
      <c r="BA13" s="97">
        <f>COUNTIFS('02_SWEA_통합_코딩테스트_DB'!$F$4:$F$1260, DATE(2026,8,24)+50*7+2, '02_SWEA_통합_코딩테스트_DB'!$J$4:$J$1260, "&lt;&gt;보류*") + COUNTIFS('02_SWEA_통합_코딩테스트_DB'!$G$4:$G$1260, DATE(2026,8,24)+50*7+2, '02_SWEA_통합_코딩테스트_DB'!$J$4:$J$1260, "&lt;&gt;보류*") + COUNTIFS('02_SWEA_통합_코딩테스트_DB'!$H$4:$H$1260, DATE(2026,8,24)+50*7+2, '02_SWEA_통합_코딩테스트_DB'!$J$4:$J$1260, "&lt;&gt;보류*") + COUNTIFS('02_SWEA_통합_코딩테스트_DB'!$I$4:$I$1260, DATE(2026,8,24)+50*7+2, '02_SWEA_통합_코딩테스트_DB'!$J$4:$J$1260, "&lt;&gt;보류*") + COUNTIF('03_보안기사_필기_DB'!$I$4:$M$100, DATE(2026,8,24)+50*7+2) + COUNTIF('04_보안기사_실기_DB'!$G$4:$I$30, DATE(2026,8,24)+50*7+2) + COUNTIF('08_빅분기_필기_DB'!$I$4:$K$34, DATE(2026,8,24)+50*7+2) + COUNTIF('09_빅분기_실기_DB'!$H$4:$I$25, DATE(2026,8,24)+50*7+2)</f>
        <v/>
      </c>
      <c r="BB13" s="97">
        <f>COUNTIFS('02_SWEA_통합_코딩테스트_DB'!$F$4:$F$1260, DATE(2026,8,24)+51*7+2, '02_SWEA_통합_코딩테스트_DB'!$J$4:$J$1260, "&lt;&gt;보류*") + COUNTIFS('02_SWEA_통합_코딩테스트_DB'!$G$4:$G$1260, DATE(2026,8,24)+51*7+2, '02_SWEA_통합_코딩테스트_DB'!$J$4:$J$1260, "&lt;&gt;보류*") + COUNTIFS('02_SWEA_통합_코딩테스트_DB'!$H$4:$H$1260, DATE(2026,8,24)+51*7+2, '02_SWEA_통합_코딩테스트_DB'!$J$4:$J$1260, "&lt;&gt;보류*") + COUNTIFS('02_SWEA_통합_코딩테스트_DB'!$I$4:$I$1260, DATE(2026,8,24)+51*7+2, '02_SWEA_통합_코딩테스트_DB'!$J$4:$J$1260, "&lt;&gt;보류*") + COUNTIF('03_보안기사_필기_DB'!$I$4:$M$100, DATE(2026,8,24)+51*7+2) + COUNTIF('04_보안기사_실기_DB'!$G$4:$I$30, DATE(2026,8,24)+51*7+2) + COUNTIF('08_빅분기_필기_DB'!$I$4:$K$34, DATE(2026,8,24)+51*7+2) + COUNTIF('09_빅분기_실기_DB'!$H$4:$I$25, DATE(2026,8,24)+51*7+2)</f>
        <v/>
      </c>
      <c r="BC13" s="97">
        <f>COUNTIFS('02_SWEA_통합_코딩테스트_DB'!$F$4:$F$1260, DATE(2026,8,24)+52*7+2, '02_SWEA_통합_코딩테스트_DB'!$J$4:$J$1260, "&lt;&gt;보류*") + COUNTIFS('02_SWEA_통합_코딩테스트_DB'!$G$4:$G$1260, DATE(2026,8,24)+52*7+2, '02_SWEA_통합_코딩테스트_DB'!$J$4:$J$1260, "&lt;&gt;보류*") + COUNTIFS('02_SWEA_통합_코딩테스트_DB'!$H$4:$H$1260, DATE(2026,8,24)+52*7+2, '02_SWEA_통합_코딩테스트_DB'!$J$4:$J$1260, "&lt;&gt;보류*") + COUNTIFS('02_SWEA_통합_코딩테스트_DB'!$I$4:$I$1260, DATE(2026,8,24)+52*7+2, '02_SWEA_통합_코딩테스트_DB'!$J$4:$J$1260, "&lt;&gt;보류*") + COUNTIF('03_보안기사_필기_DB'!$I$4:$M$100, DATE(2026,8,24)+52*7+2) + COUNTIF('04_보안기사_실기_DB'!$G$4:$I$30, DATE(2026,8,24)+52*7+2)</f>
        <v/>
      </c>
      <c r="BD13" s="26" t="n"/>
      <c r="BE13" s="26" t="n"/>
      <c r="BF13" s="26" t="n"/>
      <c r="BG13" s="26" t="n"/>
    </row>
    <row r="14" ht="21.75" customHeight="1" s="209">
      <c r="A14" s="225" t="inlineStr">
        <is>
          <t>목 (Thu)</t>
        </is>
      </c>
      <c r="B14" s="214" t="n"/>
      <c r="C14" s="97">
        <f>COUNTIFS('02_SWEA_통합_코딩테스트_DB'!$F$4:$F$1260, DATE(2026,8,24)+0*7+3, '02_SWEA_통합_코딩테스트_DB'!$J$4:$J$1260, "&lt;&gt;보류*") + COUNTIFS('02_SWEA_통합_코딩테스트_DB'!$G$4:$G$1260, DATE(2026,8,24)+0*7+3, '02_SWEA_통합_코딩테스트_DB'!$J$4:$J$1260, "&lt;&gt;보류*") + COUNTIFS('02_SWEA_통합_코딩테스트_DB'!$H$4:$H$1260, DATE(2026,8,24)+0*7+3, '02_SWEA_통합_코딩테스트_DB'!$J$4:$J$1260, "&lt;&gt;보류*") + COUNTIFS('02_SWEA_통합_코딩테스트_DB'!$I$4:$I$1260, DATE(2026,8,24)+0*7+3, '02_SWEA_통합_코딩테스트_DB'!$J$4:$J$1260, "&lt;&gt;보류*") + COUNTIF('03_보안기사_필기_DB'!$I$4:$M$100, DATE(2026,8,24)+0*7+3) + COUNTIF('04_보안기사_실기_DB'!$G$4:$I$30, DATE(2026,8,24)+0*7+3) + COUNTIF('08_빅분기_필기_DB'!$I$4:$K$34, DATE(2026,8,24)+0*7+3) + COUNTIF('09_빅분기_실기_DB'!$H$4:$I$25, DATE(2026,8,24)+0*7+3)</f>
        <v/>
      </c>
      <c r="D14" s="97">
        <f>COUNTIFS('02_SWEA_통합_코딩테스트_DB'!$F$4:$F$1260, DATE(2026,8,24)+1*7+3, '02_SWEA_통합_코딩테스트_DB'!$J$4:$J$1260, "&lt;&gt;보류*") + COUNTIFS('02_SWEA_통합_코딩테스트_DB'!$G$4:$G$1260, DATE(2026,8,24)+1*7+3, '02_SWEA_통합_코딩테스트_DB'!$J$4:$J$1260, "&lt;&gt;보류*") + COUNTIFS('02_SWEA_통합_코딩테스트_DB'!$H$4:$H$1260, DATE(2026,8,24)+1*7+3, '02_SWEA_통합_코딩테스트_DB'!$J$4:$J$1260, "&lt;&gt;보류*") + COUNTIFS('02_SWEA_통합_코딩테스트_DB'!$I$4:$I$1260, DATE(2026,8,24)+1*7+3, '02_SWEA_통합_코딩테스트_DB'!$J$4:$J$1260, "&lt;&gt;보류*") + COUNTIF('03_보안기사_필기_DB'!$I$4:$M$100, DATE(2026,8,24)+1*7+3) + COUNTIF('04_보안기사_실기_DB'!$G$4:$I$30, DATE(2026,8,24)+1*7+3) + COUNTIF('08_빅분기_필기_DB'!$I$4:$K$34, DATE(2026,8,24)+1*7+3) + COUNTIF('09_빅분기_실기_DB'!$H$4:$I$25, DATE(2026,8,24)+1*7+3)</f>
        <v/>
      </c>
      <c r="E14" s="97">
        <f>COUNTIFS('02_SWEA_통합_코딩테스트_DB'!$F$4:$F$1260, DATE(2026,8,24)+2*7+3, '02_SWEA_통합_코딩테스트_DB'!$J$4:$J$1260, "&lt;&gt;보류*") + COUNTIFS('02_SWEA_통합_코딩테스트_DB'!$G$4:$G$1260, DATE(2026,8,24)+2*7+3, '02_SWEA_통합_코딩테스트_DB'!$J$4:$J$1260, "&lt;&gt;보류*") + COUNTIFS('02_SWEA_통합_코딩테스트_DB'!$H$4:$H$1260, DATE(2026,8,24)+2*7+3, '02_SWEA_통합_코딩테스트_DB'!$J$4:$J$1260, "&lt;&gt;보류*") + COUNTIFS('02_SWEA_통합_코딩테스트_DB'!$I$4:$I$1260, DATE(2026,8,24)+2*7+3, '02_SWEA_통합_코딩테스트_DB'!$J$4:$J$1260, "&lt;&gt;보류*") + COUNTIF('03_보안기사_필기_DB'!$I$4:$M$100, DATE(2026,8,24)+2*7+3) + COUNTIF('04_보안기사_실기_DB'!$G$4:$I$30, DATE(2026,8,24)+2*7+3) + COUNTIF('08_빅분기_필기_DB'!$I$4:$K$34, DATE(2026,8,24)+2*7+3) + COUNTIF('09_빅분기_실기_DB'!$H$4:$I$25, DATE(2026,8,24)+2*7+3)</f>
        <v/>
      </c>
      <c r="F14" s="97">
        <f>COUNTIFS('02_SWEA_통합_코딩테스트_DB'!$F$4:$F$1260, DATE(2026,8,24)+3*7+3, '02_SWEA_통합_코딩테스트_DB'!$J$4:$J$1260, "&lt;&gt;보류*") + COUNTIFS('02_SWEA_통합_코딩테스트_DB'!$G$4:$G$1260, DATE(2026,8,24)+3*7+3, '02_SWEA_통합_코딩테스트_DB'!$J$4:$J$1260, "&lt;&gt;보류*") + COUNTIFS('02_SWEA_통합_코딩테스트_DB'!$H$4:$H$1260, DATE(2026,8,24)+3*7+3, '02_SWEA_통합_코딩테스트_DB'!$J$4:$J$1260, "&lt;&gt;보류*") + COUNTIFS('02_SWEA_통합_코딩테스트_DB'!$I$4:$I$1260, DATE(2026,8,24)+3*7+3, '02_SWEA_통합_코딩테스트_DB'!$J$4:$J$1260, "&lt;&gt;보류*") + COUNTIF('03_보안기사_필기_DB'!$I$4:$M$100, DATE(2026,8,24)+3*7+3) + COUNTIF('04_보안기사_실기_DB'!$G$4:$I$30, DATE(2026,8,24)+3*7+3) + COUNTIF('08_빅분기_필기_DB'!$I$4:$K$34, DATE(2026,8,24)+3*7+3) + COUNTIF('09_빅분기_실기_DB'!$H$4:$I$25, DATE(2026,8,24)+3*7+3)</f>
        <v/>
      </c>
      <c r="G14" s="97">
        <f>COUNTIFS('02_SWEA_통합_코딩테스트_DB'!$F$4:$F$1260, DATE(2026,8,24)+4*7+3, '02_SWEA_통합_코딩테스트_DB'!$J$4:$J$1260, "&lt;&gt;보류*") + COUNTIFS('02_SWEA_통합_코딩테스트_DB'!$G$4:$G$1260, DATE(2026,8,24)+4*7+3, '02_SWEA_통합_코딩테스트_DB'!$J$4:$J$1260, "&lt;&gt;보류*") + COUNTIFS('02_SWEA_통합_코딩테스트_DB'!$H$4:$H$1260, DATE(2026,8,24)+4*7+3, '02_SWEA_통합_코딩테스트_DB'!$J$4:$J$1260, "&lt;&gt;보류*") + COUNTIFS('02_SWEA_통합_코딩테스트_DB'!$I$4:$I$1260, DATE(2026,8,24)+4*7+3, '02_SWEA_통합_코딩테스트_DB'!$J$4:$J$1260, "&lt;&gt;보류*") + COUNTIF('03_보안기사_필기_DB'!$I$4:$M$100, DATE(2026,8,24)+4*7+3) + COUNTIF('04_보안기사_실기_DB'!$G$4:$I$30, DATE(2026,8,24)+4*7+3) + COUNTIF('08_빅분기_필기_DB'!$I$4:$K$34, DATE(2026,8,24)+4*7+3) + COUNTIF('09_빅분기_실기_DB'!$H$4:$I$25, DATE(2026,8,24)+4*7+3)</f>
        <v/>
      </c>
      <c r="H14" s="97">
        <f>COUNTIFS('02_SWEA_통합_코딩테스트_DB'!$F$4:$F$1260, DATE(2026,8,24)+5*7+3, '02_SWEA_통합_코딩테스트_DB'!$J$4:$J$1260, "&lt;&gt;보류*") + COUNTIFS('02_SWEA_통합_코딩테스트_DB'!$G$4:$G$1260, DATE(2026,8,24)+5*7+3, '02_SWEA_통합_코딩테스트_DB'!$J$4:$J$1260, "&lt;&gt;보류*") + COUNTIFS('02_SWEA_통합_코딩테스트_DB'!$H$4:$H$1260, DATE(2026,8,24)+5*7+3, '02_SWEA_통합_코딩테스트_DB'!$J$4:$J$1260, "&lt;&gt;보류*") + COUNTIFS('02_SWEA_통합_코딩테스트_DB'!$I$4:$I$1260, DATE(2026,8,24)+5*7+3, '02_SWEA_통합_코딩테스트_DB'!$J$4:$J$1260, "&lt;&gt;보류*") + COUNTIF('03_보안기사_필기_DB'!$I$4:$M$100, DATE(2026,8,24)+5*7+3) + COUNTIF('04_보안기사_실기_DB'!$G$4:$I$30, DATE(2026,8,24)+5*7+3) + COUNTIF('08_빅분기_필기_DB'!$I$4:$K$34, DATE(2026,8,24)+5*7+3) + COUNTIF('09_빅분기_실기_DB'!$H$4:$I$25, DATE(2026,8,24)+5*7+3)</f>
        <v/>
      </c>
      <c r="I14" s="97">
        <f>COUNTIFS('02_SWEA_통합_코딩테스트_DB'!$F$4:$F$1260, DATE(2026,8,24)+6*7+3, '02_SWEA_통합_코딩테스트_DB'!$J$4:$J$1260, "&lt;&gt;보류*") + COUNTIFS('02_SWEA_통합_코딩테스트_DB'!$G$4:$G$1260, DATE(2026,8,24)+6*7+3, '02_SWEA_통합_코딩테스트_DB'!$J$4:$J$1260, "&lt;&gt;보류*") + COUNTIFS('02_SWEA_통합_코딩테스트_DB'!$H$4:$H$1260, DATE(2026,8,24)+6*7+3, '02_SWEA_통합_코딩테스트_DB'!$J$4:$J$1260, "&lt;&gt;보류*") + COUNTIFS('02_SWEA_통합_코딩테스트_DB'!$I$4:$I$1260, DATE(2026,8,24)+6*7+3, '02_SWEA_통합_코딩테스트_DB'!$J$4:$J$1260, "&lt;&gt;보류*") + COUNTIF('03_보안기사_필기_DB'!$I$4:$M$100, DATE(2026,8,24)+6*7+3) + COUNTIF('04_보안기사_실기_DB'!$G$4:$I$30, DATE(2026,8,24)+6*7+3) + COUNTIF('08_빅분기_필기_DB'!$I$4:$K$34, DATE(2026,8,24)+6*7+3) + COUNTIF('09_빅분기_실기_DB'!$H$4:$I$25, DATE(2026,8,24)+6*7+3)</f>
        <v/>
      </c>
      <c r="J14" s="97">
        <f>COUNTIFS('02_SWEA_통합_코딩테스트_DB'!$F$4:$F$1260, DATE(2026,8,24)+7*7+3, '02_SWEA_통합_코딩테스트_DB'!$J$4:$J$1260, "&lt;&gt;보류*") + COUNTIFS('02_SWEA_통합_코딩테스트_DB'!$G$4:$G$1260, DATE(2026,8,24)+7*7+3, '02_SWEA_통합_코딩테스트_DB'!$J$4:$J$1260, "&lt;&gt;보류*") + COUNTIFS('02_SWEA_통합_코딩테스트_DB'!$H$4:$H$1260, DATE(2026,8,24)+7*7+3, '02_SWEA_통합_코딩테스트_DB'!$J$4:$J$1260, "&lt;&gt;보류*") + COUNTIFS('02_SWEA_통합_코딩테스트_DB'!$I$4:$I$1260, DATE(2026,8,24)+7*7+3, '02_SWEA_통합_코딩테스트_DB'!$J$4:$J$1260, "&lt;&gt;보류*") + COUNTIF('03_보안기사_필기_DB'!$I$4:$M$100, DATE(2026,8,24)+7*7+3) + COUNTIF('04_보안기사_실기_DB'!$G$4:$I$30, DATE(2026,8,24)+7*7+3) + COUNTIF('08_빅분기_필기_DB'!$I$4:$K$34, DATE(2026,8,24)+7*7+3) + COUNTIF('09_빅분기_실기_DB'!$H$4:$I$25, DATE(2026,8,24)+7*7+3)</f>
        <v/>
      </c>
      <c r="K14" s="97">
        <f>COUNTIFS('02_SWEA_통합_코딩테스트_DB'!$F$4:$F$1260, DATE(2026,8,24)+8*7+3, '02_SWEA_통합_코딩테스트_DB'!$J$4:$J$1260, "&lt;&gt;보류*") + COUNTIFS('02_SWEA_통합_코딩테스트_DB'!$G$4:$G$1260, DATE(2026,8,24)+8*7+3, '02_SWEA_통합_코딩테스트_DB'!$J$4:$J$1260, "&lt;&gt;보류*") + COUNTIFS('02_SWEA_통합_코딩테스트_DB'!$H$4:$H$1260, DATE(2026,8,24)+8*7+3, '02_SWEA_통합_코딩테스트_DB'!$J$4:$J$1260, "&lt;&gt;보류*") + COUNTIFS('02_SWEA_통합_코딩테스트_DB'!$I$4:$I$1260, DATE(2026,8,24)+8*7+3, '02_SWEA_통합_코딩테스트_DB'!$J$4:$J$1260, "&lt;&gt;보류*") + COUNTIF('03_보안기사_필기_DB'!$I$4:$M$100, DATE(2026,8,24)+8*7+3) + COUNTIF('04_보안기사_실기_DB'!$G$4:$I$30, DATE(2026,8,24)+8*7+3) + COUNTIF('08_빅분기_필기_DB'!$I$4:$K$34, DATE(2026,8,24)+8*7+3) + COUNTIF('09_빅분기_실기_DB'!$H$4:$I$25, DATE(2026,8,24)+8*7+3)</f>
        <v/>
      </c>
      <c r="L14" s="97">
        <f>COUNTIFS('02_SWEA_통합_코딩테스트_DB'!$F$4:$F$1260, DATE(2026,8,24)+9*7+3, '02_SWEA_통합_코딩테스트_DB'!$J$4:$J$1260, "&lt;&gt;보류*") + COUNTIFS('02_SWEA_통합_코딩테스트_DB'!$G$4:$G$1260, DATE(2026,8,24)+9*7+3, '02_SWEA_통합_코딩테스트_DB'!$J$4:$J$1260, "&lt;&gt;보류*") + COUNTIFS('02_SWEA_통합_코딩테스트_DB'!$H$4:$H$1260, DATE(2026,8,24)+9*7+3, '02_SWEA_통합_코딩테스트_DB'!$J$4:$J$1260, "&lt;&gt;보류*") + COUNTIFS('02_SWEA_통합_코딩테스트_DB'!$I$4:$I$1260, DATE(2026,8,24)+9*7+3, '02_SWEA_통합_코딩테스트_DB'!$J$4:$J$1260, "&lt;&gt;보류*") + COUNTIF('03_보안기사_필기_DB'!$I$4:$M$100, DATE(2026,8,24)+9*7+3) + COUNTIF('04_보안기사_실기_DB'!$G$4:$I$30, DATE(2026,8,24)+9*7+3) + COUNTIF('08_빅분기_필기_DB'!$I$4:$K$34, DATE(2026,8,24)+9*7+3) + COUNTIF('09_빅분기_실기_DB'!$H$4:$I$25, DATE(2026,8,24)+9*7+3)</f>
        <v/>
      </c>
      <c r="M14" s="97">
        <f>COUNTIFS('02_SWEA_통합_코딩테스트_DB'!$F$4:$F$1260, DATE(2026,8,24)+10*7+3, '02_SWEA_통합_코딩테스트_DB'!$J$4:$J$1260, "&lt;&gt;보류*") + COUNTIFS('02_SWEA_통합_코딩테스트_DB'!$G$4:$G$1260, DATE(2026,8,24)+10*7+3, '02_SWEA_통합_코딩테스트_DB'!$J$4:$J$1260, "&lt;&gt;보류*") + COUNTIFS('02_SWEA_통합_코딩테스트_DB'!$H$4:$H$1260, DATE(2026,8,24)+10*7+3, '02_SWEA_통합_코딩테스트_DB'!$J$4:$J$1260, "&lt;&gt;보류*") + COUNTIFS('02_SWEA_통합_코딩테스트_DB'!$I$4:$I$1260, DATE(2026,8,24)+10*7+3, '02_SWEA_통합_코딩테스트_DB'!$J$4:$J$1260, "&lt;&gt;보류*") + COUNTIF('03_보안기사_필기_DB'!$I$4:$M$100, DATE(2026,8,24)+10*7+3) + COUNTIF('04_보안기사_실기_DB'!$G$4:$I$30, DATE(2026,8,24)+10*7+3) + COUNTIF('08_빅분기_필기_DB'!$I$4:$K$34, DATE(2026,8,24)+10*7+3) + COUNTIF('09_빅분기_실기_DB'!$H$4:$I$25, DATE(2026,8,24)+10*7+3)</f>
        <v/>
      </c>
      <c r="N14" s="97">
        <f>COUNTIFS('02_SWEA_통합_코딩테스트_DB'!$F$4:$F$1260, DATE(2026,8,24)+11*7+3, '02_SWEA_통합_코딩테스트_DB'!$J$4:$J$1260, "&lt;&gt;보류*") + COUNTIFS('02_SWEA_통합_코딩테스트_DB'!$G$4:$G$1260, DATE(2026,8,24)+11*7+3, '02_SWEA_통합_코딩테스트_DB'!$J$4:$J$1260, "&lt;&gt;보류*") + COUNTIFS('02_SWEA_통합_코딩테스트_DB'!$H$4:$H$1260, DATE(2026,8,24)+11*7+3, '02_SWEA_통합_코딩테스트_DB'!$J$4:$J$1260, "&lt;&gt;보류*") + COUNTIFS('02_SWEA_통합_코딩테스트_DB'!$I$4:$I$1260, DATE(2026,8,24)+11*7+3, '02_SWEA_통합_코딩테스트_DB'!$J$4:$J$1260, "&lt;&gt;보류*") + COUNTIF('03_보안기사_필기_DB'!$I$4:$M$100, DATE(2026,8,24)+11*7+3) + COUNTIF('04_보안기사_실기_DB'!$G$4:$I$30, DATE(2026,8,24)+11*7+3) + COUNTIF('08_빅분기_필기_DB'!$I$4:$K$34, DATE(2026,8,24)+11*7+3) + COUNTIF('09_빅분기_실기_DB'!$H$4:$I$25, DATE(2026,8,24)+11*7+3)</f>
        <v/>
      </c>
      <c r="O14" s="97">
        <f>COUNTIFS('02_SWEA_통합_코딩테스트_DB'!$F$4:$F$1260, DATE(2026,8,24)+12*7+3, '02_SWEA_통합_코딩테스트_DB'!$J$4:$J$1260, "&lt;&gt;보류*") + COUNTIFS('02_SWEA_통합_코딩테스트_DB'!$G$4:$G$1260, DATE(2026,8,24)+12*7+3, '02_SWEA_통합_코딩테스트_DB'!$J$4:$J$1260, "&lt;&gt;보류*") + COUNTIFS('02_SWEA_통합_코딩테스트_DB'!$H$4:$H$1260, DATE(2026,8,24)+12*7+3, '02_SWEA_통합_코딩테스트_DB'!$J$4:$J$1260, "&lt;&gt;보류*") + COUNTIFS('02_SWEA_통합_코딩테스트_DB'!$I$4:$I$1260, DATE(2026,8,24)+12*7+3, '02_SWEA_통합_코딩테스트_DB'!$J$4:$J$1260, "&lt;&gt;보류*") + COUNTIF('03_보안기사_필기_DB'!$I$4:$M$100, DATE(2026,8,24)+12*7+3) + COUNTIF('04_보안기사_실기_DB'!$G$4:$I$30, DATE(2026,8,24)+12*7+3) + COUNTIF('08_빅분기_필기_DB'!$I$4:$K$34, DATE(2026,8,24)+12*7+3) + COUNTIF('09_빅분기_실기_DB'!$H$4:$I$25, DATE(2026,8,24)+12*7+3)</f>
        <v/>
      </c>
      <c r="P14" s="97">
        <f>COUNTIFS('02_SWEA_통합_코딩테스트_DB'!$F$4:$F$1260, DATE(2026,8,24)+13*7+3, '02_SWEA_통합_코딩테스트_DB'!$J$4:$J$1260, "&lt;&gt;보류*") + COUNTIFS('02_SWEA_통합_코딩테스트_DB'!$G$4:$G$1260, DATE(2026,8,24)+13*7+3, '02_SWEA_통합_코딩테스트_DB'!$J$4:$J$1260, "&lt;&gt;보류*") + COUNTIFS('02_SWEA_통합_코딩테스트_DB'!$H$4:$H$1260, DATE(2026,8,24)+13*7+3, '02_SWEA_통합_코딩테스트_DB'!$J$4:$J$1260, "&lt;&gt;보류*") + COUNTIFS('02_SWEA_통합_코딩테스트_DB'!$I$4:$I$1260, DATE(2026,8,24)+13*7+3, '02_SWEA_통합_코딩테스트_DB'!$J$4:$J$1260, "&lt;&gt;보류*") + COUNTIF('03_보안기사_필기_DB'!$I$4:$M$100, DATE(2026,8,24)+13*7+3) + COUNTIF('04_보안기사_실기_DB'!$G$4:$I$30, DATE(2026,8,24)+13*7+3) + COUNTIF('08_빅분기_필기_DB'!$I$4:$K$34, DATE(2026,8,24)+13*7+3) + COUNTIF('09_빅분기_실기_DB'!$H$4:$I$25, DATE(2026,8,24)+13*7+3)</f>
        <v/>
      </c>
      <c r="Q14" s="97">
        <f>COUNTIFS('02_SWEA_통합_코딩테스트_DB'!$F$4:$F$1260, DATE(2026,8,24)+14*7+3, '02_SWEA_통합_코딩테스트_DB'!$J$4:$J$1260, "&lt;&gt;보류*") + COUNTIFS('02_SWEA_통합_코딩테스트_DB'!$G$4:$G$1260, DATE(2026,8,24)+14*7+3, '02_SWEA_통합_코딩테스트_DB'!$J$4:$J$1260, "&lt;&gt;보류*") + COUNTIFS('02_SWEA_통합_코딩테스트_DB'!$H$4:$H$1260, DATE(2026,8,24)+14*7+3, '02_SWEA_통합_코딩테스트_DB'!$J$4:$J$1260, "&lt;&gt;보류*") + COUNTIFS('02_SWEA_통합_코딩테스트_DB'!$I$4:$I$1260, DATE(2026,8,24)+14*7+3, '02_SWEA_통합_코딩테스트_DB'!$J$4:$J$1260, "&lt;&gt;보류*") + COUNTIF('03_보안기사_필기_DB'!$I$4:$M$100, DATE(2026,8,24)+14*7+3) + COUNTIF('04_보안기사_실기_DB'!$G$4:$I$30, DATE(2026,8,24)+14*7+3) + COUNTIF('08_빅분기_필기_DB'!$I$4:$K$34, DATE(2026,8,24)+14*7+3) + COUNTIF('09_빅분기_실기_DB'!$H$4:$I$25, DATE(2026,8,24)+14*7+3)</f>
        <v/>
      </c>
      <c r="R14" s="97">
        <f>COUNTIFS('02_SWEA_통합_코딩테스트_DB'!$F$4:$F$1260, DATE(2026,8,24)+15*7+3, '02_SWEA_통합_코딩테스트_DB'!$J$4:$J$1260, "&lt;&gt;보류*") + COUNTIFS('02_SWEA_통합_코딩테스트_DB'!$G$4:$G$1260, DATE(2026,8,24)+15*7+3, '02_SWEA_통합_코딩테스트_DB'!$J$4:$J$1260, "&lt;&gt;보류*") + COUNTIFS('02_SWEA_통합_코딩테스트_DB'!$H$4:$H$1260, DATE(2026,8,24)+15*7+3, '02_SWEA_통합_코딩테스트_DB'!$J$4:$J$1260, "&lt;&gt;보류*") + COUNTIFS('02_SWEA_통합_코딩테스트_DB'!$I$4:$I$1260, DATE(2026,8,24)+15*7+3, '02_SWEA_통합_코딩테스트_DB'!$J$4:$J$1260, "&lt;&gt;보류*") + COUNTIF('03_보안기사_필기_DB'!$I$4:$M$100, DATE(2026,8,24)+15*7+3) + COUNTIF('04_보안기사_실기_DB'!$G$4:$I$30, DATE(2026,8,24)+15*7+3) + COUNTIF('08_빅분기_필기_DB'!$I$4:$K$34, DATE(2026,8,24)+15*7+3) + COUNTIF('09_빅분기_실기_DB'!$H$4:$I$25, DATE(2026,8,24)+15*7+3)</f>
        <v/>
      </c>
      <c r="S14" s="97">
        <f>COUNTIFS('02_SWEA_통합_코딩테스트_DB'!$F$4:$F$1260, DATE(2026,8,24)+16*7+3, '02_SWEA_통합_코딩테스트_DB'!$J$4:$J$1260, "&lt;&gt;보류*") + COUNTIFS('02_SWEA_통합_코딩테스트_DB'!$G$4:$G$1260, DATE(2026,8,24)+16*7+3, '02_SWEA_통합_코딩테스트_DB'!$J$4:$J$1260, "&lt;&gt;보류*") + COUNTIFS('02_SWEA_통합_코딩테스트_DB'!$H$4:$H$1260, DATE(2026,8,24)+16*7+3, '02_SWEA_통합_코딩테스트_DB'!$J$4:$J$1260, "&lt;&gt;보류*") + COUNTIFS('02_SWEA_통합_코딩테스트_DB'!$I$4:$I$1260, DATE(2026,8,24)+16*7+3, '02_SWEA_통합_코딩테스트_DB'!$J$4:$J$1260, "&lt;&gt;보류*") + COUNTIF('03_보안기사_필기_DB'!$I$4:$M$100, DATE(2026,8,24)+16*7+3) + COUNTIF('04_보안기사_실기_DB'!$G$4:$I$30, DATE(2026,8,24)+16*7+3) + COUNTIF('08_빅분기_필기_DB'!$I$4:$K$34, DATE(2026,8,24)+16*7+3) + COUNTIF('09_빅분기_실기_DB'!$H$4:$I$25, DATE(2026,8,24)+16*7+3)</f>
        <v/>
      </c>
      <c r="T14" s="97">
        <f>COUNTIFS('02_SWEA_통합_코딩테스트_DB'!$F$4:$F$1260, DATE(2026,8,24)+17*7+3, '02_SWEA_통합_코딩테스트_DB'!$J$4:$J$1260, "&lt;&gt;보류*") + COUNTIFS('02_SWEA_통합_코딩테스트_DB'!$G$4:$G$1260, DATE(2026,8,24)+17*7+3, '02_SWEA_통합_코딩테스트_DB'!$J$4:$J$1260, "&lt;&gt;보류*") + COUNTIFS('02_SWEA_통합_코딩테스트_DB'!$H$4:$H$1260, DATE(2026,8,24)+17*7+3, '02_SWEA_통합_코딩테스트_DB'!$J$4:$J$1260, "&lt;&gt;보류*") + COUNTIFS('02_SWEA_통합_코딩테스트_DB'!$I$4:$I$1260, DATE(2026,8,24)+17*7+3, '02_SWEA_통합_코딩테스트_DB'!$J$4:$J$1260, "&lt;&gt;보류*") + COUNTIF('03_보안기사_필기_DB'!$I$4:$M$100, DATE(2026,8,24)+17*7+3) + COUNTIF('04_보안기사_실기_DB'!$G$4:$I$30, DATE(2026,8,24)+17*7+3) + COUNTIF('08_빅분기_필기_DB'!$I$4:$K$34, DATE(2026,8,24)+17*7+3) + COUNTIF('09_빅분기_실기_DB'!$H$4:$I$25, DATE(2026,8,24)+17*7+3)</f>
        <v/>
      </c>
      <c r="U14" s="97">
        <f>COUNTIFS('02_SWEA_통합_코딩테스트_DB'!$F$4:$F$1260, DATE(2026,8,24)+18*7+3, '02_SWEA_통합_코딩테스트_DB'!$J$4:$J$1260, "&lt;&gt;보류*") + COUNTIFS('02_SWEA_통합_코딩테스트_DB'!$G$4:$G$1260, DATE(2026,8,24)+18*7+3, '02_SWEA_통합_코딩테스트_DB'!$J$4:$J$1260, "&lt;&gt;보류*") + COUNTIFS('02_SWEA_통합_코딩테스트_DB'!$H$4:$H$1260, DATE(2026,8,24)+18*7+3, '02_SWEA_통합_코딩테스트_DB'!$J$4:$J$1260, "&lt;&gt;보류*") + COUNTIFS('02_SWEA_통합_코딩테스트_DB'!$I$4:$I$1260, DATE(2026,8,24)+18*7+3, '02_SWEA_통합_코딩테스트_DB'!$J$4:$J$1260, "&lt;&gt;보류*") + COUNTIF('03_보안기사_필기_DB'!$I$4:$M$100, DATE(2026,8,24)+18*7+3) + COUNTIF('04_보안기사_실기_DB'!$G$4:$I$30, DATE(2026,8,24)+18*7+3) + COUNTIF('08_빅분기_필기_DB'!$I$4:$K$34, DATE(2026,8,24)+18*7+3) + COUNTIF('09_빅분기_실기_DB'!$H$4:$I$25, DATE(2026,8,24)+18*7+3)</f>
        <v/>
      </c>
      <c r="V14" s="97">
        <f>COUNTIFS('02_SWEA_통합_코딩테스트_DB'!$F$4:$F$1260, DATE(2026,8,24)+19*7+3, '02_SWEA_통합_코딩테스트_DB'!$J$4:$J$1260, "&lt;&gt;보류*") + COUNTIFS('02_SWEA_통합_코딩테스트_DB'!$G$4:$G$1260, DATE(2026,8,24)+19*7+3, '02_SWEA_통합_코딩테스트_DB'!$J$4:$J$1260, "&lt;&gt;보류*") + COUNTIFS('02_SWEA_통합_코딩테스트_DB'!$H$4:$H$1260, DATE(2026,8,24)+19*7+3, '02_SWEA_통합_코딩테스트_DB'!$J$4:$J$1260, "&lt;&gt;보류*") + COUNTIFS('02_SWEA_통합_코딩테스트_DB'!$I$4:$I$1260, DATE(2026,8,24)+19*7+3, '02_SWEA_통합_코딩테스트_DB'!$J$4:$J$1260, "&lt;&gt;보류*") + COUNTIF('03_보안기사_필기_DB'!$I$4:$M$100, DATE(2026,8,24)+19*7+3) + COUNTIF('04_보안기사_실기_DB'!$G$4:$I$30, DATE(2026,8,24)+19*7+3) + COUNTIF('08_빅분기_필기_DB'!$I$4:$K$34, DATE(2026,8,24)+19*7+3) + COUNTIF('09_빅분기_실기_DB'!$H$4:$I$25, DATE(2026,8,24)+19*7+3)</f>
        <v/>
      </c>
      <c r="W14" s="97">
        <f>COUNTIFS('02_SWEA_통합_코딩테스트_DB'!$F$4:$F$1260, DATE(2026,8,24)+20*7+3, '02_SWEA_통합_코딩테스트_DB'!$J$4:$J$1260, "&lt;&gt;보류*") + COUNTIFS('02_SWEA_통합_코딩테스트_DB'!$G$4:$G$1260, DATE(2026,8,24)+20*7+3, '02_SWEA_통합_코딩테스트_DB'!$J$4:$J$1260, "&lt;&gt;보류*") + COUNTIFS('02_SWEA_통합_코딩테스트_DB'!$H$4:$H$1260, DATE(2026,8,24)+20*7+3, '02_SWEA_통합_코딩테스트_DB'!$J$4:$J$1260, "&lt;&gt;보류*") + COUNTIFS('02_SWEA_통합_코딩테스트_DB'!$I$4:$I$1260, DATE(2026,8,24)+20*7+3, '02_SWEA_통합_코딩테스트_DB'!$J$4:$J$1260, "&lt;&gt;보류*") + COUNTIF('03_보안기사_필기_DB'!$I$4:$M$100, DATE(2026,8,24)+20*7+3) + COUNTIF('04_보안기사_실기_DB'!$G$4:$I$30, DATE(2026,8,24)+20*7+3) + COUNTIF('08_빅분기_필기_DB'!$I$4:$K$34, DATE(2026,8,24)+20*7+3) + COUNTIF('09_빅분기_실기_DB'!$H$4:$I$25, DATE(2026,8,24)+20*7+3)</f>
        <v/>
      </c>
      <c r="X14" s="97">
        <f>COUNTIFS('02_SWEA_통합_코딩테스트_DB'!$F$4:$F$1260, DATE(2026,8,24)+21*7+3, '02_SWEA_통합_코딩테스트_DB'!$J$4:$J$1260, "&lt;&gt;보류*") + COUNTIFS('02_SWEA_통합_코딩테스트_DB'!$G$4:$G$1260, DATE(2026,8,24)+21*7+3, '02_SWEA_통합_코딩테스트_DB'!$J$4:$J$1260, "&lt;&gt;보류*") + COUNTIFS('02_SWEA_통합_코딩테스트_DB'!$H$4:$H$1260, DATE(2026,8,24)+21*7+3, '02_SWEA_통합_코딩테스트_DB'!$J$4:$J$1260, "&lt;&gt;보류*") + COUNTIFS('02_SWEA_통합_코딩테스트_DB'!$I$4:$I$1260, DATE(2026,8,24)+21*7+3, '02_SWEA_통합_코딩테스트_DB'!$J$4:$J$1260, "&lt;&gt;보류*") + COUNTIF('03_보안기사_필기_DB'!$I$4:$M$100, DATE(2026,8,24)+21*7+3) + COUNTIF('04_보안기사_실기_DB'!$G$4:$I$30, DATE(2026,8,24)+21*7+3) + COUNTIF('08_빅분기_필기_DB'!$I$4:$K$34, DATE(2026,8,24)+21*7+3) + COUNTIF('09_빅분기_실기_DB'!$H$4:$I$25, DATE(2026,8,24)+21*7+3)</f>
        <v/>
      </c>
      <c r="Y14" s="97">
        <f>COUNTIFS('02_SWEA_통합_코딩테스트_DB'!$F$4:$F$1260, DATE(2026,8,24)+22*7+3, '02_SWEA_통합_코딩테스트_DB'!$J$4:$J$1260, "&lt;&gt;보류*") + COUNTIFS('02_SWEA_통합_코딩테스트_DB'!$G$4:$G$1260, DATE(2026,8,24)+22*7+3, '02_SWEA_통합_코딩테스트_DB'!$J$4:$J$1260, "&lt;&gt;보류*") + COUNTIFS('02_SWEA_통합_코딩테스트_DB'!$H$4:$H$1260, DATE(2026,8,24)+22*7+3, '02_SWEA_통합_코딩테스트_DB'!$J$4:$J$1260, "&lt;&gt;보류*") + COUNTIFS('02_SWEA_통합_코딩테스트_DB'!$I$4:$I$1260, DATE(2026,8,24)+22*7+3, '02_SWEA_통합_코딩테스트_DB'!$J$4:$J$1260, "&lt;&gt;보류*") + COUNTIF('03_보안기사_필기_DB'!$I$4:$M$100, DATE(2026,8,24)+22*7+3) + COUNTIF('04_보안기사_실기_DB'!$G$4:$I$30, DATE(2026,8,24)+22*7+3) + COUNTIF('08_빅분기_필기_DB'!$I$4:$K$34, DATE(2026,8,24)+22*7+3) + COUNTIF('09_빅분기_실기_DB'!$H$4:$I$25, DATE(2026,8,24)+22*7+3)</f>
        <v/>
      </c>
      <c r="Z14" s="97">
        <f>COUNTIFS('02_SWEA_통합_코딩테스트_DB'!$F$4:$F$1260, DATE(2026,8,24)+23*7+3, '02_SWEA_통합_코딩테스트_DB'!$J$4:$J$1260, "&lt;&gt;보류*") + COUNTIFS('02_SWEA_통합_코딩테스트_DB'!$G$4:$G$1260, DATE(2026,8,24)+23*7+3, '02_SWEA_통합_코딩테스트_DB'!$J$4:$J$1260, "&lt;&gt;보류*") + COUNTIFS('02_SWEA_통합_코딩테스트_DB'!$H$4:$H$1260, DATE(2026,8,24)+23*7+3, '02_SWEA_통합_코딩테스트_DB'!$J$4:$J$1260, "&lt;&gt;보류*") + COUNTIFS('02_SWEA_통합_코딩테스트_DB'!$I$4:$I$1260, DATE(2026,8,24)+23*7+3, '02_SWEA_통합_코딩테스트_DB'!$J$4:$J$1260, "&lt;&gt;보류*") + COUNTIF('03_보안기사_필기_DB'!$I$4:$M$100, DATE(2026,8,24)+23*7+3) + COUNTIF('04_보안기사_실기_DB'!$G$4:$I$30, DATE(2026,8,24)+23*7+3) + COUNTIF('08_빅분기_필기_DB'!$I$4:$K$34, DATE(2026,8,24)+23*7+3) + COUNTIF('09_빅분기_실기_DB'!$H$4:$I$25, DATE(2026,8,24)+23*7+3)</f>
        <v/>
      </c>
      <c r="AA14" s="97">
        <f>COUNTIFS('02_SWEA_통합_코딩테스트_DB'!$F$4:$F$1260, DATE(2026,8,24)+24*7+3, '02_SWEA_통합_코딩테스트_DB'!$J$4:$J$1260, "&lt;&gt;보류*") + COUNTIFS('02_SWEA_통합_코딩테스트_DB'!$G$4:$G$1260, DATE(2026,8,24)+24*7+3, '02_SWEA_통합_코딩테스트_DB'!$J$4:$J$1260, "&lt;&gt;보류*") + COUNTIFS('02_SWEA_통합_코딩테스트_DB'!$H$4:$H$1260, DATE(2026,8,24)+24*7+3, '02_SWEA_통합_코딩테스트_DB'!$J$4:$J$1260, "&lt;&gt;보류*") + COUNTIFS('02_SWEA_통합_코딩테스트_DB'!$I$4:$I$1260, DATE(2026,8,24)+24*7+3, '02_SWEA_통합_코딩테스트_DB'!$J$4:$J$1260, "&lt;&gt;보류*") + COUNTIF('03_보안기사_필기_DB'!$I$4:$M$100, DATE(2026,8,24)+24*7+3) + COUNTIF('04_보안기사_실기_DB'!$G$4:$I$30, DATE(2026,8,24)+24*7+3) + COUNTIF('08_빅분기_필기_DB'!$I$4:$K$34, DATE(2026,8,24)+24*7+3) + COUNTIF('09_빅분기_실기_DB'!$H$4:$I$25, DATE(2026,8,24)+24*7+3)</f>
        <v/>
      </c>
      <c r="AB14" s="97">
        <f>COUNTIFS('02_SWEA_통합_코딩테스트_DB'!$F$4:$F$1260, DATE(2026,8,24)+25*7+3, '02_SWEA_통합_코딩테스트_DB'!$J$4:$J$1260, "&lt;&gt;보류*") + COUNTIFS('02_SWEA_통합_코딩테스트_DB'!$G$4:$G$1260, DATE(2026,8,24)+25*7+3, '02_SWEA_통합_코딩테스트_DB'!$J$4:$J$1260, "&lt;&gt;보류*") + COUNTIFS('02_SWEA_통합_코딩테스트_DB'!$H$4:$H$1260, DATE(2026,8,24)+25*7+3, '02_SWEA_통합_코딩테스트_DB'!$J$4:$J$1260, "&lt;&gt;보류*") + COUNTIFS('02_SWEA_통합_코딩테스트_DB'!$I$4:$I$1260, DATE(2026,8,24)+25*7+3, '02_SWEA_통합_코딩테스트_DB'!$J$4:$J$1260, "&lt;&gt;보류*") + COUNTIF('03_보안기사_필기_DB'!$I$4:$M$100, DATE(2026,8,24)+25*7+3) + COUNTIF('04_보안기사_실기_DB'!$G$4:$I$30, DATE(2026,8,24)+25*7+3) + COUNTIF('08_빅분기_필기_DB'!$I$4:$K$34, DATE(2026,8,24)+25*7+3) + COUNTIF('09_빅분기_실기_DB'!$H$4:$I$25, DATE(2026,8,24)+25*7+3)</f>
        <v/>
      </c>
      <c r="AC14" s="97">
        <f>COUNTIFS('02_SWEA_통합_코딩테스트_DB'!$F$4:$F$1260, DATE(2026,8,24)+26*7+3, '02_SWEA_통합_코딩테스트_DB'!$J$4:$J$1260, "&lt;&gt;보류*") + COUNTIFS('02_SWEA_통합_코딩테스트_DB'!$G$4:$G$1260, DATE(2026,8,24)+26*7+3, '02_SWEA_통합_코딩테스트_DB'!$J$4:$J$1260, "&lt;&gt;보류*") + COUNTIFS('02_SWEA_통합_코딩테스트_DB'!$H$4:$H$1260, DATE(2026,8,24)+26*7+3, '02_SWEA_통합_코딩테스트_DB'!$J$4:$J$1260, "&lt;&gt;보류*") + COUNTIFS('02_SWEA_통합_코딩테스트_DB'!$I$4:$I$1260, DATE(2026,8,24)+26*7+3, '02_SWEA_통합_코딩테스트_DB'!$J$4:$J$1260, "&lt;&gt;보류*") + COUNTIF('03_보안기사_필기_DB'!$I$4:$M$100, DATE(2026,8,24)+26*7+3) + COUNTIF('04_보안기사_실기_DB'!$G$4:$I$30, DATE(2026,8,24)+26*7+3) + COUNTIF('08_빅분기_필기_DB'!$I$4:$K$34, DATE(2026,8,24)+26*7+3) + COUNTIF('09_빅분기_실기_DB'!$H$4:$I$25, DATE(2026,8,24)+26*7+3)</f>
        <v/>
      </c>
      <c r="AD14" s="97">
        <f>COUNTIFS('02_SWEA_통합_코딩테스트_DB'!$F$4:$F$1260, DATE(2026,8,24)+27*7+3, '02_SWEA_통합_코딩테스트_DB'!$J$4:$J$1260, "&lt;&gt;보류*") + COUNTIFS('02_SWEA_통합_코딩테스트_DB'!$G$4:$G$1260, DATE(2026,8,24)+27*7+3, '02_SWEA_통합_코딩테스트_DB'!$J$4:$J$1260, "&lt;&gt;보류*") + COUNTIFS('02_SWEA_통합_코딩테스트_DB'!$H$4:$H$1260, DATE(2026,8,24)+27*7+3, '02_SWEA_통합_코딩테스트_DB'!$J$4:$J$1260, "&lt;&gt;보류*") + COUNTIFS('02_SWEA_통합_코딩테스트_DB'!$I$4:$I$1260, DATE(2026,8,24)+27*7+3, '02_SWEA_통합_코딩테스트_DB'!$J$4:$J$1260, "&lt;&gt;보류*") + COUNTIF('03_보안기사_필기_DB'!$I$4:$M$100, DATE(2026,8,24)+27*7+3) + COUNTIF('04_보안기사_실기_DB'!$G$4:$I$30, DATE(2026,8,24)+27*7+3) + COUNTIF('08_빅분기_필기_DB'!$I$4:$K$34, DATE(2026,8,24)+27*7+3) + COUNTIF('09_빅분기_실기_DB'!$H$4:$I$25, DATE(2026,8,24)+27*7+3)</f>
        <v/>
      </c>
      <c r="AE14" s="97">
        <f>COUNTIFS('02_SWEA_통합_코딩테스트_DB'!$F$4:$F$1260, DATE(2026,8,24)+28*7+3, '02_SWEA_통합_코딩테스트_DB'!$J$4:$J$1260, "&lt;&gt;보류*") + COUNTIFS('02_SWEA_통합_코딩테스트_DB'!$G$4:$G$1260, DATE(2026,8,24)+28*7+3, '02_SWEA_통합_코딩테스트_DB'!$J$4:$J$1260, "&lt;&gt;보류*") + COUNTIFS('02_SWEA_통합_코딩테스트_DB'!$H$4:$H$1260, DATE(2026,8,24)+28*7+3, '02_SWEA_통합_코딩테스트_DB'!$J$4:$J$1260, "&lt;&gt;보류*") + COUNTIFS('02_SWEA_통합_코딩테스트_DB'!$I$4:$I$1260, DATE(2026,8,24)+28*7+3, '02_SWEA_통합_코딩테스트_DB'!$J$4:$J$1260, "&lt;&gt;보류*") + COUNTIF('03_보안기사_필기_DB'!$I$4:$M$100, DATE(2026,8,24)+28*7+3) + COUNTIF('04_보안기사_실기_DB'!$G$4:$I$30, DATE(2026,8,24)+28*7+3) + COUNTIF('08_빅분기_필기_DB'!$I$4:$K$34, DATE(2026,8,24)+28*7+3) + COUNTIF('09_빅분기_실기_DB'!$H$4:$I$25, DATE(2026,8,24)+28*7+3)</f>
        <v/>
      </c>
      <c r="AF14" s="97">
        <f>COUNTIFS('02_SWEA_통합_코딩테스트_DB'!$F$4:$F$1260, DATE(2026,8,24)+29*7+3, '02_SWEA_통합_코딩테스트_DB'!$J$4:$J$1260, "&lt;&gt;보류*") + COUNTIFS('02_SWEA_통합_코딩테스트_DB'!$G$4:$G$1260, DATE(2026,8,24)+29*7+3, '02_SWEA_통합_코딩테스트_DB'!$J$4:$J$1260, "&lt;&gt;보류*") + COUNTIFS('02_SWEA_통합_코딩테스트_DB'!$H$4:$H$1260, DATE(2026,8,24)+29*7+3, '02_SWEA_통합_코딩테스트_DB'!$J$4:$J$1260, "&lt;&gt;보류*") + COUNTIFS('02_SWEA_통합_코딩테스트_DB'!$I$4:$I$1260, DATE(2026,8,24)+29*7+3, '02_SWEA_통합_코딩테스트_DB'!$J$4:$J$1260, "&lt;&gt;보류*") + COUNTIF('03_보안기사_필기_DB'!$I$4:$M$100, DATE(2026,8,24)+29*7+3) + COUNTIF('04_보안기사_실기_DB'!$G$4:$I$30, DATE(2026,8,24)+29*7+3) + COUNTIF('08_빅분기_필기_DB'!$I$4:$K$34, DATE(2026,8,24)+29*7+3) + COUNTIF('09_빅분기_실기_DB'!$H$4:$I$25, DATE(2026,8,24)+29*7+3)</f>
        <v/>
      </c>
      <c r="AG14" s="97">
        <f>COUNTIFS('02_SWEA_통합_코딩테스트_DB'!$F$4:$F$1260, DATE(2026,8,24)+30*7+3, '02_SWEA_통합_코딩테스트_DB'!$J$4:$J$1260, "&lt;&gt;보류*") + COUNTIFS('02_SWEA_통합_코딩테스트_DB'!$G$4:$G$1260, DATE(2026,8,24)+30*7+3, '02_SWEA_통합_코딩테스트_DB'!$J$4:$J$1260, "&lt;&gt;보류*") + COUNTIFS('02_SWEA_통합_코딩테스트_DB'!$H$4:$H$1260, DATE(2026,8,24)+30*7+3, '02_SWEA_통합_코딩테스트_DB'!$J$4:$J$1260, "&lt;&gt;보류*") + COUNTIFS('02_SWEA_통합_코딩테스트_DB'!$I$4:$I$1260, DATE(2026,8,24)+30*7+3, '02_SWEA_통합_코딩테스트_DB'!$J$4:$J$1260, "&lt;&gt;보류*") + COUNTIF('03_보안기사_필기_DB'!$I$4:$M$100, DATE(2026,8,24)+30*7+3) + COUNTIF('04_보안기사_실기_DB'!$G$4:$I$30, DATE(2026,8,24)+30*7+3) + COUNTIF('08_빅분기_필기_DB'!$I$4:$K$34, DATE(2026,8,24)+30*7+3) + COUNTIF('09_빅분기_실기_DB'!$H$4:$I$25, DATE(2026,8,24)+30*7+3)</f>
        <v/>
      </c>
      <c r="AH14" s="97">
        <f>COUNTIFS('02_SWEA_통합_코딩테스트_DB'!$F$4:$F$1260, DATE(2026,8,24)+31*7+3, '02_SWEA_통합_코딩테스트_DB'!$J$4:$J$1260, "&lt;&gt;보류*") + COUNTIFS('02_SWEA_통합_코딩테스트_DB'!$G$4:$G$1260, DATE(2026,8,24)+31*7+3, '02_SWEA_통합_코딩테스트_DB'!$J$4:$J$1260, "&lt;&gt;보류*") + COUNTIFS('02_SWEA_통합_코딩테스트_DB'!$H$4:$H$1260, DATE(2026,8,24)+31*7+3, '02_SWEA_통합_코딩테스트_DB'!$J$4:$J$1260, "&lt;&gt;보류*") + COUNTIFS('02_SWEA_통합_코딩테스트_DB'!$I$4:$I$1260, DATE(2026,8,24)+31*7+3, '02_SWEA_통합_코딩테스트_DB'!$J$4:$J$1260, "&lt;&gt;보류*") + COUNTIF('03_보안기사_필기_DB'!$I$4:$M$100, DATE(2026,8,24)+31*7+3) + COUNTIF('04_보안기사_실기_DB'!$G$4:$I$30, DATE(2026,8,24)+31*7+3) + COUNTIF('08_빅분기_필기_DB'!$I$4:$K$34, DATE(2026,8,24)+31*7+3) + COUNTIF('09_빅분기_실기_DB'!$H$4:$I$25, DATE(2026,8,24)+31*7+3)</f>
        <v/>
      </c>
      <c r="AI14" s="97">
        <f>COUNTIFS('02_SWEA_통합_코딩테스트_DB'!$F$4:$F$1260, DATE(2026,8,24)+32*7+3, '02_SWEA_통합_코딩테스트_DB'!$J$4:$J$1260, "&lt;&gt;보류*") + COUNTIFS('02_SWEA_통합_코딩테스트_DB'!$G$4:$G$1260, DATE(2026,8,24)+32*7+3, '02_SWEA_통합_코딩테스트_DB'!$J$4:$J$1260, "&lt;&gt;보류*") + COUNTIFS('02_SWEA_통합_코딩테스트_DB'!$H$4:$H$1260, DATE(2026,8,24)+32*7+3, '02_SWEA_통합_코딩테스트_DB'!$J$4:$J$1260, "&lt;&gt;보류*") + COUNTIFS('02_SWEA_통합_코딩테스트_DB'!$I$4:$I$1260, DATE(2026,8,24)+32*7+3, '02_SWEA_통합_코딩테스트_DB'!$J$4:$J$1260, "&lt;&gt;보류*") + COUNTIF('03_보안기사_필기_DB'!$I$4:$M$100, DATE(2026,8,24)+32*7+3) + COUNTIF('04_보안기사_실기_DB'!$G$4:$I$30, DATE(2026,8,24)+32*7+3) + COUNTIF('08_빅분기_필기_DB'!$I$4:$K$34, DATE(2026,8,24)+32*7+3) + COUNTIF('09_빅분기_실기_DB'!$H$4:$I$25, DATE(2026,8,24)+32*7+3)</f>
        <v/>
      </c>
      <c r="AJ14" s="97">
        <f>COUNTIFS('02_SWEA_통합_코딩테스트_DB'!$F$4:$F$1260, DATE(2026,8,24)+33*7+3, '02_SWEA_통합_코딩테스트_DB'!$J$4:$J$1260, "&lt;&gt;보류*") + COUNTIFS('02_SWEA_통합_코딩테스트_DB'!$G$4:$G$1260, DATE(2026,8,24)+33*7+3, '02_SWEA_통합_코딩테스트_DB'!$J$4:$J$1260, "&lt;&gt;보류*") + COUNTIFS('02_SWEA_통합_코딩테스트_DB'!$H$4:$H$1260, DATE(2026,8,24)+33*7+3, '02_SWEA_통합_코딩테스트_DB'!$J$4:$J$1260, "&lt;&gt;보류*") + COUNTIFS('02_SWEA_통합_코딩테스트_DB'!$I$4:$I$1260, DATE(2026,8,24)+33*7+3, '02_SWEA_통합_코딩테스트_DB'!$J$4:$J$1260, "&lt;&gt;보류*") + COUNTIF('03_보안기사_필기_DB'!$I$4:$M$100, DATE(2026,8,24)+33*7+3) + COUNTIF('04_보안기사_실기_DB'!$G$4:$I$30, DATE(2026,8,24)+33*7+3) + COUNTIF('08_빅분기_필기_DB'!$I$4:$K$34, DATE(2026,8,24)+33*7+3) + COUNTIF('09_빅분기_실기_DB'!$H$4:$I$25, DATE(2026,8,24)+33*7+3)</f>
        <v/>
      </c>
      <c r="AK14" s="97">
        <f>COUNTIFS('02_SWEA_통합_코딩테스트_DB'!$F$4:$F$1260, DATE(2026,8,24)+34*7+3, '02_SWEA_통합_코딩테스트_DB'!$J$4:$J$1260, "&lt;&gt;보류*") + COUNTIFS('02_SWEA_통합_코딩테스트_DB'!$G$4:$G$1260, DATE(2026,8,24)+34*7+3, '02_SWEA_통합_코딩테스트_DB'!$J$4:$J$1260, "&lt;&gt;보류*") + COUNTIFS('02_SWEA_통합_코딩테스트_DB'!$H$4:$H$1260, DATE(2026,8,24)+34*7+3, '02_SWEA_통합_코딩테스트_DB'!$J$4:$J$1260, "&lt;&gt;보류*") + COUNTIFS('02_SWEA_통합_코딩테스트_DB'!$I$4:$I$1260, DATE(2026,8,24)+34*7+3, '02_SWEA_통합_코딩테스트_DB'!$J$4:$J$1260, "&lt;&gt;보류*") + COUNTIF('03_보안기사_필기_DB'!$I$4:$M$100, DATE(2026,8,24)+34*7+3) + COUNTIF('04_보안기사_실기_DB'!$G$4:$I$30, DATE(2026,8,24)+34*7+3) + COUNTIF('08_빅분기_필기_DB'!$I$4:$K$34, DATE(2026,8,24)+34*7+3) + COUNTIF('09_빅분기_실기_DB'!$H$4:$I$25, DATE(2026,8,24)+34*7+3)</f>
        <v/>
      </c>
      <c r="AL14" s="97">
        <f>COUNTIFS('02_SWEA_통합_코딩테스트_DB'!$F$4:$F$1260, DATE(2026,8,24)+35*7+3, '02_SWEA_통합_코딩테스트_DB'!$J$4:$J$1260, "&lt;&gt;보류*") + COUNTIFS('02_SWEA_통합_코딩테스트_DB'!$G$4:$G$1260, DATE(2026,8,24)+35*7+3, '02_SWEA_통합_코딩테스트_DB'!$J$4:$J$1260, "&lt;&gt;보류*") + COUNTIFS('02_SWEA_통합_코딩테스트_DB'!$H$4:$H$1260, DATE(2026,8,24)+35*7+3, '02_SWEA_통합_코딩테스트_DB'!$J$4:$J$1260, "&lt;&gt;보류*") + COUNTIFS('02_SWEA_통합_코딩테스트_DB'!$I$4:$I$1260, DATE(2026,8,24)+35*7+3, '02_SWEA_통합_코딩테스트_DB'!$J$4:$J$1260, "&lt;&gt;보류*") + COUNTIF('03_보안기사_필기_DB'!$I$4:$M$100, DATE(2026,8,24)+35*7+3) + COUNTIF('04_보안기사_실기_DB'!$G$4:$I$30, DATE(2026,8,24)+35*7+3) + COUNTIF('08_빅분기_필기_DB'!$I$4:$K$34, DATE(2026,8,24)+35*7+3) + COUNTIF('09_빅분기_실기_DB'!$H$4:$I$25, DATE(2026,8,24)+35*7+3)</f>
        <v/>
      </c>
      <c r="AM14" s="97">
        <f>COUNTIFS('02_SWEA_통합_코딩테스트_DB'!$F$4:$F$1260, DATE(2026,8,24)+36*7+3, '02_SWEA_통합_코딩테스트_DB'!$J$4:$J$1260, "&lt;&gt;보류*") + COUNTIFS('02_SWEA_통합_코딩테스트_DB'!$G$4:$G$1260, DATE(2026,8,24)+36*7+3, '02_SWEA_통합_코딩테스트_DB'!$J$4:$J$1260, "&lt;&gt;보류*") + COUNTIFS('02_SWEA_통합_코딩테스트_DB'!$H$4:$H$1260, DATE(2026,8,24)+36*7+3, '02_SWEA_통합_코딩테스트_DB'!$J$4:$J$1260, "&lt;&gt;보류*") + COUNTIFS('02_SWEA_통합_코딩테스트_DB'!$I$4:$I$1260, DATE(2026,8,24)+36*7+3, '02_SWEA_통합_코딩테스트_DB'!$J$4:$J$1260, "&lt;&gt;보류*") + COUNTIF('03_보안기사_필기_DB'!$I$4:$M$100, DATE(2026,8,24)+36*7+3) + COUNTIF('04_보안기사_실기_DB'!$G$4:$I$30, DATE(2026,8,24)+36*7+3) + COUNTIF('08_빅분기_필기_DB'!$I$4:$K$34, DATE(2026,8,24)+36*7+3) + COUNTIF('09_빅분기_실기_DB'!$H$4:$I$25, DATE(2026,8,24)+36*7+3)</f>
        <v/>
      </c>
      <c r="AN14" s="97">
        <f>COUNTIFS('02_SWEA_통합_코딩테스트_DB'!$F$4:$F$1260, DATE(2026,8,24)+37*7+3, '02_SWEA_통합_코딩테스트_DB'!$J$4:$J$1260, "&lt;&gt;보류*") + COUNTIFS('02_SWEA_통합_코딩테스트_DB'!$G$4:$G$1260, DATE(2026,8,24)+37*7+3, '02_SWEA_통합_코딩테스트_DB'!$J$4:$J$1260, "&lt;&gt;보류*") + COUNTIFS('02_SWEA_통합_코딩테스트_DB'!$H$4:$H$1260, DATE(2026,8,24)+37*7+3, '02_SWEA_통합_코딩테스트_DB'!$J$4:$J$1260, "&lt;&gt;보류*") + COUNTIFS('02_SWEA_통합_코딩테스트_DB'!$I$4:$I$1260, DATE(2026,8,24)+37*7+3, '02_SWEA_통합_코딩테스트_DB'!$J$4:$J$1260, "&lt;&gt;보류*") + COUNTIF('03_보안기사_필기_DB'!$I$4:$M$100, DATE(2026,8,24)+37*7+3) + COUNTIF('04_보안기사_실기_DB'!$G$4:$I$30, DATE(2026,8,24)+37*7+3) + COUNTIF('08_빅분기_필기_DB'!$I$4:$K$34, DATE(2026,8,24)+37*7+3) + COUNTIF('09_빅분기_실기_DB'!$H$4:$I$25, DATE(2026,8,24)+37*7+3)</f>
        <v/>
      </c>
      <c r="AO14" s="97">
        <f>COUNTIFS('02_SWEA_통합_코딩테스트_DB'!$F$4:$F$1260, DATE(2026,8,24)+38*7+3, '02_SWEA_통합_코딩테스트_DB'!$J$4:$J$1260, "&lt;&gt;보류*") + COUNTIFS('02_SWEA_통합_코딩테스트_DB'!$G$4:$G$1260, DATE(2026,8,24)+38*7+3, '02_SWEA_통합_코딩테스트_DB'!$J$4:$J$1260, "&lt;&gt;보류*") + COUNTIFS('02_SWEA_통합_코딩테스트_DB'!$H$4:$H$1260, DATE(2026,8,24)+38*7+3, '02_SWEA_통합_코딩테스트_DB'!$J$4:$J$1260, "&lt;&gt;보류*") + COUNTIFS('02_SWEA_통합_코딩테스트_DB'!$I$4:$I$1260, DATE(2026,8,24)+38*7+3, '02_SWEA_통합_코딩테스트_DB'!$J$4:$J$1260, "&lt;&gt;보류*") + COUNTIF('03_보안기사_필기_DB'!$I$4:$M$100, DATE(2026,8,24)+38*7+3) + COUNTIF('04_보안기사_실기_DB'!$G$4:$I$30, DATE(2026,8,24)+38*7+3) + COUNTIF('08_빅분기_필기_DB'!$I$4:$K$34, DATE(2026,8,24)+38*7+3) + COUNTIF('09_빅분기_실기_DB'!$H$4:$I$25, DATE(2026,8,24)+38*7+3)</f>
        <v/>
      </c>
      <c r="AP14" s="97">
        <f>COUNTIFS('02_SWEA_통합_코딩테스트_DB'!$F$4:$F$1260, DATE(2026,8,24)+39*7+3, '02_SWEA_통합_코딩테스트_DB'!$J$4:$J$1260, "&lt;&gt;보류*") + COUNTIFS('02_SWEA_통합_코딩테스트_DB'!$G$4:$G$1260, DATE(2026,8,24)+39*7+3, '02_SWEA_통합_코딩테스트_DB'!$J$4:$J$1260, "&lt;&gt;보류*") + COUNTIFS('02_SWEA_통합_코딩테스트_DB'!$H$4:$H$1260, DATE(2026,8,24)+39*7+3, '02_SWEA_통합_코딩테스트_DB'!$J$4:$J$1260, "&lt;&gt;보류*") + COUNTIFS('02_SWEA_통합_코딩테스트_DB'!$I$4:$I$1260, DATE(2026,8,24)+39*7+3, '02_SWEA_통합_코딩테스트_DB'!$J$4:$J$1260, "&lt;&gt;보류*") + COUNTIF('03_보안기사_필기_DB'!$I$4:$M$100, DATE(2026,8,24)+39*7+3) + COUNTIF('04_보안기사_실기_DB'!$G$4:$I$30, DATE(2026,8,24)+39*7+3) + COUNTIF('08_빅분기_필기_DB'!$I$4:$K$34, DATE(2026,8,24)+39*7+3) + COUNTIF('09_빅분기_실기_DB'!$H$4:$I$25, DATE(2026,8,24)+39*7+3)</f>
        <v/>
      </c>
      <c r="AQ14" s="97">
        <f>COUNTIFS('02_SWEA_통합_코딩테스트_DB'!$F$4:$F$1260, DATE(2026,8,24)+40*7+3, '02_SWEA_통합_코딩테스트_DB'!$J$4:$J$1260, "&lt;&gt;보류*") + COUNTIFS('02_SWEA_통합_코딩테스트_DB'!$G$4:$G$1260, DATE(2026,8,24)+40*7+3, '02_SWEA_통합_코딩테스트_DB'!$J$4:$J$1260, "&lt;&gt;보류*") + COUNTIFS('02_SWEA_통합_코딩테스트_DB'!$H$4:$H$1260, DATE(2026,8,24)+40*7+3, '02_SWEA_통합_코딩테스트_DB'!$J$4:$J$1260, "&lt;&gt;보류*") + COUNTIFS('02_SWEA_통합_코딩테스트_DB'!$I$4:$I$1260, DATE(2026,8,24)+40*7+3, '02_SWEA_통합_코딩테스트_DB'!$J$4:$J$1260, "&lt;&gt;보류*") + COUNTIF('03_보안기사_필기_DB'!$I$4:$M$100, DATE(2026,8,24)+40*7+3) + COUNTIF('04_보안기사_실기_DB'!$G$4:$I$30, DATE(2026,8,24)+40*7+3) + COUNTIF('08_빅분기_필기_DB'!$I$4:$K$34, DATE(2026,8,24)+40*7+3) + COUNTIF('09_빅분기_실기_DB'!$H$4:$I$25, DATE(2026,8,24)+40*7+3)</f>
        <v/>
      </c>
      <c r="AR14" s="97">
        <f>COUNTIFS('02_SWEA_통합_코딩테스트_DB'!$F$4:$F$1260, DATE(2026,8,24)+41*7+3, '02_SWEA_통합_코딩테스트_DB'!$J$4:$J$1260, "&lt;&gt;보류*") + COUNTIFS('02_SWEA_통합_코딩테스트_DB'!$G$4:$G$1260, DATE(2026,8,24)+41*7+3, '02_SWEA_통합_코딩테스트_DB'!$J$4:$J$1260, "&lt;&gt;보류*") + COUNTIFS('02_SWEA_통합_코딩테스트_DB'!$H$4:$H$1260, DATE(2026,8,24)+41*7+3, '02_SWEA_통합_코딩테스트_DB'!$J$4:$J$1260, "&lt;&gt;보류*") + COUNTIFS('02_SWEA_통합_코딩테스트_DB'!$I$4:$I$1260, DATE(2026,8,24)+41*7+3, '02_SWEA_통합_코딩테스트_DB'!$J$4:$J$1260, "&lt;&gt;보류*") + COUNTIF('03_보안기사_필기_DB'!$I$4:$M$100, DATE(2026,8,24)+41*7+3) + COUNTIF('04_보안기사_실기_DB'!$G$4:$I$30, DATE(2026,8,24)+41*7+3) + COUNTIF('08_빅분기_필기_DB'!$I$4:$K$34, DATE(2026,8,24)+41*7+3) + COUNTIF('09_빅분기_실기_DB'!$H$4:$I$25, DATE(2026,8,24)+41*7+3)</f>
        <v/>
      </c>
      <c r="AS14" s="97">
        <f>COUNTIFS('02_SWEA_통합_코딩테스트_DB'!$F$4:$F$1260, DATE(2026,8,24)+42*7+3, '02_SWEA_통합_코딩테스트_DB'!$J$4:$J$1260, "&lt;&gt;보류*") + COUNTIFS('02_SWEA_통합_코딩테스트_DB'!$G$4:$G$1260, DATE(2026,8,24)+42*7+3, '02_SWEA_통합_코딩테스트_DB'!$J$4:$J$1260, "&lt;&gt;보류*") + COUNTIFS('02_SWEA_통합_코딩테스트_DB'!$H$4:$H$1260, DATE(2026,8,24)+42*7+3, '02_SWEA_통합_코딩테스트_DB'!$J$4:$J$1260, "&lt;&gt;보류*") + COUNTIFS('02_SWEA_통합_코딩테스트_DB'!$I$4:$I$1260, DATE(2026,8,24)+42*7+3, '02_SWEA_통합_코딩테스트_DB'!$J$4:$J$1260, "&lt;&gt;보류*") + COUNTIF('03_보안기사_필기_DB'!$I$4:$M$100, DATE(2026,8,24)+42*7+3) + COUNTIF('04_보안기사_실기_DB'!$G$4:$I$30, DATE(2026,8,24)+42*7+3) + COUNTIF('08_빅분기_필기_DB'!$I$4:$K$34, DATE(2026,8,24)+42*7+3) + COUNTIF('09_빅분기_실기_DB'!$H$4:$I$25, DATE(2026,8,24)+42*7+3)</f>
        <v/>
      </c>
      <c r="AT14" s="97">
        <f>COUNTIFS('02_SWEA_통합_코딩테스트_DB'!$F$4:$F$1260, DATE(2026,8,24)+43*7+3, '02_SWEA_통합_코딩테스트_DB'!$J$4:$J$1260, "&lt;&gt;보류*") + COUNTIFS('02_SWEA_통합_코딩테스트_DB'!$G$4:$G$1260, DATE(2026,8,24)+43*7+3, '02_SWEA_통합_코딩테스트_DB'!$J$4:$J$1260, "&lt;&gt;보류*") + COUNTIFS('02_SWEA_통합_코딩테스트_DB'!$H$4:$H$1260, DATE(2026,8,24)+43*7+3, '02_SWEA_통합_코딩테스트_DB'!$J$4:$J$1260, "&lt;&gt;보류*") + COUNTIFS('02_SWEA_통합_코딩테스트_DB'!$I$4:$I$1260, DATE(2026,8,24)+43*7+3, '02_SWEA_통합_코딩테스트_DB'!$J$4:$J$1260, "&lt;&gt;보류*") + COUNTIF('03_보안기사_필기_DB'!$I$4:$M$100, DATE(2026,8,24)+43*7+3) + COUNTIF('04_보안기사_실기_DB'!$G$4:$I$30, DATE(2026,8,24)+43*7+3) + COUNTIF('08_빅분기_필기_DB'!$I$4:$K$34, DATE(2026,8,24)+43*7+3) + COUNTIF('09_빅분기_실기_DB'!$H$4:$I$25, DATE(2026,8,24)+43*7+3)</f>
        <v/>
      </c>
      <c r="AU14" s="97">
        <f>COUNTIFS('02_SWEA_통합_코딩테스트_DB'!$F$4:$F$1260, DATE(2026,8,24)+44*7+3, '02_SWEA_통합_코딩테스트_DB'!$J$4:$J$1260, "&lt;&gt;보류*") + COUNTIFS('02_SWEA_통합_코딩테스트_DB'!$G$4:$G$1260, DATE(2026,8,24)+44*7+3, '02_SWEA_통합_코딩테스트_DB'!$J$4:$J$1260, "&lt;&gt;보류*") + COUNTIFS('02_SWEA_통합_코딩테스트_DB'!$H$4:$H$1260, DATE(2026,8,24)+44*7+3, '02_SWEA_통합_코딩테스트_DB'!$J$4:$J$1260, "&lt;&gt;보류*") + COUNTIFS('02_SWEA_통합_코딩테스트_DB'!$I$4:$I$1260, DATE(2026,8,24)+44*7+3, '02_SWEA_통합_코딩테스트_DB'!$J$4:$J$1260, "&lt;&gt;보류*") + COUNTIF('03_보안기사_필기_DB'!$I$4:$M$100, DATE(2026,8,24)+44*7+3) + COUNTIF('04_보안기사_실기_DB'!$G$4:$I$30, DATE(2026,8,24)+44*7+3) + COUNTIF('08_빅분기_필기_DB'!$I$4:$K$34, DATE(2026,8,24)+44*7+3) + COUNTIF('09_빅분기_실기_DB'!$H$4:$I$25, DATE(2026,8,24)+44*7+3)</f>
        <v/>
      </c>
      <c r="AV14" s="97">
        <f>COUNTIFS('02_SWEA_통합_코딩테스트_DB'!$F$4:$F$1260, DATE(2026,8,24)+45*7+3, '02_SWEA_통합_코딩테스트_DB'!$J$4:$J$1260, "&lt;&gt;보류*") + COUNTIFS('02_SWEA_통합_코딩테스트_DB'!$G$4:$G$1260, DATE(2026,8,24)+45*7+3, '02_SWEA_통합_코딩테스트_DB'!$J$4:$J$1260, "&lt;&gt;보류*") + COUNTIFS('02_SWEA_통합_코딩테스트_DB'!$H$4:$H$1260, DATE(2026,8,24)+45*7+3, '02_SWEA_통합_코딩테스트_DB'!$J$4:$J$1260, "&lt;&gt;보류*") + COUNTIFS('02_SWEA_통합_코딩테스트_DB'!$I$4:$I$1260, DATE(2026,8,24)+45*7+3, '02_SWEA_통합_코딩테스트_DB'!$J$4:$J$1260, "&lt;&gt;보류*") + COUNTIF('03_보안기사_필기_DB'!$I$4:$M$100, DATE(2026,8,24)+45*7+3) + COUNTIF('04_보안기사_실기_DB'!$G$4:$I$30, DATE(2026,8,24)+45*7+3) + COUNTIF('08_빅분기_필기_DB'!$I$4:$K$34, DATE(2026,8,24)+45*7+3) + COUNTIF('09_빅분기_실기_DB'!$H$4:$I$25, DATE(2026,8,24)+45*7+3)</f>
        <v/>
      </c>
      <c r="AW14" s="97">
        <f>COUNTIFS('02_SWEA_통합_코딩테스트_DB'!$F$4:$F$1260, DATE(2026,8,24)+46*7+3, '02_SWEA_통합_코딩테스트_DB'!$J$4:$J$1260, "&lt;&gt;보류*") + COUNTIFS('02_SWEA_통합_코딩테스트_DB'!$G$4:$G$1260, DATE(2026,8,24)+46*7+3, '02_SWEA_통합_코딩테스트_DB'!$J$4:$J$1260, "&lt;&gt;보류*") + COUNTIFS('02_SWEA_통합_코딩테스트_DB'!$H$4:$H$1260, DATE(2026,8,24)+46*7+3, '02_SWEA_통합_코딩테스트_DB'!$J$4:$J$1260, "&lt;&gt;보류*") + COUNTIFS('02_SWEA_통합_코딩테스트_DB'!$I$4:$I$1260, DATE(2026,8,24)+46*7+3, '02_SWEA_통합_코딩테스트_DB'!$J$4:$J$1260, "&lt;&gt;보류*") + COUNTIF('03_보안기사_필기_DB'!$I$4:$M$100, DATE(2026,8,24)+46*7+3) + COUNTIF('04_보안기사_실기_DB'!$G$4:$I$30, DATE(2026,8,24)+46*7+3) + COUNTIF('08_빅분기_필기_DB'!$I$4:$K$34, DATE(2026,8,24)+46*7+3) + COUNTIF('09_빅분기_실기_DB'!$H$4:$I$25, DATE(2026,8,24)+46*7+3)</f>
        <v/>
      </c>
      <c r="AX14" s="97">
        <f>COUNTIFS('02_SWEA_통합_코딩테스트_DB'!$F$4:$F$1260, DATE(2026,8,24)+47*7+3, '02_SWEA_통합_코딩테스트_DB'!$J$4:$J$1260, "&lt;&gt;보류*") + COUNTIFS('02_SWEA_통합_코딩테스트_DB'!$G$4:$G$1260, DATE(2026,8,24)+47*7+3, '02_SWEA_통합_코딩테스트_DB'!$J$4:$J$1260, "&lt;&gt;보류*") + COUNTIFS('02_SWEA_통합_코딩테스트_DB'!$H$4:$H$1260, DATE(2026,8,24)+47*7+3, '02_SWEA_통합_코딩테스트_DB'!$J$4:$J$1260, "&lt;&gt;보류*") + COUNTIFS('02_SWEA_통합_코딩테스트_DB'!$I$4:$I$1260, DATE(2026,8,24)+47*7+3, '02_SWEA_통합_코딩테스트_DB'!$J$4:$J$1260, "&lt;&gt;보류*") + COUNTIF('03_보안기사_필기_DB'!$I$4:$M$100, DATE(2026,8,24)+47*7+3) + COUNTIF('04_보안기사_실기_DB'!$G$4:$I$30, DATE(2026,8,24)+47*7+3) + COUNTIF('08_빅분기_필기_DB'!$I$4:$K$34, DATE(2026,8,24)+47*7+3) + COUNTIF('09_빅분기_실기_DB'!$H$4:$I$25, DATE(2026,8,24)+47*7+3)</f>
        <v/>
      </c>
      <c r="AY14" s="97">
        <f>COUNTIFS('02_SWEA_통합_코딩테스트_DB'!$F$4:$F$1260, DATE(2026,8,24)+48*7+3, '02_SWEA_통합_코딩테스트_DB'!$J$4:$J$1260, "&lt;&gt;보류*") + COUNTIFS('02_SWEA_통합_코딩테스트_DB'!$G$4:$G$1260, DATE(2026,8,24)+48*7+3, '02_SWEA_통합_코딩테스트_DB'!$J$4:$J$1260, "&lt;&gt;보류*") + COUNTIFS('02_SWEA_통합_코딩테스트_DB'!$H$4:$H$1260, DATE(2026,8,24)+48*7+3, '02_SWEA_통합_코딩테스트_DB'!$J$4:$J$1260, "&lt;&gt;보류*") + COUNTIFS('02_SWEA_통합_코딩테스트_DB'!$I$4:$I$1260, DATE(2026,8,24)+48*7+3, '02_SWEA_통합_코딩테스트_DB'!$J$4:$J$1260, "&lt;&gt;보류*") + COUNTIF('03_보안기사_필기_DB'!$I$4:$M$100, DATE(2026,8,24)+48*7+3) + COUNTIF('04_보안기사_실기_DB'!$G$4:$I$30, DATE(2026,8,24)+48*7+3) + COUNTIF('08_빅분기_필기_DB'!$I$4:$K$34, DATE(2026,8,24)+48*7+3) + COUNTIF('09_빅분기_실기_DB'!$H$4:$I$25, DATE(2026,8,24)+48*7+3)</f>
        <v/>
      </c>
      <c r="AZ14" s="97">
        <f>COUNTIFS('02_SWEA_통합_코딩테스트_DB'!$F$4:$F$1260, DATE(2026,8,24)+49*7+3, '02_SWEA_통합_코딩테스트_DB'!$J$4:$J$1260, "&lt;&gt;보류*") + COUNTIFS('02_SWEA_통합_코딩테스트_DB'!$G$4:$G$1260, DATE(2026,8,24)+49*7+3, '02_SWEA_통합_코딩테스트_DB'!$J$4:$J$1260, "&lt;&gt;보류*") + COUNTIFS('02_SWEA_통합_코딩테스트_DB'!$H$4:$H$1260, DATE(2026,8,24)+49*7+3, '02_SWEA_통합_코딩테스트_DB'!$J$4:$J$1260, "&lt;&gt;보류*") + COUNTIFS('02_SWEA_통합_코딩테스트_DB'!$I$4:$I$1260, DATE(2026,8,24)+49*7+3, '02_SWEA_통합_코딩테스트_DB'!$J$4:$J$1260, "&lt;&gt;보류*") + COUNTIF('03_보안기사_필기_DB'!$I$4:$M$100, DATE(2026,8,24)+49*7+3) + COUNTIF('04_보안기사_실기_DB'!$G$4:$I$30, DATE(2026,8,24)+49*7+3) + COUNTIF('08_빅분기_필기_DB'!$I$4:$K$34, DATE(2026,8,24)+49*7+3) + COUNTIF('09_빅분기_실기_DB'!$H$4:$I$25, DATE(2026,8,24)+49*7+3)</f>
        <v/>
      </c>
      <c r="BA14" s="97">
        <f>COUNTIFS('02_SWEA_통합_코딩테스트_DB'!$F$4:$F$1260, DATE(2026,8,24)+50*7+3, '02_SWEA_통합_코딩테스트_DB'!$J$4:$J$1260, "&lt;&gt;보류*") + COUNTIFS('02_SWEA_통합_코딩테스트_DB'!$G$4:$G$1260, DATE(2026,8,24)+50*7+3, '02_SWEA_통합_코딩테스트_DB'!$J$4:$J$1260, "&lt;&gt;보류*") + COUNTIFS('02_SWEA_통합_코딩테스트_DB'!$H$4:$H$1260, DATE(2026,8,24)+50*7+3, '02_SWEA_통합_코딩테스트_DB'!$J$4:$J$1260, "&lt;&gt;보류*") + COUNTIFS('02_SWEA_통합_코딩테스트_DB'!$I$4:$I$1260, DATE(2026,8,24)+50*7+3, '02_SWEA_통합_코딩테스트_DB'!$J$4:$J$1260, "&lt;&gt;보류*") + COUNTIF('03_보안기사_필기_DB'!$I$4:$M$100, DATE(2026,8,24)+50*7+3) + COUNTIF('04_보안기사_실기_DB'!$G$4:$I$30, DATE(2026,8,24)+50*7+3) + COUNTIF('08_빅분기_필기_DB'!$I$4:$K$34, DATE(2026,8,24)+50*7+3) + COUNTIF('09_빅분기_실기_DB'!$H$4:$I$25, DATE(2026,8,24)+50*7+3)</f>
        <v/>
      </c>
      <c r="BB14" s="97">
        <f>COUNTIFS('02_SWEA_통합_코딩테스트_DB'!$F$4:$F$1260, DATE(2026,8,24)+51*7+3, '02_SWEA_통합_코딩테스트_DB'!$J$4:$J$1260, "&lt;&gt;보류*") + COUNTIFS('02_SWEA_통합_코딩테스트_DB'!$G$4:$G$1260, DATE(2026,8,24)+51*7+3, '02_SWEA_통합_코딩테스트_DB'!$J$4:$J$1260, "&lt;&gt;보류*") + COUNTIFS('02_SWEA_통합_코딩테스트_DB'!$H$4:$H$1260, DATE(2026,8,24)+51*7+3, '02_SWEA_통합_코딩테스트_DB'!$J$4:$J$1260, "&lt;&gt;보류*") + COUNTIFS('02_SWEA_통합_코딩테스트_DB'!$I$4:$I$1260, DATE(2026,8,24)+51*7+3, '02_SWEA_통합_코딩테스트_DB'!$J$4:$J$1260, "&lt;&gt;보류*") + COUNTIF('03_보안기사_필기_DB'!$I$4:$M$100, DATE(2026,8,24)+51*7+3) + COUNTIF('04_보안기사_실기_DB'!$G$4:$I$30, DATE(2026,8,24)+51*7+3) + COUNTIF('08_빅분기_필기_DB'!$I$4:$K$34, DATE(2026,8,24)+51*7+3) + COUNTIF('09_빅분기_실기_DB'!$H$4:$I$25, DATE(2026,8,24)+51*7+3)</f>
        <v/>
      </c>
      <c r="BC14" s="97">
        <f>COUNTIFS('02_SWEA_통합_코딩테스트_DB'!$F$4:$F$1260, DATE(2026,8,24)+52*7+3, '02_SWEA_통합_코딩테스트_DB'!$J$4:$J$1260, "&lt;&gt;보류*") + COUNTIFS('02_SWEA_통합_코딩테스트_DB'!$G$4:$G$1260, DATE(2026,8,24)+52*7+3, '02_SWEA_통합_코딩테스트_DB'!$J$4:$J$1260, "&lt;&gt;보류*") + COUNTIFS('02_SWEA_통합_코딩테스트_DB'!$H$4:$H$1260, DATE(2026,8,24)+52*7+3, '02_SWEA_통합_코딩테스트_DB'!$J$4:$J$1260, "&lt;&gt;보류*") + COUNTIFS('02_SWEA_통합_코딩테스트_DB'!$I$4:$I$1260, DATE(2026,8,24)+52*7+3, '02_SWEA_통합_코딩테스트_DB'!$J$4:$J$1260, "&lt;&gt;보류*") + COUNTIF('03_보안기사_필기_DB'!$I$4:$M$100, DATE(2026,8,24)+52*7+3) + COUNTIF('04_보안기사_실기_DB'!$G$4:$I$30, DATE(2026,8,24)+52*7+3)</f>
        <v/>
      </c>
      <c r="BD14" s="26" t="n"/>
      <c r="BE14" s="26" t="n"/>
      <c r="BF14" s="26" t="n"/>
      <c r="BG14" s="26" t="n"/>
    </row>
    <row r="15" ht="21.75" customHeight="1" s="209">
      <c r="A15" s="225" t="inlineStr">
        <is>
          <t>금 (Fri)</t>
        </is>
      </c>
      <c r="B15" s="214" t="n"/>
      <c r="C15" s="97">
        <f>COUNTIFS('02_SWEA_통합_코딩테스트_DB'!$F$4:$F$1260, DATE(2026,8,24)+0*7+4, '02_SWEA_통합_코딩테스트_DB'!$J$4:$J$1260, "&lt;&gt;보류*") + COUNTIFS('02_SWEA_통합_코딩테스트_DB'!$G$4:$G$1260, DATE(2026,8,24)+0*7+4, '02_SWEA_통합_코딩테스트_DB'!$J$4:$J$1260, "&lt;&gt;보류*") + COUNTIFS('02_SWEA_통합_코딩테스트_DB'!$H$4:$H$1260, DATE(2026,8,24)+0*7+4, '02_SWEA_통합_코딩테스트_DB'!$J$4:$J$1260, "&lt;&gt;보류*") + COUNTIFS('02_SWEA_통합_코딩테스트_DB'!$I$4:$I$1260, DATE(2026,8,24)+0*7+4, '02_SWEA_통합_코딩테스트_DB'!$J$4:$J$1260, "&lt;&gt;보류*") + COUNTIF('03_보안기사_필기_DB'!$I$4:$M$100, DATE(2026,8,24)+0*7+4) + COUNTIF('04_보안기사_실기_DB'!$G$4:$I$30, DATE(2026,8,24)+0*7+4) + COUNTIF('08_빅분기_필기_DB'!$I$4:$K$34, DATE(2026,8,24)+0*7+4) + COUNTIF('09_빅분기_실기_DB'!$H$4:$I$25, DATE(2026,8,24)+0*7+4)</f>
        <v/>
      </c>
      <c r="D15" s="97">
        <f>COUNTIFS('02_SWEA_통합_코딩테스트_DB'!$F$4:$F$1260, DATE(2026,8,24)+1*7+4, '02_SWEA_통합_코딩테스트_DB'!$J$4:$J$1260, "&lt;&gt;보류*") + COUNTIFS('02_SWEA_통합_코딩테스트_DB'!$G$4:$G$1260, DATE(2026,8,24)+1*7+4, '02_SWEA_통합_코딩테스트_DB'!$J$4:$J$1260, "&lt;&gt;보류*") + COUNTIFS('02_SWEA_통합_코딩테스트_DB'!$H$4:$H$1260, DATE(2026,8,24)+1*7+4, '02_SWEA_통합_코딩테스트_DB'!$J$4:$J$1260, "&lt;&gt;보류*") + COUNTIFS('02_SWEA_통합_코딩테스트_DB'!$I$4:$I$1260, DATE(2026,8,24)+1*7+4, '02_SWEA_통합_코딩테스트_DB'!$J$4:$J$1260, "&lt;&gt;보류*") + COUNTIF('03_보안기사_필기_DB'!$I$4:$M$100, DATE(2026,8,24)+1*7+4) + COUNTIF('04_보안기사_실기_DB'!$G$4:$I$30, DATE(2026,8,24)+1*7+4) + COUNTIF('08_빅분기_필기_DB'!$I$4:$K$34, DATE(2026,8,24)+1*7+4) + COUNTIF('09_빅분기_실기_DB'!$H$4:$I$25, DATE(2026,8,24)+1*7+4)</f>
        <v/>
      </c>
      <c r="E15" s="97">
        <f>COUNTIFS('02_SWEA_통합_코딩테스트_DB'!$F$4:$F$1260, DATE(2026,8,24)+2*7+4, '02_SWEA_통합_코딩테스트_DB'!$J$4:$J$1260, "&lt;&gt;보류*") + COUNTIFS('02_SWEA_통합_코딩테스트_DB'!$G$4:$G$1260, DATE(2026,8,24)+2*7+4, '02_SWEA_통합_코딩테스트_DB'!$J$4:$J$1260, "&lt;&gt;보류*") + COUNTIFS('02_SWEA_통합_코딩테스트_DB'!$H$4:$H$1260, DATE(2026,8,24)+2*7+4, '02_SWEA_통합_코딩테스트_DB'!$J$4:$J$1260, "&lt;&gt;보류*") + COUNTIFS('02_SWEA_통합_코딩테스트_DB'!$I$4:$I$1260, DATE(2026,8,24)+2*7+4, '02_SWEA_통합_코딩테스트_DB'!$J$4:$J$1260, "&lt;&gt;보류*") + COUNTIF('03_보안기사_필기_DB'!$I$4:$M$100, DATE(2026,8,24)+2*7+4) + COUNTIF('04_보안기사_실기_DB'!$G$4:$I$30, DATE(2026,8,24)+2*7+4) + COUNTIF('08_빅분기_필기_DB'!$I$4:$K$34, DATE(2026,8,24)+2*7+4) + COUNTIF('09_빅분기_실기_DB'!$H$4:$I$25, DATE(2026,8,24)+2*7+4)</f>
        <v/>
      </c>
      <c r="F15" s="97">
        <f>COUNTIFS('02_SWEA_통합_코딩테스트_DB'!$F$4:$F$1260, DATE(2026,8,24)+3*7+4, '02_SWEA_통합_코딩테스트_DB'!$J$4:$J$1260, "&lt;&gt;보류*") + COUNTIFS('02_SWEA_통합_코딩테스트_DB'!$G$4:$G$1260, DATE(2026,8,24)+3*7+4, '02_SWEA_통합_코딩테스트_DB'!$J$4:$J$1260, "&lt;&gt;보류*") + COUNTIFS('02_SWEA_통합_코딩테스트_DB'!$H$4:$H$1260, DATE(2026,8,24)+3*7+4, '02_SWEA_통합_코딩테스트_DB'!$J$4:$J$1260, "&lt;&gt;보류*") + COUNTIFS('02_SWEA_통합_코딩테스트_DB'!$I$4:$I$1260, DATE(2026,8,24)+3*7+4, '02_SWEA_통합_코딩테스트_DB'!$J$4:$J$1260, "&lt;&gt;보류*") + COUNTIF('03_보안기사_필기_DB'!$I$4:$M$100, DATE(2026,8,24)+3*7+4) + COUNTIF('04_보안기사_실기_DB'!$G$4:$I$30, DATE(2026,8,24)+3*7+4) + COUNTIF('08_빅분기_필기_DB'!$I$4:$K$34, DATE(2026,8,24)+3*7+4) + COUNTIF('09_빅분기_실기_DB'!$H$4:$I$25, DATE(2026,8,24)+3*7+4)</f>
        <v/>
      </c>
      <c r="G15" s="97">
        <f>COUNTIFS('02_SWEA_통합_코딩테스트_DB'!$F$4:$F$1260, DATE(2026,8,24)+4*7+4, '02_SWEA_통합_코딩테스트_DB'!$J$4:$J$1260, "&lt;&gt;보류*") + COUNTIFS('02_SWEA_통합_코딩테스트_DB'!$G$4:$G$1260, DATE(2026,8,24)+4*7+4, '02_SWEA_통합_코딩테스트_DB'!$J$4:$J$1260, "&lt;&gt;보류*") + COUNTIFS('02_SWEA_통합_코딩테스트_DB'!$H$4:$H$1260, DATE(2026,8,24)+4*7+4, '02_SWEA_통합_코딩테스트_DB'!$J$4:$J$1260, "&lt;&gt;보류*") + COUNTIFS('02_SWEA_통합_코딩테스트_DB'!$I$4:$I$1260, DATE(2026,8,24)+4*7+4, '02_SWEA_통합_코딩테스트_DB'!$J$4:$J$1260, "&lt;&gt;보류*") + COUNTIF('03_보안기사_필기_DB'!$I$4:$M$100, DATE(2026,8,24)+4*7+4) + COUNTIF('04_보안기사_실기_DB'!$G$4:$I$30, DATE(2026,8,24)+4*7+4) + COUNTIF('08_빅분기_필기_DB'!$I$4:$K$34, DATE(2026,8,24)+4*7+4) + COUNTIF('09_빅분기_실기_DB'!$H$4:$I$25, DATE(2026,8,24)+4*7+4)</f>
        <v/>
      </c>
      <c r="H15" s="97">
        <f>COUNTIFS('02_SWEA_통합_코딩테스트_DB'!$F$4:$F$1260, DATE(2026,8,24)+5*7+4, '02_SWEA_통합_코딩테스트_DB'!$J$4:$J$1260, "&lt;&gt;보류*") + COUNTIFS('02_SWEA_통합_코딩테스트_DB'!$G$4:$G$1260, DATE(2026,8,24)+5*7+4, '02_SWEA_통합_코딩테스트_DB'!$J$4:$J$1260, "&lt;&gt;보류*") + COUNTIFS('02_SWEA_통합_코딩테스트_DB'!$H$4:$H$1260, DATE(2026,8,24)+5*7+4, '02_SWEA_통합_코딩테스트_DB'!$J$4:$J$1260, "&lt;&gt;보류*") + COUNTIFS('02_SWEA_통합_코딩테스트_DB'!$I$4:$I$1260, DATE(2026,8,24)+5*7+4, '02_SWEA_통합_코딩테스트_DB'!$J$4:$J$1260, "&lt;&gt;보류*") + COUNTIF('03_보안기사_필기_DB'!$I$4:$M$100, DATE(2026,8,24)+5*7+4) + COUNTIF('04_보안기사_실기_DB'!$G$4:$I$30, DATE(2026,8,24)+5*7+4) + COUNTIF('08_빅분기_필기_DB'!$I$4:$K$34, DATE(2026,8,24)+5*7+4) + COUNTIF('09_빅분기_실기_DB'!$H$4:$I$25, DATE(2026,8,24)+5*7+4)</f>
        <v/>
      </c>
      <c r="I15" s="97">
        <f>COUNTIFS('02_SWEA_통합_코딩테스트_DB'!$F$4:$F$1260, DATE(2026,8,24)+6*7+4, '02_SWEA_통합_코딩테스트_DB'!$J$4:$J$1260, "&lt;&gt;보류*") + COUNTIFS('02_SWEA_통합_코딩테스트_DB'!$G$4:$G$1260, DATE(2026,8,24)+6*7+4, '02_SWEA_통합_코딩테스트_DB'!$J$4:$J$1260, "&lt;&gt;보류*") + COUNTIFS('02_SWEA_통합_코딩테스트_DB'!$H$4:$H$1260, DATE(2026,8,24)+6*7+4, '02_SWEA_통합_코딩테스트_DB'!$J$4:$J$1260, "&lt;&gt;보류*") + COUNTIFS('02_SWEA_통합_코딩테스트_DB'!$I$4:$I$1260, DATE(2026,8,24)+6*7+4, '02_SWEA_통합_코딩테스트_DB'!$J$4:$J$1260, "&lt;&gt;보류*") + COUNTIF('03_보안기사_필기_DB'!$I$4:$M$100, DATE(2026,8,24)+6*7+4) + COUNTIF('04_보안기사_실기_DB'!$G$4:$I$30, DATE(2026,8,24)+6*7+4) + COUNTIF('08_빅분기_필기_DB'!$I$4:$K$34, DATE(2026,8,24)+6*7+4) + COUNTIF('09_빅분기_실기_DB'!$H$4:$I$25, DATE(2026,8,24)+6*7+4)</f>
        <v/>
      </c>
      <c r="J15" s="97">
        <f>COUNTIFS('02_SWEA_통합_코딩테스트_DB'!$F$4:$F$1260, DATE(2026,8,24)+7*7+4, '02_SWEA_통합_코딩테스트_DB'!$J$4:$J$1260, "&lt;&gt;보류*") + COUNTIFS('02_SWEA_통합_코딩테스트_DB'!$G$4:$G$1260, DATE(2026,8,24)+7*7+4, '02_SWEA_통합_코딩테스트_DB'!$J$4:$J$1260, "&lt;&gt;보류*") + COUNTIFS('02_SWEA_통합_코딩테스트_DB'!$H$4:$H$1260, DATE(2026,8,24)+7*7+4, '02_SWEA_통합_코딩테스트_DB'!$J$4:$J$1260, "&lt;&gt;보류*") + COUNTIFS('02_SWEA_통합_코딩테스트_DB'!$I$4:$I$1260, DATE(2026,8,24)+7*7+4, '02_SWEA_통합_코딩테스트_DB'!$J$4:$J$1260, "&lt;&gt;보류*") + COUNTIF('03_보안기사_필기_DB'!$I$4:$M$100, DATE(2026,8,24)+7*7+4) + COUNTIF('04_보안기사_실기_DB'!$G$4:$I$30, DATE(2026,8,24)+7*7+4) + COUNTIF('08_빅분기_필기_DB'!$I$4:$K$34, DATE(2026,8,24)+7*7+4) + COUNTIF('09_빅분기_실기_DB'!$H$4:$I$25, DATE(2026,8,24)+7*7+4)</f>
        <v/>
      </c>
      <c r="K15" s="97">
        <f>COUNTIFS('02_SWEA_통합_코딩테스트_DB'!$F$4:$F$1260, DATE(2026,8,24)+8*7+4, '02_SWEA_통합_코딩테스트_DB'!$J$4:$J$1260, "&lt;&gt;보류*") + COUNTIFS('02_SWEA_통합_코딩테스트_DB'!$G$4:$G$1260, DATE(2026,8,24)+8*7+4, '02_SWEA_통합_코딩테스트_DB'!$J$4:$J$1260, "&lt;&gt;보류*") + COUNTIFS('02_SWEA_통합_코딩테스트_DB'!$H$4:$H$1260, DATE(2026,8,24)+8*7+4, '02_SWEA_통합_코딩테스트_DB'!$J$4:$J$1260, "&lt;&gt;보류*") + COUNTIFS('02_SWEA_통합_코딩테스트_DB'!$I$4:$I$1260, DATE(2026,8,24)+8*7+4, '02_SWEA_통합_코딩테스트_DB'!$J$4:$J$1260, "&lt;&gt;보류*") + COUNTIF('03_보안기사_필기_DB'!$I$4:$M$100, DATE(2026,8,24)+8*7+4) + COUNTIF('04_보안기사_실기_DB'!$G$4:$I$30, DATE(2026,8,24)+8*7+4) + COUNTIF('08_빅분기_필기_DB'!$I$4:$K$34, DATE(2026,8,24)+8*7+4) + COUNTIF('09_빅분기_실기_DB'!$H$4:$I$25, DATE(2026,8,24)+8*7+4)</f>
        <v/>
      </c>
      <c r="L15" s="97">
        <f>COUNTIFS('02_SWEA_통합_코딩테스트_DB'!$F$4:$F$1260, DATE(2026,8,24)+9*7+4, '02_SWEA_통합_코딩테스트_DB'!$J$4:$J$1260, "&lt;&gt;보류*") + COUNTIFS('02_SWEA_통합_코딩테스트_DB'!$G$4:$G$1260, DATE(2026,8,24)+9*7+4, '02_SWEA_통합_코딩테스트_DB'!$J$4:$J$1260, "&lt;&gt;보류*") + COUNTIFS('02_SWEA_통합_코딩테스트_DB'!$H$4:$H$1260, DATE(2026,8,24)+9*7+4, '02_SWEA_통합_코딩테스트_DB'!$J$4:$J$1260, "&lt;&gt;보류*") + COUNTIFS('02_SWEA_통합_코딩테스트_DB'!$I$4:$I$1260, DATE(2026,8,24)+9*7+4, '02_SWEA_통합_코딩테스트_DB'!$J$4:$J$1260, "&lt;&gt;보류*") + COUNTIF('03_보안기사_필기_DB'!$I$4:$M$100, DATE(2026,8,24)+9*7+4) + COUNTIF('04_보안기사_실기_DB'!$G$4:$I$30, DATE(2026,8,24)+9*7+4) + COUNTIF('08_빅분기_필기_DB'!$I$4:$K$34, DATE(2026,8,24)+9*7+4) + COUNTIF('09_빅분기_실기_DB'!$H$4:$I$25, DATE(2026,8,24)+9*7+4)</f>
        <v/>
      </c>
      <c r="M15" s="97">
        <f>COUNTIFS('02_SWEA_통합_코딩테스트_DB'!$F$4:$F$1260, DATE(2026,8,24)+10*7+4, '02_SWEA_통합_코딩테스트_DB'!$J$4:$J$1260, "&lt;&gt;보류*") + COUNTIFS('02_SWEA_통합_코딩테스트_DB'!$G$4:$G$1260, DATE(2026,8,24)+10*7+4, '02_SWEA_통합_코딩테스트_DB'!$J$4:$J$1260, "&lt;&gt;보류*") + COUNTIFS('02_SWEA_통합_코딩테스트_DB'!$H$4:$H$1260, DATE(2026,8,24)+10*7+4, '02_SWEA_통합_코딩테스트_DB'!$J$4:$J$1260, "&lt;&gt;보류*") + COUNTIFS('02_SWEA_통합_코딩테스트_DB'!$I$4:$I$1260, DATE(2026,8,24)+10*7+4, '02_SWEA_통합_코딩테스트_DB'!$J$4:$J$1260, "&lt;&gt;보류*") + COUNTIF('03_보안기사_필기_DB'!$I$4:$M$100, DATE(2026,8,24)+10*7+4) + COUNTIF('04_보안기사_실기_DB'!$G$4:$I$30, DATE(2026,8,24)+10*7+4) + COUNTIF('08_빅분기_필기_DB'!$I$4:$K$34, DATE(2026,8,24)+10*7+4) + COUNTIF('09_빅분기_실기_DB'!$H$4:$I$25, DATE(2026,8,24)+10*7+4)</f>
        <v/>
      </c>
      <c r="N15" s="97">
        <f>COUNTIFS('02_SWEA_통합_코딩테스트_DB'!$F$4:$F$1260, DATE(2026,8,24)+11*7+4, '02_SWEA_통합_코딩테스트_DB'!$J$4:$J$1260, "&lt;&gt;보류*") + COUNTIFS('02_SWEA_통합_코딩테스트_DB'!$G$4:$G$1260, DATE(2026,8,24)+11*7+4, '02_SWEA_통합_코딩테스트_DB'!$J$4:$J$1260, "&lt;&gt;보류*") + COUNTIFS('02_SWEA_통합_코딩테스트_DB'!$H$4:$H$1260, DATE(2026,8,24)+11*7+4, '02_SWEA_통합_코딩테스트_DB'!$J$4:$J$1260, "&lt;&gt;보류*") + COUNTIFS('02_SWEA_통합_코딩테스트_DB'!$I$4:$I$1260, DATE(2026,8,24)+11*7+4, '02_SWEA_통합_코딩테스트_DB'!$J$4:$J$1260, "&lt;&gt;보류*") + COUNTIF('03_보안기사_필기_DB'!$I$4:$M$100, DATE(2026,8,24)+11*7+4) + COUNTIF('04_보안기사_실기_DB'!$G$4:$I$30, DATE(2026,8,24)+11*7+4) + COUNTIF('08_빅분기_필기_DB'!$I$4:$K$34, DATE(2026,8,24)+11*7+4) + COUNTIF('09_빅분기_실기_DB'!$H$4:$I$25, DATE(2026,8,24)+11*7+4)</f>
        <v/>
      </c>
      <c r="O15" s="97">
        <f>COUNTIFS('02_SWEA_통합_코딩테스트_DB'!$F$4:$F$1260, DATE(2026,8,24)+12*7+4, '02_SWEA_통합_코딩테스트_DB'!$J$4:$J$1260, "&lt;&gt;보류*") + COUNTIFS('02_SWEA_통합_코딩테스트_DB'!$G$4:$G$1260, DATE(2026,8,24)+12*7+4, '02_SWEA_통합_코딩테스트_DB'!$J$4:$J$1260, "&lt;&gt;보류*") + COUNTIFS('02_SWEA_통합_코딩테스트_DB'!$H$4:$H$1260, DATE(2026,8,24)+12*7+4, '02_SWEA_통합_코딩테스트_DB'!$J$4:$J$1260, "&lt;&gt;보류*") + COUNTIFS('02_SWEA_통합_코딩테스트_DB'!$I$4:$I$1260, DATE(2026,8,24)+12*7+4, '02_SWEA_통합_코딩테스트_DB'!$J$4:$J$1260, "&lt;&gt;보류*") + COUNTIF('03_보안기사_필기_DB'!$I$4:$M$100, DATE(2026,8,24)+12*7+4) + COUNTIF('04_보안기사_실기_DB'!$G$4:$I$30, DATE(2026,8,24)+12*7+4) + COUNTIF('08_빅분기_필기_DB'!$I$4:$K$34, DATE(2026,8,24)+12*7+4) + COUNTIF('09_빅분기_실기_DB'!$H$4:$I$25, DATE(2026,8,24)+12*7+4)</f>
        <v/>
      </c>
      <c r="P15" s="97">
        <f>COUNTIFS('02_SWEA_통합_코딩테스트_DB'!$F$4:$F$1260, DATE(2026,8,24)+13*7+4, '02_SWEA_통합_코딩테스트_DB'!$J$4:$J$1260, "&lt;&gt;보류*") + COUNTIFS('02_SWEA_통합_코딩테스트_DB'!$G$4:$G$1260, DATE(2026,8,24)+13*7+4, '02_SWEA_통합_코딩테스트_DB'!$J$4:$J$1260, "&lt;&gt;보류*") + COUNTIFS('02_SWEA_통합_코딩테스트_DB'!$H$4:$H$1260, DATE(2026,8,24)+13*7+4, '02_SWEA_통합_코딩테스트_DB'!$J$4:$J$1260, "&lt;&gt;보류*") + COUNTIFS('02_SWEA_통합_코딩테스트_DB'!$I$4:$I$1260, DATE(2026,8,24)+13*7+4, '02_SWEA_통합_코딩테스트_DB'!$J$4:$J$1260, "&lt;&gt;보류*") + COUNTIF('03_보안기사_필기_DB'!$I$4:$M$100, DATE(2026,8,24)+13*7+4) + COUNTIF('04_보안기사_실기_DB'!$G$4:$I$30, DATE(2026,8,24)+13*7+4) + COUNTIF('08_빅분기_필기_DB'!$I$4:$K$34, DATE(2026,8,24)+13*7+4) + COUNTIF('09_빅분기_실기_DB'!$H$4:$I$25, DATE(2026,8,24)+13*7+4)</f>
        <v/>
      </c>
      <c r="Q15" s="97">
        <f>COUNTIFS('02_SWEA_통합_코딩테스트_DB'!$F$4:$F$1260, DATE(2026,8,24)+14*7+4, '02_SWEA_통합_코딩테스트_DB'!$J$4:$J$1260, "&lt;&gt;보류*") + COUNTIFS('02_SWEA_통합_코딩테스트_DB'!$G$4:$G$1260, DATE(2026,8,24)+14*7+4, '02_SWEA_통합_코딩테스트_DB'!$J$4:$J$1260, "&lt;&gt;보류*") + COUNTIFS('02_SWEA_통합_코딩테스트_DB'!$H$4:$H$1260, DATE(2026,8,24)+14*7+4, '02_SWEA_통합_코딩테스트_DB'!$J$4:$J$1260, "&lt;&gt;보류*") + COUNTIFS('02_SWEA_통합_코딩테스트_DB'!$I$4:$I$1260, DATE(2026,8,24)+14*7+4, '02_SWEA_통합_코딩테스트_DB'!$J$4:$J$1260, "&lt;&gt;보류*") + COUNTIF('03_보안기사_필기_DB'!$I$4:$M$100, DATE(2026,8,24)+14*7+4) + COUNTIF('04_보안기사_실기_DB'!$G$4:$I$30, DATE(2026,8,24)+14*7+4) + COUNTIF('08_빅분기_필기_DB'!$I$4:$K$34, DATE(2026,8,24)+14*7+4) + COUNTIF('09_빅분기_실기_DB'!$H$4:$I$25, DATE(2026,8,24)+14*7+4)</f>
        <v/>
      </c>
      <c r="R15" s="97">
        <f>COUNTIFS('02_SWEA_통합_코딩테스트_DB'!$F$4:$F$1260, DATE(2026,8,24)+15*7+4, '02_SWEA_통합_코딩테스트_DB'!$J$4:$J$1260, "&lt;&gt;보류*") + COUNTIFS('02_SWEA_통합_코딩테스트_DB'!$G$4:$G$1260, DATE(2026,8,24)+15*7+4, '02_SWEA_통합_코딩테스트_DB'!$J$4:$J$1260, "&lt;&gt;보류*") + COUNTIFS('02_SWEA_통합_코딩테스트_DB'!$H$4:$H$1260, DATE(2026,8,24)+15*7+4, '02_SWEA_통합_코딩테스트_DB'!$J$4:$J$1260, "&lt;&gt;보류*") + COUNTIFS('02_SWEA_통합_코딩테스트_DB'!$I$4:$I$1260, DATE(2026,8,24)+15*7+4, '02_SWEA_통합_코딩테스트_DB'!$J$4:$J$1260, "&lt;&gt;보류*") + COUNTIF('03_보안기사_필기_DB'!$I$4:$M$100, DATE(2026,8,24)+15*7+4) + COUNTIF('04_보안기사_실기_DB'!$G$4:$I$30, DATE(2026,8,24)+15*7+4) + COUNTIF('08_빅분기_필기_DB'!$I$4:$K$34, DATE(2026,8,24)+15*7+4) + COUNTIF('09_빅분기_실기_DB'!$H$4:$I$25, DATE(2026,8,24)+15*7+4)</f>
        <v/>
      </c>
      <c r="S15" s="97">
        <f>COUNTIFS('02_SWEA_통합_코딩테스트_DB'!$F$4:$F$1260, DATE(2026,8,24)+16*7+4, '02_SWEA_통합_코딩테스트_DB'!$J$4:$J$1260, "&lt;&gt;보류*") + COUNTIFS('02_SWEA_통합_코딩테스트_DB'!$G$4:$G$1260, DATE(2026,8,24)+16*7+4, '02_SWEA_통합_코딩테스트_DB'!$J$4:$J$1260, "&lt;&gt;보류*") + COUNTIFS('02_SWEA_통합_코딩테스트_DB'!$H$4:$H$1260, DATE(2026,8,24)+16*7+4, '02_SWEA_통합_코딩테스트_DB'!$J$4:$J$1260, "&lt;&gt;보류*") + COUNTIFS('02_SWEA_통합_코딩테스트_DB'!$I$4:$I$1260, DATE(2026,8,24)+16*7+4, '02_SWEA_통합_코딩테스트_DB'!$J$4:$J$1260, "&lt;&gt;보류*") + COUNTIF('03_보안기사_필기_DB'!$I$4:$M$100, DATE(2026,8,24)+16*7+4) + COUNTIF('04_보안기사_실기_DB'!$G$4:$I$30, DATE(2026,8,24)+16*7+4) + COUNTIF('08_빅분기_필기_DB'!$I$4:$K$34, DATE(2026,8,24)+16*7+4) + COUNTIF('09_빅분기_실기_DB'!$H$4:$I$25, DATE(2026,8,24)+16*7+4)</f>
        <v/>
      </c>
      <c r="T15" s="97">
        <f>COUNTIFS('02_SWEA_통합_코딩테스트_DB'!$F$4:$F$1260, DATE(2026,8,24)+17*7+4, '02_SWEA_통합_코딩테스트_DB'!$J$4:$J$1260, "&lt;&gt;보류*") + COUNTIFS('02_SWEA_통합_코딩테스트_DB'!$G$4:$G$1260, DATE(2026,8,24)+17*7+4, '02_SWEA_통합_코딩테스트_DB'!$J$4:$J$1260, "&lt;&gt;보류*") + COUNTIFS('02_SWEA_통합_코딩테스트_DB'!$H$4:$H$1260, DATE(2026,8,24)+17*7+4, '02_SWEA_통합_코딩테스트_DB'!$J$4:$J$1260, "&lt;&gt;보류*") + COUNTIFS('02_SWEA_통합_코딩테스트_DB'!$I$4:$I$1260, DATE(2026,8,24)+17*7+4, '02_SWEA_통합_코딩테스트_DB'!$J$4:$J$1260, "&lt;&gt;보류*") + COUNTIF('03_보안기사_필기_DB'!$I$4:$M$100, DATE(2026,8,24)+17*7+4) + COUNTIF('04_보안기사_실기_DB'!$G$4:$I$30, DATE(2026,8,24)+17*7+4) + COUNTIF('08_빅분기_필기_DB'!$I$4:$K$34, DATE(2026,8,24)+17*7+4) + COUNTIF('09_빅분기_실기_DB'!$H$4:$I$25, DATE(2026,8,24)+17*7+4)</f>
        <v/>
      </c>
      <c r="U15" s="97">
        <f>COUNTIFS('02_SWEA_통합_코딩테스트_DB'!$F$4:$F$1260, DATE(2026,8,24)+18*7+4, '02_SWEA_통합_코딩테스트_DB'!$J$4:$J$1260, "&lt;&gt;보류*") + COUNTIFS('02_SWEA_통합_코딩테스트_DB'!$G$4:$G$1260, DATE(2026,8,24)+18*7+4, '02_SWEA_통합_코딩테스트_DB'!$J$4:$J$1260, "&lt;&gt;보류*") + COUNTIFS('02_SWEA_통합_코딩테스트_DB'!$H$4:$H$1260, DATE(2026,8,24)+18*7+4, '02_SWEA_통합_코딩테스트_DB'!$J$4:$J$1260, "&lt;&gt;보류*") + COUNTIFS('02_SWEA_통합_코딩테스트_DB'!$I$4:$I$1260, DATE(2026,8,24)+18*7+4, '02_SWEA_통합_코딩테스트_DB'!$J$4:$J$1260, "&lt;&gt;보류*") + COUNTIF('03_보안기사_필기_DB'!$I$4:$M$100, DATE(2026,8,24)+18*7+4) + COUNTIF('04_보안기사_실기_DB'!$G$4:$I$30, DATE(2026,8,24)+18*7+4) + COUNTIF('08_빅분기_필기_DB'!$I$4:$K$34, DATE(2026,8,24)+18*7+4) + COUNTIF('09_빅분기_실기_DB'!$H$4:$I$25, DATE(2026,8,24)+18*7+4)</f>
        <v/>
      </c>
      <c r="V15" s="97">
        <f>COUNTIFS('02_SWEA_통합_코딩테스트_DB'!$F$4:$F$1260, DATE(2026,8,24)+19*7+4, '02_SWEA_통합_코딩테스트_DB'!$J$4:$J$1260, "&lt;&gt;보류*") + COUNTIFS('02_SWEA_통합_코딩테스트_DB'!$G$4:$G$1260, DATE(2026,8,24)+19*7+4, '02_SWEA_통합_코딩테스트_DB'!$J$4:$J$1260, "&lt;&gt;보류*") + COUNTIFS('02_SWEA_통합_코딩테스트_DB'!$H$4:$H$1260, DATE(2026,8,24)+19*7+4, '02_SWEA_통합_코딩테스트_DB'!$J$4:$J$1260, "&lt;&gt;보류*") + COUNTIFS('02_SWEA_통합_코딩테스트_DB'!$I$4:$I$1260, DATE(2026,8,24)+19*7+4, '02_SWEA_통합_코딩테스트_DB'!$J$4:$J$1260, "&lt;&gt;보류*") + COUNTIF('03_보안기사_필기_DB'!$I$4:$M$100, DATE(2026,8,24)+19*7+4) + COUNTIF('04_보안기사_실기_DB'!$G$4:$I$30, DATE(2026,8,24)+19*7+4) + COUNTIF('08_빅분기_필기_DB'!$I$4:$K$34, DATE(2026,8,24)+19*7+4) + COUNTIF('09_빅분기_실기_DB'!$H$4:$I$25, DATE(2026,8,24)+19*7+4)</f>
        <v/>
      </c>
      <c r="W15" s="97">
        <f>COUNTIFS('02_SWEA_통합_코딩테스트_DB'!$F$4:$F$1260, DATE(2026,8,24)+20*7+4, '02_SWEA_통합_코딩테스트_DB'!$J$4:$J$1260, "&lt;&gt;보류*") + COUNTIFS('02_SWEA_통합_코딩테스트_DB'!$G$4:$G$1260, DATE(2026,8,24)+20*7+4, '02_SWEA_통합_코딩테스트_DB'!$J$4:$J$1260, "&lt;&gt;보류*") + COUNTIFS('02_SWEA_통합_코딩테스트_DB'!$H$4:$H$1260, DATE(2026,8,24)+20*7+4, '02_SWEA_통합_코딩테스트_DB'!$J$4:$J$1260, "&lt;&gt;보류*") + COUNTIFS('02_SWEA_통합_코딩테스트_DB'!$I$4:$I$1260, DATE(2026,8,24)+20*7+4, '02_SWEA_통합_코딩테스트_DB'!$J$4:$J$1260, "&lt;&gt;보류*") + COUNTIF('03_보안기사_필기_DB'!$I$4:$M$100, DATE(2026,8,24)+20*7+4) + COUNTIF('04_보안기사_실기_DB'!$G$4:$I$30, DATE(2026,8,24)+20*7+4) + COUNTIF('08_빅분기_필기_DB'!$I$4:$K$34, DATE(2026,8,24)+20*7+4) + COUNTIF('09_빅분기_실기_DB'!$H$4:$I$25, DATE(2026,8,24)+20*7+4)</f>
        <v/>
      </c>
      <c r="X15" s="97">
        <f>COUNTIFS('02_SWEA_통합_코딩테스트_DB'!$F$4:$F$1260, DATE(2026,8,24)+21*7+4, '02_SWEA_통합_코딩테스트_DB'!$J$4:$J$1260, "&lt;&gt;보류*") + COUNTIFS('02_SWEA_통합_코딩테스트_DB'!$G$4:$G$1260, DATE(2026,8,24)+21*7+4, '02_SWEA_통합_코딩테스트_DB'!$J$4:$J$1260, "&lt;&gt;보류*") + COUNTIFS('02_SWEA_통합_코딩테스트_DB'!$H$4:$H$1260, DATE(2026,8,24)+21*7+4, '02_SWEA_통합_코딩테스트_DB'!$J$4:$J$1260, "&lt;&gt;보류*") + COUNTIFS('02_SWEA_통합_코딩테스트_DB'!$I$4:$I$1260, DATE(2026,8,24)+21*7+4, '02_SWEA_통합_코딩테스트_DB'!$J$4:$J$1260, "&lt;&gt;보류*") + COUNTIF('03_보안기사_필기_DB'!$I$4:$M$100, DATE(2026,8,24)+21*7+4) + COUNTIF('04_보안기사_실기_DB'!$G$4:$I$30, DATE(2026,8,24)+21*7+4) + COUNTIF('08_빅분기_필기_DB'!$I$4:$K$34, DATE(2026,8,24)+21*7+4) + COUNTIF('09_빅분기_실기_DB'!$H$4:$I$25, DATE(2026,8,24)+21*7+4)</f>
        <v/>
      </c>
      <c r="Y15" s="97">
        <f>COUNTIFS('02_SWEA_통합_코딩테스트_DB'!$F$4:$F$1260, DATE(2026,8,24)+22*7+4, '02_SWEA_통합_코딩테스트_DB'!$J$4:$J$1260, "&lt;&gt;보류*") + COUNTIFS('02_SWEA_통합_코딩테스트_DB'!$G$4:$G$1260, DATE(2026,8,24)+22*7+4, '02_SWEA_통합_코딩테스트_DB'!$J$4:$J$1260, "&lt;&gt;보류*") + COUNTIFS('02_SWEA_통합_코딩테스트_DB'!$H$4:$H$1260, DATE(2026,8,24)+22*7+4, '02_SWEA_통합_코딩테스트_DB'!$J$4:$J$1260, "&lt;&gt;보류*") + COUNTIFS('02_SWEA_통합_코딩테스트_DB'!$I$4:$I$1260, DATE(2026,8,24)+22*7+4, '02_SWEA_통합_코딩테스트_DB'!$J$4:$J$1260, "&lt;&gt;보류*") + COUNTIF('03_보안기사_필기_DB'!$I$4:$M$100, DATE(2026,8,24)+22*7+4) + COUNTIF('04_보안기사_실기_DB'!$G$4:$I$30, DATE(2026,8,24)+22*7+4) + COUNTIF('08_빅분기_필기_DB'!$I$4:$K$34, DATE(2026,8,24)+22*7+4) + COUNTIF('09_빅분기_실기_DB'!$H$4:$I$25, DATE(2026,8,24)+22*7+4)</f>
        <v/>
      </c>
      <c r="Z15" s="97">
        <f>COUNTIFS('02_SWEA_통합_코딩테스트_DB'!$F$4:$F$1260, DATE(2026,8,24)+23*7+4, '02_SWEA_통합_코딩테스트_DB'!$J$4:$J$1260, "&lt;&gt;보류*") + COUNTIFS('02_SWEA_통합_코딩테스트_DB'!$G$4:$G$1260, DATE(2026,8,24)+23*7+4, '02_SWEA_통합_코딩테스트_DB'!$J$4:$J$1260, "&lt;&gt;보류*") + COUNTIFS('02_SWEA_통합_코딩테스트_DB'!$H$4:$H$1260, DATE(2026,8,24)+23*7+4, '02_SWEA_통합_코딩테스트_DB'!$J$4:$J$1260, "&lt;&gt;보류*") + COUNTIFS('02_SWEA_통합_코딩테스트_DB'!$I$4:$I$1260, DATE(2026,8,24)+23*7+4, '02_SWEA_통합_코딩테스트_DB'!$J$4:$J$1260, "&lt;&gt;보류*") + COUNTIF('03_보안기사_필기_DB'!$I$4:$M$100, DATE(2026,8,24)+23*7+4) + COUNTIF('04_보안기사_실기_DB'!$G$4:$I$30, DATE(2026,8,24)+23*7+4) + COUNTIF('08_빅분기_필기_DB'!$I$4:$K$34, DATE(2026,8,24)+23*7+4) + COUNTIF('09_빅분기_실기_DB'!$H$4:$I$25, DATE(2026,8,24)+23*7+4)</f>
        <v/>
      </c>
      <c r="AA15" s="97">
        <f>COUNTIFS('02_SWEA_통합_코딩테스트_DB'!$F$4:$F$1260, DATE(2026,8,24)+24*7+4, '02_SWEA_통합_코딩테스트_DB'!$J$4:$J$1260, "&lt;&gt;보류*") + COUNTIFS('02_SWEA_통합_코딩테스트_DB'!$G$4:$G$1260, DATE(2026,8,24)+24*7+4, '02_SWEA_통합_코딩테스트_DB'!$J$4:$J$1260, "&lt;&gt;보류*") + COUNTIFS('02_SWEA_통합_코딩테스트_DB'!$H$4:$H$1260, DATE(2026,8,24)+24*7+4, '02_SWEA_통합_코딩테스트_DB'!$J$4:$J$1260, "&lt;&gt;보류*") + COUNTIFS('02_SWEA_통합_코딩테스트_DB'!$I$4:$I$1260, DATE(2026,8,24)+24*7+4, '02_SWEA_통합_코딩테스트_DB'!$J$4:$J$1260, "&lt;&gt;보류*") + COUNTIF('03_보안기사_필기_DB'!$I$4:$M$100, DATE(2026,8,24)+24*7+4) + COUNTIF('04_보안기사_실기_DB'!$G$4:$I$30, DATE(2026,8,24)+24*7+4) + COUNTIF('08_빅분기_필기_DB'!$I$4:$K$34, DATE(2026,8,24)+24*7+4) + COUNTIF('09_빅분기_실기_DB'!$H$4:$I$25, DATE(2026,8,24)+24*7+4)</f>
        <v/>
      </c>
      <c r="AB15" s="97">
        <f>COUNTIFS('02_SWEA_통합_코딩테스트_DB'!$F$4:$F$1260, DATE(2026,8,24)+25*7+4, '02_SWEA_통합_코딩테스트_DB'!$J$4:$J$1260, "&lt;&gt;보류*") + COUNTIFS('02_SWEA_통합_코딩테스트_DB'!$G$4:$G$1260, DATE(2026,8,24)+25*7+4, '02_SWEA_통합_코딩테스트_DB'!$J$4:$J$1260, "&lt;&gt;보류*") + COUNTIFS('02_SWEA_통합_코딩테스트_DB'!$H$4:$H$1260, DATE(2026,8,24)+25*7+4, '02_SWEA_통합_코딩테스트_DB'!$J$4:$J$1260, "&lt;&gt;보류*") + COUNTIFS('02_SWEA_통합_코딩테스트_DB'!$I$4:$I$1260, DATE(2026,8,24)+25*7+4, '02_SWEA_통합_코딩테스트_DB'!$J$4:$J$1260, "&lt;&gt;보류*") + COUNTIF('03_보안기사_필기_DB'!$I$4:$M$100, DATE(2026,8,24)+25*7+4) + COUNTIF('04_보안기사_실기_DB'!$G$4:$I$30, DATE(2026,8,24)+25*7+4) + COUNTIF('08_빅분기_필기_DB'!$I$4:$K$34, DATE(2026,8,24)+25*7+4) + COUNTIF('09_빅분기_실기_DB'!$H$4:$I$25, DATE(2026,8,24)+25*7+4)</f>
        <v/>
      </c>
      <c r="AC15" s="97">
        <f>COUNTIFS('02_SWEA_통합_코딩테스트_DB'!$F$4:$F$1260, DATE(2026,8,24)+26*7+4, '02_SWEA_통합_코딩테스트_DB'!$J$4:$J$1260, "&lt;&gt;보류*") + COUNTIFS('02_SWEA_통합_코딩테스트_DB'!$G$4:$G$1260, DATE(2026,8,24)+26*7+4, '02_SWEA_통합_코딩테스트_DB'!$J$4:$J$1260, "&lt;&gt;보류*") + COUNTIFS('02_SWEA_통합_코딩테스트_DB'!$H$4:$H$1260, DATE(2026,8,24)+26*7+4, '02_SWEA_통합_코딩테스트_DB'!$J$4:$J$1260, "&lt;&gt;보류*") + COUNTIFS('02_SWEA_통합_코딩테스트_DB'!$I$4:$I$1260, DATE(2026,8,24)+26*7+4, '02_SWEA_통합_코딩테스트_DB'!$J$4:$J$1260, "&lt;&gt;보류*") + COUNTIF('03_보안기사_필기_DB'!$I$4:$M$100, DATE(2026,8,24)+26*7+4) + COUNTIF('04_보안기사_실기_DB'!$G$4:$I$30, DATE(2026,8,24)+26*7+4) + COUNTIF('08_빅분기_필기_DB'!$I$4:$K$34, DATE(2026,8,24)+26*7+4) + COUNTIF('09_빅분기_실기_DB'!$H$4:$I$25, DATE(2026,8,24)+26*7+4)</f>
        <v/>
      </c>
      <c r="AD15" s="97">
        <f>COUNTIFS('02_SWEA_통합_코딩테스트_DB'!$F$4:$F$1260, DATE(2026,8,24)+27*7+4, '02_SWEA_통합_코딩테스트_DB'!$J$4:$J$1260, "&lt;&gt;보류*") + COUNTIFS('02_SWEA_통합_코딩테스트_DB'!$G$4:$G$1260, DATE(2026,8,24)+27*7+4, '02_SWEA_통합_코딩테스트_DB'!$J$4:$J$1260, "&lt;&gt;보류*") + COUNTIFS('02_SWEA_통합_코딩테스트_DB'!$H$4:$H$1260, DATE(2026,8,24)+27*7+4, '02_SWEA_통합_코딩테스트_DB'!$J$4:$J$1260, "&lt;&gt;보류*") + COUNTIFS('02_SWEA_통합_코딩테스트_DB'!$I$4:$I$1260, DATE(2026,8,24)+27*7+4, '02_SWEA_통합_코딩테스트_DB'!$J$4:$J$1260, "&lt;&gt;보류*") + COUNTIF('03_보안기사_필기_DB'!$I$4:$M$100, DATE(2026,8,24)+27*7+4) + COUNTIF('04_보안기사_실기_DB'!$G$4:$I$30, DATE(2026,8,24)+27*7+4) + COUNTIF('08_빅분기_필기_DB'!$I$4:$K$34, DATE(2026,8,24)+27*7+4) + COUNTIF('09_빅분기_실기_DB'!$H$4:$I$25, DATE(2026,8,24)+27*7+4)</f>
        <v/>
      </c>
      <c r="AE15" s="97">
        <f>COUNTIFS('02_SWEA_통합_코딩테스트_DB'!$F$4:$F$1260, DATE(2026,8,24)+28*7+4, '02_SWEA_통합_코딩테스트_DB'!$J$4:$J$1260, "&lt;&gt;보류*") + COUNTIFS('02_SWEA_통합_코딩테스트_DB'!$G$4:$G$1260, DATE(2026,8,24)+28*7+4, '02_SWEA_통합_코딩테스트_DB'!$J$4:$J$1260, "&lt;&gt;보류*") + COUNTIFS('02_SWEA_통합_코딩테스트_DB'!$H$4:$H$1260, DATE(2026,8,24)+28*7+4, '02_SWEA_통합_코딩테스트_DB'!$J$4:$J$1260, "&lt;&gt;보류*") + COUNTIFS('02_SWEA_통합_코딩테스트_DB'!$I$4:$I$1260, DATE(2026,8,24)+28*7+4, '02_SWEA_통합_코딩테스트_DB'!$J$4:$J$1260, "&lt;&gt;보류*") + COUNTIF('03_보안기사_필기_DB'!$I$4:$M$100, DATE(2026,8,24)+28*7+4) + COUNTIF('04_보안기사_실기_DB'!$G$4:$I$30, DATE(2026,8,24)+28*7+4) + COUNTIF('08_빅분기_필기_DB'!$I$4:$K$34, DATE(2026,8,24)+28*7+4) + COUNTIF('09_빅분기_실기_DB'!$H$4:$I$25, DATE(2026,8,24)+28*7+4)</f>
        <v/>
      </c>
      <c r="AF15" s="97">
        <f>COUNTIFS('02_SWEA_통합_코딩테스트_DB'!$F$4:$F$1260, DATE(2026,8,24)+29*7+4, '02_SWEA_통합_코딩테스트_DB'!$J$4:$J$1260, "&lt;&gt;보류*") + COUNTIFS('02_SWEA_통합_코딩테스트_DB'!$G$4:$G$1260, DATE(2026,8,24)+29*7+4, '02_SWEA_통합_코딩테스트_DB'!$J$4:$J$1260, "&lt;&gt;보류*") + COUNTIFS('02_SWEA_통합_코딩테스트_DB'!$H$4:$H$1260, DATE(2026,8,24)+29*7+4, '02_SWEA_통합_코딩테스트_DB'!$J$4:$J$1260, "&lt;&gt;보류*") + COUNTIFS('02_SWEA_통합_코딩테스트_DB'!$I$4:$I$1260, DATE(2026,8,24)+29*7+4, '02_SWEA_통합_코딩테스트_DB'!$J$4:$J$1260, "&lt;&gt;보류*") + COUNTIF('03_보안기사_필기_DB'!$I$4:$M$100, DATE(2026,8,24)+29*7+4) + COUNTIF('04_보안기사_실기_DB'!$G$4:$I$30, DATE(2026,8,24)+29*7+4) + COUNTIF('08_빅분기_필기_DB'!$I$4:$K$34, DATE(2026,8,24)+29*7+4) + COUNTIF('09_빅분기_실기_DB'!$H$4:$I$25, DATE(2026,8,24)+29*7+4)</f>
        <v/>
      </c>
      <c r="AG15" s="97">
        <f>COUNTIFS('02_SWEA_통합_코딩테스트_DB'!$F$4:$F$1260, DATE(2026,8,24)+30*7+4, '02_SWEA_통합_코딩테스트_DB'!$J$4:$J$1260, "&lt;&gt;보류*") + COUNTIFS('02_SWEA_통합_코딩테스트_DB'!$G$4:$G$1260, DATE(2026,8,24)+30*7+4, '02_SWEA_통합_코딩테스트_DB'!$J$4:$J$1260, "&lt;&gt;보류*") + COUNTIFS('02_SWEA_통합_코딩테스트_DB'!$H$4:$H$1260, DATE(2026,8,24)+30*7+4, '02_SWEA_통합_코딩테스트_DB'!$J$4:$J$1260, "&lt;&gt;보류*") + COUNTIFS('02_SWEA_통합_코딩테스트_DB'!$I$4:$I$1260, DATE(2026,8,24)+30*7+4, '02_SWEA_통합_코딩테스트_DB'!$J$4:$J$1260, "&lt;&gt;보류*") + COUNTIF('03_보안기사_필기_DB'!$I$4:$M$100, DATE(2026,8,24)+30*7+4) + COUNTIF('04_보안기사_실기_DB'!$G$4:$I$30, DATE(2026,8,24)+30*7+4) + COUNTIF('08_빅분기_필기_DB'!$I$4:$K$34, DATE(2026,8,24)+30*7+4) + COUNTIF('09_빅분기_실기_DB'!$H$4:$I$25, DATE(2026,8,24)+30*7+4)</f>
        <v/>
      </c>
      <c r="AH15" s="97">
        <f>COUNTIFS('02_SWEA_통합_코딩테스트_DB'!$F$4:$F$1260, DATE(2026,8,24)+31*7+4, '02_SWEA_통합_코딩테스트_DB'!$J$4:$J$1260, "&lt;&gt;보류*") + COUNTIFS('02_SWEA_통합_코딩테스트_DB'!$G$4:$G$1260, DATE(2026,8,24)+31*7+4, '02_SWEA_통합_코딩테스트_DB'!$J$4:$J$1260, "&lt;&gt;보류*") + COUNTIFS('02_SWEA_통합_코딩테스트_DB'!$H$4:$H$1260, DATE(2026,8,24)+31*7+4, '02_SWEA_통합_코딩테스트_DB'!$J$4:$J$1260, "&lt;&gt;보류*") + COUNTIFS('02_SWEA_통합_코딩테스트_DB'!$I$4:$I$1260, DATE(2026,8,24)+31*7+4, '02_SWEA_통합_코딩테스트_DB'!$J$4:$J$1260, "&lt;&gt;보류*") + COUNTIF('03_보안기사_필기_DB'!$I$4:$M$100, DATE(2026,8,24)+31*7+4) + COUNTIF('04_보안기사_실기_DB'!$G$4:$I$30, DATE(2026,8,24)+31*7+4) + COUNTIF('08_빅분기_필기_DB'!$I$4:$K$34, DATE(2026,8,24)+31*7+4) + COUNTIF('09_빅분기_실기_DB'!$H$4:$I$25, DATE(2026,8,24)+31*7+4)</f>
        <v/>
      </c>
      <c r="AI15" s="97">
        <f>COUNTIFS('02_SWEA_통합_코딩테스트_DB'!$F$4:$F$1260, DATE(2026,8,24)+32*7+4, '02_SWEA_통합_코딩테스트_DB'!$J$4:$J$1260, "&lt;&gt;보류*") + COUNTIFS('02_SWEA_통합_코딩테스트_DB'!$G$4:$G$1260, DATE(2026,8,24)+32*7+4, '02_SWEA_통합_코딩테스트_DB'!$J$4:$J$1260, "&lt;&gt;보류*") + COUNTIFS('02_SWEA_통합_코딩테스트_DB'!$H$4:$H$1260, DATE(2026,8,24)+32*7+4, '02_SWEA_통합_코딩테스트_DB'!$J$4:$J$1260, "&lt;&gt;보류*") + COUNTIFS('02_SWEA_통합_코딩테스트_DB'!$I$4:$I$1260, DATE(2026,8,24)+32*7+4, '02_SWEA_통합_코딩테스트_DB'!$J$4:$J$1260, "&lt;&gt;보류*") + COUNTIF('03_보안기사_필기_DB'!$I$4:$M$100, DATE(2026,8,24)+32*7+4) + COUNTIF('04_보안기사_실기_DB'!$G$4:$I$30, DATE(2026,8,24)+32*7+4) + COUNTIF('08_빅분기_필기_DB'!$I$4:$K$34, DATE(2026,8,24)+32*7+4) + COUNTIF('09_빅분기_실기_DB'!$H$4:$I$25, DATE(2026,8,24)+32*7+4)</f>
        <v/>
      </c>
      <c r="AJ15" s="97">
        <f>COUNTIFS('02_SWEA_통합_코딩테스트_DB'!$F$4:$F$1260, DATE(2026,8,24)+33*7+4, '02_SWEA_통합_코딩테스트_DB'!$J$4:$J$1260, "&lt;&gt;보류*") + COUNTIFS('02_SWEA_통합_코딩테스트_DB'!$G$4:$G$1260, DATE(2026,8,24)+33*7+4, '02_SWEA_통합_코딩테스트_DB'!$J$4:$J$1260, "&lt;&gt;보류*") + COUNTIFS('02_SWEA_통합_코딩테스트_DB'!$H$4:$H$1260, DATE(2026,8,24)+33*7+4, '02_SWEA_통합_코딩테스트_DB'!$J$4:$J$1260, "&lt;&gt;보류*") + COUNTIFS('02_SWEA_통합_코딩테스트_DB'!$I$4:$I$1260, DATE(2026,8,24)+33*7+4, '02_SWEA_통합_코딩테스트_DB'!$J$4:$J$1260, "&lt;&gt;보류*") + COUNTIF('03_보안기사_필기_DB'!$I$4:$M$100, DATE(2026,8,24)+33*7+4) + COUNTIF('04_보안기사_실기_DB'!$G$4:$I$30, DATE(2026,8,24)+33*7+4) + COUNTIF('08_빅분기_필기_DB'!$I$4:$K$34, DATE(2026,8,24)+33*7+4) + COUNTIF('09_빅분기_실기_DB'!$H$4:$I$25, DATE(2026,8,24)+33*7+4)</f>
        <v/>
      </c>
      <c r="AK15" s="97">
        <f>COUNTIFS('02_SWEA_통합_코딩테스트_DB'!$F$4:$F$1260, DATE(2026,8,24)+34*7+4, '02_SWEA_통합_코딩테스트_DB'!$J$4:$J$1260, "&lt;&gt;보류*") + COUNTIFS('02_SWEA_통합_코딩테스트_DB'!$G$4:$G$1260, DATE(2026,8,24)+34*7+4, '02_SWEA_통합_코딩테스트_DB'!$J$4:$J$1260, "&lt;&gt;보류*") + COUNTIFS('02_SWEA_통합_코딩테스트_DB'!$H$4:$H$1260, DATE(2026,8,24)+34*7+4, '02_SWEA_통합_코딩테스트_DB'!$J$4:$J$1260, "&lt;&gt;보류*") + COUNTIFS('02_SWEA_통합_코딩테스트_DB'!$I$4:$I$1260, DATE(2026,8,24)+34*7+4, '02_SWEA_통합_코딩테스트_DB'!$J$4:$J$1260, "&lt;&gt;보류*") + COUNTIF('03_보안기사_필기_DB'!$I$4:$M$100, DATE(2026,8,24)+34*7+4) + COUNTIF('04_보안기사_실기_DB'!$G$4:$I$30, DATE(2026,8,24)+34*7+4) + COUNTIF('08_빅분기_필기_DB'!$I$4:$K$34, DATE(2026,8,24)+34*7+4) + COUNTIF('09_빅분기_실기_DB'!$H$4:$I$25, DATE(2026,8,24)+34*7+4)</f>
        <v/>
      </c>
      <c r="AL15" s="97">
        <f>COUNTIFS('02_SWEA_통합_코딩테스트_DB'!$F$4:$F$1260, DATE(2026,8,24)+35*7+4, '02_SWEA_통합_코딩테스트_DB'!$J$4:$J$1260, "&lt;&gt;보류*") + COUNTIFS('02_SWEA_통합_코딩테스트_DB'!$G$4:$G$1260, DATE(2026,8,24)+35*7+4, '02_SWEA_통합_코딩테스트_DB'!$J$4:$J$1260, "&lt;&gt;보류*") + COUNTIFS('02_SWEA_통합_코딩테스트_DB'!$H$4:$H$1260, DATE(2026,8,24)+35*7+4, '02_SWEA_통합_코딩테스트_DB'!$J$4:$J$1260, "&lt;&gt;보류*") + COUNTIFS('02_SWEA_통합_코딩테스트_DB'!$I$4:$I$1260, DATE(2026,8,24)+35*7+4, '02_SWEA_통합_코딩테스트_DB'!$J$4:$J$1260, "&lt;&gt;보류*") + COUNTIF('03_보안기사_필기_DB'!$I$4:$M$100, DATE(2026,8,24)+35*7+4) + COUNTIF('04_보안기사_실기_DB'!$G$4:$I$30, DATE(2026,8,24)+35*7+4) + COUNTIF('08_빅분기_필기_DB'!$I$4:$K$34, DATE(2026,8,24)+35*7+4) + COUNTIF('09_빅분기_실기_DB'!$H$4:$I$25, DATE(2026,8,24)+35*7+4)</f>
        <v/>
      </c>
      <c r="AM15" s="97">
        <f>COUNTIFS('02_SWEA_통합_코딩테스트_DB'!$F$4:$F$1260, DATE(2026,8,24)+36*7+4, '02_SWEA_통합_코딩테스트_DB'!$J$4:$J$1260, "&lt;&gt;보류*") + COUNTIFS('02_SWEA_통합_코딩테스트_DB'!$G$4:$G$1260, DATE(2026,8,24)+36*7+4, '02_SWEA_통합_코딩테스트_DB'!$J$4:$J$1260, "&lt;&gt;보류*") + COUNTIFS('02_SWEA_통합_코딩테스트_DB'!$H$4:$H$1260, DATE(2026,8,24)+36*7+4, '02_SWEA_통합_코딩테스트_DB'!$J$4:$J$1260, "&lt;&gt;보류*") + COUNTIFS('02_SWEA_통합_코딩테스트_DB'!$I$4:$I$1260, DATE(2026,8,24)+36*7+4, '02_SWEA_통합_코딩테스트_DB'!$J$4:$J$1260, "&lt;&gt;보류*") + COUNTIF('03_보안기사_필기_DB'!$I$4:$M$100, DATE(2026,8,24)+36*7+4) + COUNTIF('04_보안기사_실기_DB'!$G$4:$I$30, DATE(2026,8,24)+36*7+4) + COUNTIF('08_빅분기_필기_DB'!$I$4:$K$34, DATE(2026,8,24)+36*7+4) + COUNTIF('09_빅분기_실기_DB'!$H$4:$I$25, DATE(2026,8,24)+36*7+4)</f>
        <v/>
      </c>
      <c r="AN15" s="97">
        <f>COUNTIFS('02_SWEA_통합_코딩테스트_DB'!$F$4:$F$1260, DATE(2026,8,24)+37*7+4, '02_SWEA_통합_코딩테스트_DB'!$J$4:$J$1260, "&lt;&gt;보류*") + COUNTIFS('02_SWEA_통합_코딩테스트_DB'!$G$4:$G$1260, DATE(2026,8,24)+37*7+4, '02_SWEA_통합_코딩테스트_DB'!$J$4:$J$1260, "&lt;&gt;보류*") + COUNTIFS('02_SWEA_통합_코딩테스트_DB'!$H$4:$H$1260, DATE(2026,8,24)+37*7+4, '02_SWEA_통합_코딩테스트_DB'!$J$4:$J$1260, "&lt;&gt;보류*") + COUNTIFS('02_SWEA_통합_코딩테스트_DB'!$I$4:$I$1260, DATE(2026,8,24)+37*7+4, '02_SWEA_통합_코딩테스트_DB'!$J$4:$J$1260, "&lt;&gt;보류*") + COUNTIF('03_보안기사_필기_DB'!$I$4:$M$100, DATE(2026,8,24)+37*7+4) + COUNTIF('04_보안기사_실기_DB'!$G$4:$I$30, DATE(2026,8,24)+37*7+4) + COUNTIF('08_빅분기_필기_DB'!$I$4:$K$34, DATE(2026,8,24)+37*7+4) + COUNTIF('09_빅분기_실기_DB'!$H$4:$I$25, DATE(2026,8,24)+37*7+4)</f>
        <v/>
      </c>
      <c r="AO15" s="97">
        <f>COUNTIFS('02_SWEA_통합_코딩테스트_DB'!$F$4:$F$1260, DATE(2026,8,24)+38*7+4, '02_SWEA_통합_코딩테스트_DB'!$J$4:$J$1260, "&lt;&gt;보류*") + COUNTIFS('02_SWEA_통합_코딩테스트_DB'!$G$4:$G$1260, DATE(2026,8,24)+38*7+4, '02_SWEA_통합_코딩테스트_DB'!$J$4:$J$1260, "&lt;&gt;보류*") + COUNTIFS('02_SWEA_통합_코딩테스트_DB'!$H$4:$H$1260, DATE(2026,8,24)+38*7+4, '02_SWEA_통합_코딩테스트_DB'!$J$4:$J$1260, "&lt;&gt;보류*") + COUNTIFS('02_SWEA_통합_코딩테스트_DB'!$I$4:$I$1260, DATE(2026,8,24)+38*7+4, '02_SWEA_통합_코딩테스트_DB'!$J$4:$J$1260, "&lt;&gt;보류*") + COUNTIF('03_보안기사_필기_DB'!$I$4:$M$100, DATE(2026,8,24)+38*7+4) + COUNTIF('04_보안기사_실기_DB'!$G$4:$I$30, DATE(2026,8,24)+38*7+4) + COUNTIF('08_빅분기_필기_DB'!$I$4:$K$34, DATE(2026,8,24)+38*7+4) + COUNTIF('09_빅분기_실기_DB'!$H$4:$I$25, DATE(2026,8,24)+38*7+4)</f>
        <v/>
      </c>
      <c r="AP15" s="97">
        <f>COUNTIFS('02_SWEA_통합_코딩테스트_DB'!$F$4:$F$1260, DATE(2026,8,24)+39*7+4, '02_SWEA_통합_코딩테스트_DB'!$J$4:$J$1260, "&lt;&gt;보류*") + COUNTIFS('02_SWEA_통합_코딩테스트_DB'!$G$4:$G$1260, DATE(2026,8,24)+39*7+4, '02_SWEA_통합_코딩테스트_DB'!$J$4:$J$1260, "&lt;&gt;보류*") + COUNTIFS('02_SWEA_통합_코딩테스트_DB'!$H$4:$H$1260, DATE(2026,8,24)+39*7+4, '02_SWEA_통합_코딩테스트_DB'!$J$4:$J$1260, "&lt;&gt;보류*") + COUNTIFS('02_SWEA_통합_코딩테스트_DB'!$I$4:$I$1260, DATE(2026,8,24)+39*7+4, '02_SWEA_통합_코딩테스트_DB'!$J$4:$J$1260, "&lt;&gt;보류*") + COUNTIF('03_보안기사_필기_DB'!$I$4:$M$100, DATE(2026,8,24)+39*7+4) + COUNTIF('04_보안기사_실기_DB'!$G$4:$I$30, DATE(2026,8,24)+39*7+4) + COUNTIF('08_빅분기_필기_DB'!$I$4:$K$34, DATE(2026,8,24)+39*7+4) + COUNTIF('09_빅분기_실기_DB'!$H$4:$I$25, DATE(2026,8,24)+39*7+4)</f>
        <v/>
      </c>
      <c r="AQ15" s="97">
        <f>COUNTIFS('02_SWEA_통합_코딩테스트_DB'!$F$4:$F$1260, DATE(2026,8,24)+40*7+4, '02_SWEA_통합_코딩테스트_DB'!$J$4:$J$1260, "&lt;&gt;보류*") + COUNTIFS('02_SWEA_통합_코딩테스트_DB'!$G$4:$G$1260, DATE(2026,8,24)+40*7+4, '02_SWEA_통합_코딩테스트_DB'!$J$4:$J$1260, "&lt;&gt;보류*") + COUNTIFS('02_SWEA_통합_코딩테스트_DB'!$H$4:$H$1260, DATE(2026,8,24)+40*7+4, '02_SWEA_통합_코딩테스트_DB'!$J$4:$J$1260, "&lt;&gt;보류*") + COUNTIFS('02_SWEA_통합_코딩테스트_DB'!$I$4:$I$1260, DATE(2026,8,24)+40*7+4, '02_SWEA_통합_코딩테스트_DB'!$J$4:$J$1260, "&lt;&gt;보류*") + COUNTIF('03_보안기사_필기_DB'!$I$4:$M$100, DATE(2026,8,24)+40*7+4) + COUNTIF('04_보안기사_실기_DB'!$G$4:$I$30, DATE(2026,8,24)+40*7+4) + COUNTIF('08_빅분기_필기_DB'!$I$4:$K$34, DATE(2026,8,24)+40*7+4) + COUNTIF('09_빅분기_실기_DB'!$H$4:$I$25, DATE(2026,8,24)+40*7+4)</f>
        <v/>
      </c>
      <c r="AR15" s="97">
        <f>COUNTIFS('02_SWEA_통합_코딩테스트_DB'!$F$4:$F$1260, DATE(2026,8,24)+41*7+4, '02_SWEA_통합_코딩테스트_DB'!$J$4:$J$1260, "&lt;&gt;보류*") + COUNTIFS('02_SWEA_통합_코딩테스트_DB'!$G$4:$G$1260, DATE(2026,8,24)+41*7+4, '02_SWEA_통합_코딩테스트_DB'!$J$4:$J$1260, "&lt;&gt;보류*") + COUNTIFS('02_SWEA_통합_코딩테스트_DB'!$H$4:$H$1260, DATE(2026,8,24)+41*7+4, '02_SWEA_통합_코딩테스트_DB'!$J$4:$J$1260, "&lt;&gt;보류*") + COUNTIFS('02_SWEA_통합_코딩테스트_DB'!$I$4:$I$1260, DATE(2026,8,24)+41*7+4, '02_SWEA_통합_코딩테스트_DB'!$J$4:$J$1260, "&lt;&gt;보류*") + COUNTIF('03_보안기사_필기_DB'!$I$4:$M$100, DATE(2026,8,24)+41*7+4) + COUNTIF('04_보안기사_실기_DB'!$G$4:$I$30, DATE(2026,8,24)+41*7+4) + COUNTIF('08_빅분기_필기_DB'!$I$4:$K$34, DATE(2026,8,24)+41*7+4) + COUNTIF('09_빅분기_실기_DB'!$H$4:$I$25, DATE(2026,8,24)+41*7+4)</f>
        <v/>
      </c>
      <c r="AS15" s="97">
        <f>COUNTIFS('02_SWEA_통합_코딩테스트_DB'!$F$4:$F$1260, DATE(2026,8,24)+42*7+4, '02_SWEA_통합_코딩테스트_DB'!$J$4:$J$1260, "&lt;&gt;보류*") + COUNTIFS('02_SWEA_통합_코딩테스트_DB'!$G$4:$G$1260, DATE(2026,8,24)+42*7+4, '02_SWEA_통합_코딩테스트_DB'!$J$4:$J$1260, "&lt;&gt;보류*") + COUNTIFS('02_SWEA_통합_코딩테스트_DB'!$H$4:$H$1260, DATE(2026,8,24)+42*7+4, '02_SWEA_통합_코딩테스트_DB'!$J$4:$J$1260, "&lt;&gt;보류*") + COUNTIFS('02_SWEA_통합_코딩테스트_DB'!$I$4:$I$1260, DATE(2026,8,24)+42*7+4, '02_SWEA_통합_코딩테스트_DB'!$J$4:$J$1260, "&lt;&gt;보류*") + COUNTIF('03_보안기사_필기_DB'!$I$4:$M$100, DATE(2026,8,24)+42*7+4) + COUNTIF('04_보안기사_실기_DB'!$G$4:$I$30, DATE(2026,8,24)+42*7+4) + COUNTIF('08_빅분기_필기_DB'!$I$4:$K$34, DATE(2026,8,24)+42*7+4) + COUNTIF('09_빅분기_실기_DB'!$H$4:$I$25, DATE(2026,8,24)+42*7+4)</f>
        <v/>
      </c>
      <c r="AT15" s="97">
        <f>COUNTIFS('02_SWEA_통합_코딩테스트_DB'!$F$4:$F$1260, DATE(2026,8,24)+43*7+4, '02_SWEA_통합_코딩테스트_DB'!$J$4:$J$1260, "&lt;&gt;보류*") + COUNTIFS('02_SWEA_통합_코딩테스트_DB'!$G$4:$G$1260, DATE(2026,8,24)+43*7+4, '02_SWEA_통합_코딩테스트_DB'!$J$4:$J$1260, "&lt;&gt;보류*") + COUNTIFS('02_SWEA_통합_코딩테스트_DB'!$H$4:$H$1260, DATE(2026,8,24)+43*7+4, '02_SWEA_통합_코딩테스트_DB'!$J$4:$J$1260, "&lt;&gt;보류*") + COUNTIFS('02_SWEA_통합_코딩테스트_DB'!$I$4:$I$1260, DATE(2026,8,24)+43*7+4, '02_SWEA_통합_코딩테스트_DB'!$J$4:$J$1260, "&lt;&gt;보류*") + COUNTIF('03_보안기사_필기_DB'!$I$4:$M$100, DATE(2026,8,24)+43*7+4) + COUNTIF('04_보안기사_실기_DB'!$G$4:$I$30, DATE(2026,8,24)+43*7+4) + COUNTIF('08_빅분기_필기_DB'!$I$4:$K$34, DATE(2026,8,24)+43*7+4) + COUNTIF('09_빅분기_실기_DB'!$H$4:$I$25, DATE(2026,8,24)+43*7+4)</f>
        <v/>
      </c>
      <c r="AU15" s="97">
        <f>COUNTIFS('02_SWEA_통합_코딩테스트_DB'!$F$4:$F$1260, DATE(2026,8,24)+44*7+4, '02_SWEA_통합_코딩테스트_DB'!$J$4:$J$1260, "&lt;&gt;보류*") + COUNTIFS('02_SWEA_통합_코딩테스트_DB'!$G$4:$G$1260, DATE(2026,8,24)+44*7+4, '02_SWEA_통합_코딩테스트_DB'!$J$4:$J$1260, "&lt;&gt;보류*") + COUNTIFS('02_SWEA_통합_코딩테스트_DB'!$H$4:$H$1260, DATE(2026,8,24)+44*7+4, '02_SWEA_통합_코딩테스트_DB'!$J$4:$J$1260, "&lt;&gt;보류*") + COUNTIFS('02_SWEA_통합_코딩테스트_DB'!$I$4:$I$1260, DATE(2026,8,24)+44*7+4, '02_SWEA_통합_코딩테스트_DB'!$J$4:$J$1260, "&lt;&gt;보류*") + COUNTIF('03_보안기사_필기_DB'!$I$4:$M$100, DATE(2026,8,24)+44*7+4) + COUNTIF('04_보안기사_실기_DB'!$G$4:$I$30, DATE(2026,8,24)+44*7+4) + COUNTIF('08_빅분기_필기_DB'!$I$4:$K$34, DATE(2026,8,24)+44*7+4) + COUNTIF('09_빅분기_실기_DB'!$H$4:$I$25, DATE(2026,8,24)+44*7+4)</f>
        <v/>
      </c>
      <c r="AV15" s="97">
        <f>COUNTIFS('02_SWEA_통합_코딩테스트_DB'!$F$4:$F$1260, DATE(2026,8,24)+45*7+4, '02_SWEA_통합_코딩테스트_DB'!$J$4:$J$1260, "&lt;&gt;보류*") + COUNTIFS('02_SWEA_통합_코딩테스트_DB'!$G$4:$G$1260, DATE(2026,8,24)+45*7+4, '02_SWEA_통합_코딩테스트_DB'!$J$4:$J$1260, "&lt;&gt;보류*") + COUNTIFS('02_SWEA_통합_코딩테스트_DB'!$H$4:$H$1260, DATE(2026,8,24)+45*7+4, '02_SWEA_통합_코딩테스트_DB'!$J$4:$J$1260, "&lt;&gt;보류*") + COUNTIFS('02_SWEA_통합_코딩테스트_DB'!$I$4:$I$1260, DATE(2026,8,24)+45*7+4, '02_SWEA_통합_코딩테스트_DB'!$J$4:$J$1260, "&lt;&gt;보류*") + COUNTIF('03_보안기사_필기_DB'!$I$4:$M$100, DATE(2026,8,24)+45*7+4) + COUNTIF('04_보안기사_실기_DB'!$G$4:$I$30, DATE(2026,8,24)+45*7+4) + COUNTIF('08_빅분기_필기_DB'!$I$4:$K$34, DATE(2026,8,24)+45*7+4) + COUNTIF('09_빅분기_실기_DB'!$H$4:$I$25, DATE(2026,8,24)+45*7+4)</f>
        <v/>
      </c>
      <c r="AW15" s="97">
        <f>COUNTIFS('02_SWEA_통합_코딩테스트_DB'!$F$4:$F$1260, DATE(2026,8,24)+46*7+4, '02_SWEA_통합_코딩테스트_DB'!$J$4:$J$1260, "&lt;&gt;보류*") + COUNTIFS('02_SWEA_통합_코딩테스트_DB'!$G$4:$G$1260, DATE(2026,8,24)+46*7+4, '02_SWEA_통합_코딩테스트_DB'!$J$4:$J$1260, "&lt;&gt;보류*") + COUNTIFS('02_SWEA_통합_코딩테스트_DB'!$H$4:$H$1260, DATE(2026,8,24)+46*7+4, '02_SWEA_통합_코딩테스트_DB'!$J$4:$J$1260, "&lt;&gt;보류*") + COUNTIFS('02_SWEA_통합_코딩테스트_DB'!$I$4:$I$1260, DATE(2026,8,24)+46*7+4, '02_SWEA_통합_코딩테스트_DB'!$J$4:$J$1260, "&lt;&gt;보류*") + COUNTIF('03_보안기사_필기_DB'!$I$4:$M$100, DATE(2026,8,24)+46*7+4) + COUNTIF('04_보안기사_실기_DB'!$G$4:$I$30, DATE(2026,8,24)+46*7+4) + COUNTIF('08_빅분기_필기_DB'!$I$4:$K$34, DATE(2026,8,24)+46*7+4) + COUNTIF('09_빅분기_실기_DB'!$H$4:$I$25, DATE(2026,8,24)+46*7+4)</f>
        <v/>
      </c>
      <c r="AX15" s="97">
        <f>COUNTIFS('02_SWEA_통합_코딩테스트_DB'!$F$4:$F$1260, DATE(2026,8,24)+47*7+4, '02_SWEA_통합_코딩테스트_DB'!$J$4:$J$1260, "&lt;&gt;보류*") + COUNTIFS('02_SWEA_통합_코딩테스트_DB'!$G$4:$G$1260, DATE(2026,8,24)+47*7+4, '02_SWEA_통합_코딩테스트_DB'!$J$4:$J$1260, "&lt;&gt;보류*") + COUNTIFS('02_SWEA_통합_코딩테스트_DB'!$H$4:$H$1260, DATE(2026,8,24)+47*7+4, '02_SWEA_통합_코딩테스트_DB'!$J$4:$J$1260, "&lt;&gt;보류*") + COUNTIFS('02_SWEA_통합_코딩테스트_DB'!$I$4:$I$1260, DATE(2026,8,24)+47*7+4, '02_SWEA_통합_코딩테스트_DB'!$J$4:$J$1260, "&lt;&gt;보류*") + COUNTIF('03_보안기사_필기_DB'!$I$4:$M$100, DATE(2026,8,24)+47*7+4) + COUNTIF('04_보안기사_실기_DB'!$G$4:$I$30, DATE(2026,8,24)+47*7+4) + COUNTIF('08_빅분기_필기_DB'!$I$4:$K$34, DATE(2026,8,24)+47*7+4) + COUNTIF('09_빅분기_실기_DB'!$H$4:$I$25, DATE(2026,8,24)+47*7+4)</f>
        <v/>
      </c>
      <c r="AY15" s="97">
        <f>COUNTIFS('02_SWEA_통합_코딩테스트_DB'!$F$4:$F$1260, DATE(2026,8,24)+48*7+4, '02_SWEA_통합_코딩테스트_DB'!$J$4:$J$1260, "&lt;&gt;보류*") + COUNTIFS('02_SWEA_통합_코딩테스트_DB'!$G$4:$G$1260, DATE(2026,8,24)+48*7+4, '02_SWEA_통합_코딩테스트_DB'!$J$4:$J$1260, "&lt;&gt;보류*") + COUNTIFS('02_SWEA_통합_코딩테스트_DB'!$H$4:$H$1260, DATE(2026,8,24)+48*7+4, '02_SWEA_통합_코딩테스트_DB'!$J$4:$J$1260, "&lt;&gt;보류*") + COUNTIFS('02_SWEA_통합_코딩테스트_DB'!$I$4:$I$1260, DATE(2026,8,24)+48*7+4, '02_SWEA_통합_코딩테스트_DB'!$J$4:$J$1260, "&lt;&gt;보류*") + COUNTIF('03_보안기사_필기_DB'!$I$4:$M$100, DATE(2026,8,24)+48*7+4) + COUNTIF('04_보안기사_실기_DB'!$G$4:$I$30, DATE(2026,8,24)+48*7+4) + COUNTIF('08_빅분기_필기_DB'!$I$4:$K$34, DATE(2026,8,24)+48*7+4) + COUNTIF('09_빅분기_실기_DB'!$H$4:$I$25, DATE(2026,8,24)+48*7+4)</f>
        <v/>
      </c>
      <c r="AZ15" s="97">
        <f>COUNTIFS('02_SWEA_통합_코딩테스트_DB'!$F$4:$F$1260, DATE(2026,8,24)+49*7+4, '02_SWEA_통합_코딩테스트_DB'!$J$4:$J$1260, "&lt;&gt;보류*") + COUNTIFS('02_SWEA_통합_코딩테스트_DB'!$G$4:$G$1260, DATE(2026,8,24)+49*7+4, '02_SWEA_통합_코딩테스트_DB'!$J$4:$J$1260, "&lt;&gt;보류*") + COUNTIFS('02_SWEA_통합_코딩테스트_DB'!$H$4:$H$1260, DATE(2026,8,24)+49*7+4, '02_SWEA_통합_코딩테스트_DB'!$J$4:$J$1260, "&lt;&gt;보류*") + COUNTIFS('02_SWEA_통합_코딩테스트_DB'!$I$4:$I$1260, DATE(2026,8,24)+49*7+4, '02_SWEA_통합_코딩테스트_DB'!$J$4:$J$1260, "&lt;&gt;보류*") + COUNTIF('03_보안기사_필기_DB'!$I$4:$M$100, DATE(2026,8,24)+49*7+4) + COUNTIF('04_보안기사_실기_DB'!$G$4:$I$30, DATE(2026,8,24)+49*7+4) + COUNTIF('08_빅분기_필기_DB'!$I$4:$K$34, DATE(2026,8,24)+49*7+4) + COUNTIF('09_빅분기_실기_DB'!$H$4:$I$25, DATE(2026,8,24)+49*7+4)</f>
        <v/>
      </c>
      <c r="BA15" s="97">
        <f>COUNTIFS('02_SWEA_통합_코딩테스트_DB'!$F$4:$F$1260, DATE(2026,8,24)+50*7+4, '02_SWEA_통합_코딩테스트_DB'!$J$4:$J$1260, "&lt;&gt;보류*") + COUNTIFS('02_SWEA_통합_코딩테스트_DB'!$G$4:$G$1260, DATE(2026,8,24)+50*7+4, '02_SWEA_통합_코딩테스트_DB'!$J$4:$J$1260, "&lt;&gt;보류*") + COUNTIFS('02_SWEA_통합_코딩테스트_DB'!$H$4:$H$1260, DATE(2026,8,24)+50*7+4, '02_SWEA_통합_코딩테스트_DB'!$J$4:$J$1260, "&lt;&gt;보류*") + COUNTIFS('02_SWEA_통합_코딩테스트_DB'!$I$4:$I$1260, DATE(2026,8,24)+50*7+4, '02_SWEA_통합_코딩테스트_DB'!$J$4:$J$1260, "&lt;&gt;보류*") + COUNTIF('03_보안기사_필기_DB'!$I$4:$M$100, DATE(2026,8,24)+50*7+4) + COUNTIF('04_보안기사_실기_DB'!$G$4:$I$30, DATE(2026,8,24)+50*7+4) + COUNTIF('08_빅분기_필기_DB'!$I$4:$K$34, DATE(2026,8,24)+50*7+4) + COUNTIF('09_빅분기_실기_DB'!$H$4:$I$25, DATE(2026,8,24)+50*7+4)</f>
        <v/>
      </c>
      <c r="BB15" s="97">
        <f>COUNTIFS('02_SWEA_통합_코딩테스트_DB'!$F$4:$F$1260, DATE(2026,8,24)+51*7+4, '02_SWEA_통합_코딩테스트_DB'!$J$4:$J$1260, "&lt;&gt;보류*") + COUNTIFS('02_SWEA_통합_코딩테스트_DB'!$G$4:$G$1260, DATE(2026,8,24)+51*7+4, '02_SWEA_통합_코딩테스트_DB'!$J$4:$J$1260, "&lt;&gt;보류*") + COUNTIFS('02_SWEA_통합_코딩테스트_DB'!$H$4:$H$1260, DATE(2026,8,24)+51*7+4, '02_SWEA_통합_코딩테스트_DB'!$J$4:$J$1260, "&lt;&gt;보류*") + COUNTIFS('02_SWEA_통합_코딩테스트_DB'!$I$4:$I$1260, DATE(2026,8,24)+51*7+4, '02_SWEA_통합_코딩테스트_DB'!$J$4:$J$1260, "&lt;&gt;보류*") + COUNTIF('03_보안기사_필기_DB'!$I$4:$M$100, DATE(2026,8,24)+51*7+4) + COUNTIF('04_보안기사_실기_DB'!$G$4:$I$30, DATE(2026,8,24)+51*7+4) + COUNTIF('08_빅분기_필기_DB'!$I$4:$K$34, DATE(2026,8,24)+51*7+4) + COUNTIF('09_빅분기_실기_DB'!$H$4:$I$25, DATE(2026,8,24)+51*7+4)</f>
        <v/>
      </c>
      <c r="BC15" s="97">
        <f>COUNTIFS('02_SWEA_통합_코딩테스트_DB'!$F$4:$F$1260, DATE(2026,8,24)+52*7+4, '02_SWEA_통합_코딩테스트_DB'!$J$4:$J$1260, "&lt;&gt;보류*") + COUNTIFS('02_SWEA_통합_코딩테스트_DB'!$G$4:$G$1260, DATE(2026,8,24)+52*7+4, '02_SWEA_통합_코딩테스트_DB'!$J$4:$J$1260, "&lt;&gt;보류*") + COUNTIFS('02_SWEA_통합_코딩테스트_DB'!$H$4:$H$1260, DATE(2026,8,24)+52*7+4, '02_SWEA_통합_코딩테스트_DB'!$J$4:$J$1260, "&lt;&gt;보류*") + COUNTIFS('02_SWEA_통합_코딩테스트_DB'!$I$4:$I$1260, DATE(2026,8,24)+52*7+4, '02_SWEA_통합_코딩테스트_DB'!$J$4:$J$1260, "&lt;&gt;보류*") + COUNTIF('03_보안기사_필기_DB'!$I$4:$M$100, DATE(2026,8,24)+52*7+4) + COUNTIF('04_보안기사_실기_DB'!$G$4:$I$30, DATE(2026,8,24)+52*7+4)</f>
        <v/>
      </c>
      <c r="BD15" s="26" t="n"/>
      <c r="BE15" s="26" t="n"/>
      <c r="BF15" s="26" t="n"/>
      <c r="BG15" s="26" t="n"/>
    </row>
    <row r="16" ht="21.75" customHeight="1" s="209">
      <c r="A16" s="225" t="inlineStr">
        <is>
          <t>토 (Sat)</t>
        </is>
      </c>
      <c r="B16" s="214" t="n"/>
      <c r="C16" s="97">
        <f>COUNTIFS('02_SWEA_통합_코딩테스트_DB'!$F$4:$F$1260, DATE(2026,8,24)+0*7+5, '02_SWEA_통합_코딩테스트_DB'!$J$4:$J$1260, "&lt;&gt;보류*") + COUNTIFS('02_SWEA_통합_코딩테스트_DB'!$G$4:$G$1260, DATE(2026,8,24)+0*7+5, '02_SWEA_통합_코딩테스트_DB'!$J$4:$J$1260, "&lt;&gt;보류*") + COUNTIFS('02_SWEA_통합_코딩테스트_DB'!$H$4:$H$1260, DATE(2026,8,24)+0*7+5, '02_SWEA_통합_코딩테스트_DB'!$J$4:$J$1260, "&lt;&gt;보류*") + COUNTIFS('02_SWEA_통합_코딩테스트_DB'!$I$4:$I$1260, DATE(2026,8,24)+0*7+5, '02_SWEA_통합_코딩테스트_DB'!$J$4:$J$1260, "&lt;&gt;보류*") + COUNTIF('03_보안기사_필기_DB'!$I$4:$M$100, DATE(2026,8,24)+0*7+5) + COUNTIF('04_보안기사_실기_DB'!$G$4:$I$30, DATE(2026,8,24)+0*7+5) + COUNTIF('08_빅분기_필기_DB'!$I$4:$K$34, DATE(2026,8,24)+0*7+5) + COUNTIF('09_빅분기_실기_DB'!$H$4:$I$25, DATE(2026,8,24)+0*7+5)</f>
        <v/>
      </c>
      <c r="D16" s="97">
        <f>COUNTIFS('02_SWEA_통합_코딩테스트_DB'!$F$4:$F$1260, DATE(2026,8,24)+1*7+5, '02_SWEA_통합_코딩테스트_DB'!$J$4:$J$1260, "&lt;&gt;보류*") + COUNTIFS('02_SWEA_통합_코딩테스트_DB'!$G$4:$G$1260, DATE(2026,8,24)+1*7+5, '02_SWEA_통합_코딩테스트_DB'!$J$4:$J$1260, "&lt;&gt;보류*") + COUNTIFS('02_SWEA_통합_코딩테스트_DB'!$H$4:$H$1260, DATE(2026,8,24)+1*7+5, '02_SWEA_통합_코딩테스트_DB'!$J$4:$J$1260, "&lt;&gt;보류*") + COUNTIFS('02_SWEA_통합_코딩테스트_DB'!$I$4:$I$1260, DATE(2026,8,24)+1*7+5, '02_SWEA_통합_코딩테스트_DB'!$J$4:$J$1260, "&lt;&gt;보류*") + COUNTIF('03_보안기사_필기_DB'!$I$4:$M$100, DATE(2026,8,24)+1*7+5) + COUNTIF('04_보안기사_실기_DB'!$G$4:$I$30, DATE(2026,8,24)+1*7+5) + COUNTIF('08_빅분기_필기_DB'!$I$4:$K$34, DATE(2026,8,24)+1*7+5) + COUNTIF('09_빅분기_실기_DB'!$H$4:$I$25, DATE(2026,8,24)+1*7+5)</f>
        <v/>
      </c>
      <c r="E16" s="97">
        <f>COUNTIFS('02_SWEA_통합_코딩테스트_DB'!$F$4:$F$1260, DATE(2026,8,24)+2*7+5, '02_SWEA_통합_코딩테스트_DB'!$J$4:$J$1260, "&lt;&gt;보류*") + COUNTIFS('02_SWEA_통합_코딩테스트_DB'!$G$4:$G$1260, DATE(2026,8,24)+2*7+5, '02_SWEA_통합_코딩테스트_DB'!$J$4:$J$1260, "&lt;&gt;보류*") + COUNTIFS('02_SWEA_통합_코딩테스트_DB'!$H$4:$H$1260, DATE(2026,8,24)+2*7+5, '02_SWEA_통합_코딩테스트_DB'!$J$4:$J$1260, "&lt;&gt;보류*") + COUNTIFS('02_SWEA_통합_코딩테스트_DB'!$I$4:$I$1260, DATE(2026,8,24)+2*7+5, '02_SWEA_통합_코딩테스트_DB'!$J$4:$J$1260, "&lt;&gt;보류*") + COUNTIF('03_보안기사_필기_DB'!$I$4:$M$100, DATE(2026,8,24)+2*7+5) + COUNTIF('04_보안기사_실기_DB'!$G$4:$I$30, DATE(2026,8,24)+2*7+5) + COUNTIF('08_빅분기_필기_DB'!$I$4:$K$34, DATE(2026,8,24)+2*7+5) + COUNTIF('09_빅분기_실기_DB'!$H$4:$I$25, DATE(2026,8,24)+2*7+5)</f>
        <v/>
      </c>
      <c r="F16" s="97">
        <f>COUNTIFS('02_SWEA_통합_코딩테스트_DB'!$F$4:$F$1260, DATE(2026,8,24)+3*7+5, '02_SWEA_통합_코딩테스트_DB'!$J$4:$J$1260, "&lt;&gt;보류*") + COUNTIFS('02_SWEA_통합_코딩테스트_DB'!$G$4:$G$1260, DATE(2026,8,24)+3*7+5, '02_SWEA_통합_코딩테스트_DB'!$J$4:$J$1260, "&lt;&gt;보류*") + COUNTIFS('02_SWEA_통합_코딩테스트_DB'!$H$4:$H$1260, DATE(2026,8,24)+3*7+5, '02_SWEA_통합_코딩테스트_DB'!$J$4:$J$1260, "&lt;&gt;보류*") + COUNTIFS('02_SWEA_통합_코딩테스트_DB'!$I$4:$I$1260, DATE(2026,8,24)+3*7+5, '02_SWEA_통합_코딩테스트_DB'!$J$4:$J$1260, "&lt;&gt;보류*") + COUNTIF('03_보안기사_필기_DB'!$I$4:$M$100, DATE(2026,8,24)+3*7+5) + COUNTIF('04_보안기사_실기_DB'!$G$4:$I$30, DATE(2026,8,24)+3*7+5) + COUNTIF('08_빅분기_필기_DB'!$I$4:$K$34, DATE(2026,8,24)+3*7+5) + COUNTIF('09_빅분기_실기_DB'!$H$4:$I$25, DATE(2026,8,24)+3*7+5)</f>
        <v/>
      </c>
      <c r="G16" s="97">
        <f>COUNTIFS('02_SWEA_통합_코딩테스트_DB'!$F$4:$F$1260, DATE(2026,8,24)+4*7+5, '02_SWEA_통합_코딩테스트_DB'!$J$4:$J$1260, "&lt;&gt;보류*") + COUNTIFS('02_SWEA_통합_코딩테스트_DB'!$G$4:$G$1260, DATE(2026,8,24)+4*7+5, '02_SWEA_통합_코딩테스트_DB'!$J$4:$J$1260, "&lt;&gt;보류*") + COUNTIFS('02_SWEA_통합_코딩테스트_DB'!$H$4:$H$1260, DATE(2026,8,24)+4*7+5, '02_SWEA_통합_코딩테스트_DB'!$J$4:$J$1260, "&lt;&gt;보류*") + COUNTIFS('02_SWEA_통합_코딩테스트_DB'!$I$4:$I$1260, DATE(2026,8,24)+4*7+5, '02_SWEA_통합_코딩테스트_DB'!$J$4:$J$1260, "&lt;&gt;보류*") + COUNTIF('03_보안기사_필기_DB'!$I$4:$M$100, DATE(2026,8,24)+4*7+5) + COUNTIF('04_보안기사_실기_DB'!$G$4:$I$30, DATE(2026,8,24)+4*7+5) + COUNTIF('08_빅분기_필기_DB'!$I$4:$K$34, DATE(2026,8,24)+4*7+5) + COUNTIF('09_빅분기_실기_DB'!$H$4:$I$25, DATE(2026,8,24)+4*7+5)</f>
        <v/>
      </c>
      <c r="H16" s="97">
        <f>COUNTIFS('02_SWEA_통합_코딩테스트_DB'!$F$4:$F$1260, DATE(2026,8,24)+5*7+5, '02_SWEA_통합_코딩테스트_DB'!$J$4:$J$1260, "&lt;&gt;보류*") + COUNTIFS('02_SWEA_통합_코딩테스트_DB'!$G$4:$G$1260, DATE(2026,8,24)+5*7+5, '02_SWEA_통합_코딩테스트_DB'!$J$4:$J$1260, "&lt;&gt;보류*") + COUNTIFS('02_SWEA_통합_코딩테스트_DB'!$H$4:$H$1260, DATE(2026,8,24)+5*7+5, '02_SWEA_통합_코딩테스트_DB'!$J$4:$J$1260, "&lt;&gt;보류*") + COUNTIFS('02_SWEA_통합_코딩테스트_DB'!$I$4:$I$1260, DATE(2026,8,24)+5*7+5, '02_SWEA_통합_코딩테스트_DB'!$J$4:$J$1260, "&lt;&gt;보류*") + COUNTIF('03_보안기사_필기_DB'!$I$4:$M$100, DATE(2026,8,24)+5*7+5) + COUNTIF('04_보안기사_실기_DB'!$G$4:$I$30, DATE(2026,8,24)+5*7+5) + COUNTIF('08_빅분기_필기_DB'!$I$4:$K$34, DATE(2026,8,24)+5*7+5) + COUNTIF('09_빅분기_실기_DB'!$H$4:$I$25, DATE(2026,8,24)+5*7+5)</f>
        <v/>
      </c>
      <c r="I16" s="97">
        <f>COUNTIFS('02_SWEA_통합_코딩테스트_DB'!$F$4:$F$1260, DATE(2026,8,24)+6*7+5, '02_SWEA_통합_코딩테스트_DB'!$J$4:$J$1260, "&lt;&gt;보류*") + COUNTIFS('02_SWEA_통합_코딩테스트_DB'!$G$4:$G$1260, DATE(2026,8,24)+6*7+5, '02_SWEA_통합_코딩테스트_DB'!$J$4:$J$1260, "&lt;&gt;보류*") + COUNTIFS('02_SWEA_통합_코딩테스트_DB'!$H$4:$H$1260, DATE(2026,8,24)+6*7+5, '02_SWEA_통합_코딩테스트_DB'!$J$4:$J$1260, "&lt;&gt;보류*") + COUNTIFS('02_SWEA_통합_코딩테스트_DB'!$I$4:$I$1260, DATE(2026,8,24)+6*7+5, '02_SWEA_통합_코딩테스트_DB'!$J$4:$J$1260, "&lt;&gt;보류*") + COUNTIF('03_보안기사_필기_DB'!$I$4:$M$100, DATE(2026,8,24)+6*7+5) + COUNTIF('04_보안기사_실기_DB'!$G$4:$I$30, DATE(2026,8,24)+6*7+5) + COUNTIF('08_빅분기_필기_DB'!$I$4:$K$34, DATE(2026,8,24)+6*7+5) + COUNTIF('09_빅분기_실기_DB'!$H$4:$I$25, DATE(2026,8,24)+6*7+5)</f>
        <v/>
      </c>
      <c r="J16" s="97">
        <f>COUNTIFS('02_SWEA_통합_코딩테스트_DB'!$F$4:$F$1260, DATE(2026,8,24)+7*7+5, '02_SWEA_통합_코딩테스트_DB'!$J$4:$J$1260, "&lt;&gt;보류*") + COUNTIFS('02_SWEA_통합_코딩테스트_DB'!$G$4:$G$1260, DATE(2026,8,24)+7*7+5, '02_SWEA_통합_코딩테스트_DB'!$J$4:$J$1260, "&lt;&gt;보류*") + COUNTIFS('02_SWEA_통합_코딩테스트_DB'!$H$4:$H$1260, DATE(2026,8,24)+7*7+5, '02_SWEA_통합_코딩테스트_DB'!$J$4:$J$1260, "&lt;&gt;보류*") + COUNTIFS('02_SWEA_통합_코딩테스트_DB'!$I$4:$I$1260, DATE(2026,8,24)+7*7+5, '02_SWEA_통합_코딩테스트_DB'!$J$4:$J$1260, "&lt;&gt;보류*") + COUNTIF('03_보안기사_필기_DB'!$I$4:$M$100, DATE(2026,8,24)+7*7+5) + COUNTIF('04_보안기사_실기_DB'!$G$4:$I$30, DATE(2026,8,24)+7*7+5) + COUNTIF('08_빅분기_필기_DB'!$I$4:$K$34, DATE(2026,8,24)+7*7+5) + COUNTIF('09_빅분기_실기_DB'!$H$4:$I$25, DATE(2026,8,24)+7*7+5)</f>
        <v/>
      </c>
      <c r="K16" s="97">
        <f>COUNTIFS('02_SWEA_통합_코딩테스트_DB'!$F$4:$F$1260, DATE(2026,8,24)+8*7+5, '02_SWEA_통합_코딩테스트_DB'!$J$4:$J$1260, "&lt;&gt;보류*") + COUNTIFS('02_SWEA_통합_코딩테스트_DB'!$G$4:$G$1260, DATE(2026,8,24)+8*7+5, '02_SWEA_통합_코딩테스트_DB'!$J$4:$J$1260, "&lt;&gt;보류*") + COUNTIFS('02_SWEA_통합_코딩테스트_DB'!$H$4:$H$1260, DATE(2026,8,24)+8*7+5, '02_SWEA_통합_코딩테스트_DB'!$J$4:$J$1260, "&lt;&gt;보류*") + COUNTIFS('02_SWEA_통합_코딩테스트_DB'!$I$4:$I$1260, DATE(2026,8,24)+8*7+5, '02_SWEA_통합_코딩테스트_DB'!$J$4:$J$1260, "&lt;&gt;보류*") + COUNTIF('03_보안기사_필기_DB'!$I$4:$M$100, DATE(2026,8,24)+8*7+5) + COUNTIF('04_보안기사_실기_DB'!$G$4:$I$30, DATE(2026,8,24)+8*7+5) + COUNTIF('08_빅분기_필기_DB'!$I$4:$K$34, DATE(2026,8,24)+8*7+5) + COUNTIF('09_빅분기_실기_DB'!$H$4:$I$25, DATE(2026,8,24)+8*7+5)</f>
        <v/>
      </c>
      <c r="L16" s="97">
        <f>COUNTIFS('02_SWEA_통합_코딩테스트_DB'!$F$4:$F$1260, DATE(2026,8,24)+9*7+5, '02_SWEA_통합_코딩테스트_DB'!$J$4:$J$1260, "&lt;&gt;보류*") + COUNTIFS('02_SWEA_통합_코딩테스트_DB'!$G$4:$G$1260, DATE(2026,8,24)+9*7+5, '02_SWEA_통합_코딩테스트_DB'!$J$4:$J$1260, "&lt;&gt;보류*") + COUNTIFS('02_SWEA_통합_코딩테스트_DB'!$H$4:$H$1260, DATE(2026,8,24)+9*7+5, '02_SWEA_통합_코딩테스트_DB'!$J$4:$J$1260, "&lt;&gt;보류*") + COUNTIFS('02_SWEA_통합_코딩테스트_DB'!$I$4:$I$1260, DATE(2026,8,24)+9*7+5, '02_SWEA_통합_코딩테스트_DB'!$J$4:$J$1260, "&lt;&gt;보류*") + COUNTIF('03_보안기사_필기_DB'!$I$4:$M$100, DATE(2026,8,24)+9*7+5) + COUNTIF('04_보안기사_실기_DB'!$G$4:$I$30, DATE(2026,8,24)+9*7+5) + COUNTIF('08_빅분기_필기_DB'!$I$4:$K$34, DATE(2026,8,24)+9*7+5) + COUNTIF('09_빅분기_실기_DB'!$H$4:$I$25, DATE(2026,8,24)+9*7+5)</f>
        <v/>
      </c>
      <c r="M16" s="97">
        <f>COUNTIFS('02_SWEA_통합_코딩테스트_DB'!$F$4:$F$1260, DATE(2026,8,24)+10*7+5, '02_SWEA_통합_코딩테스트_DB'!$J$4:$J$1260, "&lt;&gt;보류*") + COUNTIFS('02_SWEA_통합_코딩테스트_DB'!$G$4:$G$1260, DATE(2026,8,24)+10*7+5, '02_SWEA_통합_코딩테스트_DB'!$J$4:$J$1260, "&lt;&gt;보류*") + COUNTIFS('02_SWEA_통합_코딩테스트_DB'!$H$4:$H$1260, DATE(2026,8,24)+10*7+5, '02_SWEA_통합_코딩테스트_DB'!$J$4:$J$1260, "&lt;&gt;보류*") + COUNTIFS('02_SWEA_통합_코딩테스트_DB'!$I$4:$I$1260, DATE(2026,8,24)+10*7+5, '02_SWEA_통합_코딩테스트_DB'!$J$4:$J$1260, "&lt;&gt;보류*") + COUNTIF('03_보안기사_필기_DB'!$I$4:$M$100, DATE(2026,8,24)+10*7+5) + COUNTIF('04_보안기사_실기_DB'!$G$4:$I$30, DATE(2026,8,24)+10*7+5) + COUNTIF('08_빅분기_필기_DB'!$I$4:$K$34, DATE(2026,8,24)+10*7+5) + COUNTIF('09_빅분기_실기_DB'!$H$4:$I$25, DATE(2026,8,24)+10*7+5)</f>
        <v/>
      </c>
      <c r="N16" s="97">
        <f>COUNTIFS('02_SWEA_통합_코딩테스트_DB'!$F$4:$F$1260, DATE(2026,8,24)+11*7+5, '02_SWEA_통합_코딩테스트_DB'!$J$4:$J$1260, "&lt;&gt;보류*") + COUNTIFS('02_SWEA_통합_코딩테스트_DB'!$G$4:$G$1260, DATE(2026,8,24)+11*7+5, '02_SWEA_통합_코딩테스트_DB'!$J$4:$J$1260, "&lt;&gt;보류*") + COUNTIFS('02_SWEA_통합_코딩테스트_DB'!$H$4:$H$1260, DATE(2026,8,24)+11*7+5, '02_SWEA_통합_코딩테스트_DB'!$J$4:$J$1260, "&lt;&gt;보류*") + COUNTIFS('02_SWEA_통합_코딩테스트_DB'!$I$4:$I$1260, DATE(2026,8,24)+11*7+5, '02_SWEA_통합_코딩테스트_DB'!$J$4:$J$1260, "&lt;&gt;보류*") + COUNTIF('03_보안기사_필기_DB'!$I$4:$M$100, DATE(2026,8,24)+11*7+5) + COUNTIF('04_보안기사_실기_DB'!$G$4:$I$30, DATE(2026,8,24)+11*7+5) + COUNTIF('08_빅분기_필기_DB'!$I$4:$K$34, DATE(2026,8,24)+11*7+5) + COUNTIF('09_빅분기_실기_DB'!$H$4:$I$25, DATE(2026,8,24)+11*7+5)</f>
        <v/>
      </c>
      <c r="O16" s="97">
        <f>COUNTIFS('02_SWEA_통합_코딩테스트_DB'!$F$4:$F$1260, DATE(2026,8,24)+12*7+5, '02_SWEA_통합_코딩테스트_DB'!$J$4:$J$1260, "&lt;&gt;보류*") + COUNTIFS('02_SWEA_통합_코딩테스트_DB'!$G$4:$G$1260, DATE(2026,8,24)+12*7+5, '02_SWEA_통합_코딩테스트_DB'!$J$4:$J$1260, "&lt;&gt;보류*") + COUNTIFS('02_SWEA_통합_코딩테스트_DB'!$H$4:$H$1260, DATE(2026,8,24)+12*7+5, '02_SWEA_통합_코딩테스트_DB'!$J$4:$J$1260, "&lt;&gt;보류*") + COUNTIFS('02_SWEA_통합_코딩테스트_DB'!$I$4:$I$1260, DATE(2026,8,24)+12*7+5, '02_SWEA_통합_코딩테스트_DB'!$J$4:$J$1260, "&lt;&gt;보류*") + COUNTIF('03_보안기사_필기_DB'!$I$4:$M$100, DATE(2026,8,24)+12*7+5) + COUNTIF('04_보안기사_실기_DB'!$G$4:$I$30, DATE(2026,8,24)+12*7+5) + COUNTIF('08_빅분기_필기_DB'!$I$4:$K$34, DATE(2026,8,24)+12*7+5) + COUNTIF('09_빅분기_실기_DB'!$H$4:$I$25, DATE(2026,8,24)+12*7+5)</f>
        <v/>
      </c>
      <c r="P16" s="97">
        <f>COUNTIFS('02_SWEA_통합_코딩테스트_DB'!$F$4:$F$1260, DATE(2026,8,24)+13*7+5, '02_SWEA_통합_코딩테스트_DB'!$J$4:$J$1260, "&lt;&gt;보류*") + COUNTIFS('02_SWEA_통합_코딩테스트_DB'!$G$4:$G$1260, DATE(2026,8,24)+13*7+5, '02_SWEA_통합_코딩테스트_DB'!$J$4:$J$1260, "&lt;&gt;보류*") + COUNTIFS('02_SWEA_통합_코딩테스트_DB'!$H$4:$H$1260, DATE(2026,8,24)+13*7+5, '02_SWEA_통합_코딩테스트_DB'!$J$4:$J$1260, "&lt;&gt;보류*") + COUNTIFS('02_SWEA_통합_코딩테스트_DB'!$I$4:$I$1260, DATE(2026,8,24)+13*7+5, '02_SWEA_통합_코딩테스트_DB'!$J$4:$J$1260, "&lt;&gt;보류*") + COUNTIF('03_보안기사_필기_DB'!$I$4:$M$100, DATE(2026,8,24)+13*7+5) + COUNTIF('04_보안기사_실기_DB'!$G$4:$I$30, DATE(2026,8,24)+13*7+5) + COUNTIF('08_빅분기_필기_DB'!$I$4:$K$34, DATE(2026,8,24)+13*7+5) + COUNTIF('09_빅분기_실기_DB'!$H$4:$I$25, DATE(2026,8,24)+13*7+5)</f>
        <v/>
      </c>
      <c r="Q16" s="97">
        <f>COUNTIFS('02_SWEA_통합_코딩테스트_DB'!$F$4:$F$1260, DATE(2026,8,24)+14*7+5, '02_SWEA_통합_코딩테스트_DB'!$J$4:$J$1260, "&lt;&gt;보류*") + COUNTIFS('02_SWEA_통합_코딩테스트_DB'!$G$4:$G$1260, DATE(2026,8,24)+14*7+5, '02_SWEA_통합_코딩테스트_DB'!$J$4:$J$1260, "&lt;&gt;보류*") + COUNTIFS('02_SWEA_통합_코딩테스트_DB'!$H$4:$H$1260, DATE(2026,8,24)+14*7+5, '02_SWEA_통합_코딩테스트_DB'!$J$4:$J$1260, "&lt;&gt;보류*") + COUNTIFS('02_SWEA_통합_코딩테스트_DB'!$I$4:$I$1260, DATE(2026,8,24)+14*7+5, '02_SWEA_통합_코딩테스트_DB'!$J$4:$J$1260, "&lt;&gt;보류*") + COUNTIF('03_보안기사_필기_DB'!$I$4:$M$100, DATE(2026,8,24)+14*7+5) + COUNTIF('04_보안기사_실기_DB'!$G$4:$I$30, DATE(2026,8,24)+14*7+5) + COUNTIF('08_빅분기_필기_DB'!$I$4:$K$34, DATE(2026,8,24)+14*7+5) + COUNTIF('09_빅분기_실기_DB'!$H$4:$I$25, DATE(2026,8,24)+14*7+5)</f>
        <v/>
      </c>
      <c r="R16" s="97">
        <f>COUNTIFS('02_SWEA_통합_코딩테스트_DB'!$F$4:$F$1260, DATE(2026,8,24)+15*7+5, '02_SWEA_통합_코딩테스트_DB'!$J$4:$J$1260, "&lt;&gt;보류*") + COUNTIFS('02_SWEA_통합_코딩테스트_DB'!$G$4:$G$1260, DATE(2026,8,24)+15*7+5, '02_SWEA_통합_코딩테스트_DB'!$J$4:$J$1260, "&lt;&gt;보류*") + COUNTIFS('02_SWEA_통합_코딩테스트_DB'!$H$4:$H$1260, DATE(2026,8,24)+15*7+5, '02_SWEA_통합_코딩테스트_DB'!$J$4:$J$1260, "&lt;&gt;보류*") + COUNTIFS('02_SWEA_통합_코딩테스트_DB'!$I$4:$I$1260, DATE(2026,8,24)+15*7+5, '02_SWEA_통합_코딩테스트_DB'!$J$4:$J$1260, "&lt;&gt;보류*") + COUNTIF('03_보안기사_필기_DB'!$I$4:$M$100, DATE(2026,8,24)+15*7+5) + COUNTIF('04_보안기사_실기_DB'!$G$4:$I$30, DATE(2026,8,24)+15*7+5) + COUNTIF('08_빅분기_필기_DB'!$I$4:$K$34, DATE(2026,8,24)+15*7+5) + COUNTIF('09_빅분기_실기_DB'!$H$4:$I$25, DATE(2026,8,24)+15*7+5)</f>
        <v/>
      </c>
      <c r="S16" s="97">
        <f>COUNTIFS('02_SWEA_통합_코딩테스트_DB'!$F$4:$F$1260, DATE(2026,8,24)+16*7+5, '02_SWEA_통합_코딩테스트_DB'!$J$4:$J$1260, "&lt;&gt;보류*") + COUNTIFS('02_SWEA_통합_코딩테스트_DB'!$G$4:$G$1260, DATE(2026,8,24)+16*7+5, '02_SWEA_통합_코딩테스트_DB'!$J$4:$J$1260, "&lt;&gt;보류*") + COUNTIFS('02_SWEA_통합_코딩테스트_DB'!$H$4:$H$1260, DATE(2026,8,24)+16*7+5, '02_SWEA_통합_코딩테스트_DB'!$J$4:$J$1260, "&lt;&gt;보류*") + COUNTIFS('02_SWEA_통합_코딩테스트_DB'!$I$4:$I$1260, DATE(2026,8,24)+16*7+5, '02_SWEA_통합_코딩테스트_DB'!$J$4:$J$1260, "&lt;&gt;보류*") + COUNTIF('03_보안기사_필기_DB'!$I$4:$M$100, DATE(2026,8,24)+16*7+5) + COUNTIF('04_보안기사_실기_DB'!$G$4:$I$30, DATE(2026,8,24)+16*7+5) + COUNTIF('08_빅분기_필기_DB'!$I$4:$K$34, DATE(2026,8,24)+16*7+5) + COUNTIF('09_빅분기_실기_DB'!$H$4:$I$25, DATE(2026,8,24)+16*7+5)</f>
        <v/>
      </c>
      <c r="T16" s="97">
        <f>COUNTIFS('02_SWEA_통합_코딩테스트_DB'!$F$4:$F$1260, DATE(2026,8,24)+17*7+5, '02_SWEA_통합_코딩테스트_DB'!$J$4:$J$1260, "&lt;&gt;보류*") + COUNTIFS('02_SWEA_통합_코딩테스트_DB'!$G$4:$G$1260, DATE(2026,8,24)+17*7+5, '02_SWEA_통합_코딩테스트_DB'!$J$4:$J$1260, "&lt;&gt;보류*") + COUNTIFS('02_SWEA_통합_코딩테스트_DB'!$H$4:$H$1260, DATE(2026,8,24)+17*7+5, '02_SWEA_통합_코딩테스트_DB'!$J$4:$J$1260, "&lt;&gt;보류*") + COUNTIFS('02_SWEA_통합_코딩테스트_DB'!$I$4:$I$1260, DATE(2026,8,24)+17*7+5, '02_SWEA_통합_코딩테스트_DB'!$J$4:$J$1260, "&lt;&gt;보류*") + COUNTIF('03_보안기사_필기_DB'!$I$4:$M$100, DATE(2026,8,24)+17*7+5) + COUNTIF('04_보안기사_실기_DB'!$G$4:$I$30, DATE(2026,8,24)+17*7+5) + COUNTIF('08_빅분기_필기_DB'!$I$4:$K$34, DATE(2026,8,24)+17*7+5) + COUNTIF('09_빅분기_실기_DB'!$H$4:$I$25, DATE(2026,8,24)+17*7+5)</f>
        <v/>
      </c>
      <c r="U16" s="97">
        <f>COUNTIFS('02_SWEA_통합_코딩테스트_DB'!$F$4:$F$1260, DATE(2026,8,24)+18*7+5, '02_SWEA_통합_코딩테스트_DB'!$J$4:$J$1260, "&lt;&gt;보류*") + COUNTIFS('02_SWEA_통합_코딩테스트_DB'!$G$4:$G$1260, DATE(2026,8,24)+18*7+5, '02_SWEA_통합_코딩테스트_DB'!$J$4:$J$1260, "&lt;&gt;보류*") + COUNTIFS('02_SWEA_통합_코딩테스트_DB'!$H$4:$H$1260, DATE(2026,8,24)+18*7+5, '02_SWEA_통합_코딩테스트_DB'!$J$4:$J$1260, "&lt;&gt;보류*") + COUNTIFS('02_SWEA_통합_코딩테스트_DB'!$I$4:$I$1260, DATE(2026,8,24)+18*7+5, '02_SWEA_통합_코딩테스트_DB'!$J$4:$J$1260, "&lt;&gt;보류*") + COUNTIF('03_보안기사_필기_DB'!$I$4:$M$100, DATE(2026,8,24)+18*7+5) + COUNTIF('04_보안기사_실기_DB'!$G$4:$I$30, DATE(2026,8,24)+18*7+5) + COUNTIF('08_빅분기_필기_DB'!$I$4:$K$34, DATE(2026,8,24)+18*7+5) + COUNTIF('09_빅분기_실기_DB'!$H$4:$I$25, DATE(2026,8,24)+18*7+5)</f>
        <v/>
      </c>
      <c r="V16" s="97">
        <f>COUNTIFS('02_SWEA_통합_코딩테스트_DB'!$F$4:$F$1260, DATE(2026,8,24)+19*7+5, '02_SWEA_통합_코딩테스트_DB'!$J$4:$J$1260, "&lt;&gt;보류*") + COUNTIFS('02_SWEA_통합_코딩테스트_DB'!$G$4:$G$1260, DATE(2026,8,24)+19*7+5, '02_SWEA_통합_코딩테스트_DB'!$J$4:$J$1260, "&lt;&gt;보류*") + COUNTIFS('02_SWEA_통합_코딩테스트_DB'!$H$4:$H$1260, DATE(2026,8,24)+19*7+5, '02_SWEA_통합_코딩테스트_DB'!$J$4:$J$1260, "&lt;&gt;보류*") + COUNTIFS('02_SWEA_통합_코딩테스트_DB'!$I$4:$I$1260, DATE(2026,8,24)+19*7+5, '02_SWEA_통합_코딩테스트_DB'!$J$4:$J$1260, "&lt;&gt;보류*") + COUNTIF('03_보안기사_필기_DB'!$I$4:$M$100, DATE(2026,8,24)+19*7+5) + COUNTIF('04_보안기사_실기_DB'!$G$4:$I$30, DATE(2026,8,24)+19*7+5) + COUNTIF('08_빅분기_필기_DB'!$I$4:$K$34, DATE(2026,8,24)+19*7+5) + COUNTIF('09_빅분기_실기_DB'!$H$4:$I$25, DATE(2026,8,24)+19*7+5)</f>
        <v/>
      </c>
      <c r="W16" s="97">
        <f>COUNTIFS('02_SWEA_통합_코딩테스트_DB'!$F$4:$F$1260, DATE(2026,8,24)+20*7+5, '02_SWEA_통합_코딩테스트_DB'!$J$4:$J$1260, "&lt;&gt;보류*") + COUNTIFS('02_SWEA_통합_코딩테스트_DB'!$G$4:$G$1260, DATE(2026,8,24)+20*7+5, '02_SWEA_통합_코딩테스트_DB'!$J$4:$J$1260, "&lt;&gt;보류*") + COUNTIFS('02_SWEA_통합_코딩테스트_DB'!$H$4:$H$1260, DATE(2026,8,24)+20*7+5, '02_SWEA_통합_코딩테스트_DB'!$J$4:$J$1260, "&lt;&gt;보류*") + COUNTIFS('02_SWEA_통합_코딩테스트_DB'!$I$4:$I$1260, DATE(2026,8,24)+20*7+5, '02_SWEA_통합_코딩테스트_DB'!$J$4:$J$1260, "&lt;&gt;보류*") + COUNTIF('03_보안기사_필기_DB'!$I$4:$M$100, DATE(2026,8,24)+20*7+5) + COUNTIF('04_보안기사_실기_DB'!$G$4:$I$30, DATE(2026,8,24)+20*7+5) + COUNTIF('08_빅분기_필기_DB'!$I$4:$K$34, DATE(2026,8,24)+20*7+5) + COUNTIF('09_빅분기_실기_DB'!$H$4:$I$25, DATE(2026,8,24)+20*7+5)</f>
        <v/>
      </c>
      <c r="X16" s="97">
        <f>COUNTIFS('02_SWEA_통합_코딩테스트_DB'!$F$4:$F$1260, DATE(2026,8,24)+21*7+5, '02_SWEA_통합_코딩테스트_DB'!$J$4:$J$1260, "&lt;&gt;보류*") + COUNTIFS('02_SWEA_통합_코딩테스트_DB'!$G$4:$G$1260, DATE(2026,8,24)+21*7+5, '02_SWEA_통합_코딩테스트_DB'!$J$4:$J$1260, "&lt;&gt;보류*") + COUNTIFS('02_SWEA_통합_코딩테스트_DB'!$H$4:$H$1260, DATE(2026,8,24)+21*7+5, '02_SWEA_통합_코딩테스트_DB'!$J$4:$J$1260, "&lt;&gt;보류*") + COUNTIFS('02_SWEA_통합_코딩테스트_DB'!$I$4:$I$1260, DATE(2026,8,24)+21*7+5, '02_SWEA_통합_코딩테스트_DB'!$J$4:$J$1260, "&lt;&gt;보류*") + COUNTIF('03_보안기사_필기_DB'!$I$4:$M$100, DATE(2026,8,24)+21*7+5) + COUNTIF('04_보안기사_실기_DB'!$G$4:$I$30, DATE(2026,8,24)+21*7+5) + COUNTIF('08_빅분기_필기_DB'!$I$4:$K$34, DATE(2026,8,24)+21*7+5) + COUNTIF('09_빅분기_실기_DB'!$H$4:$I$25, DATE(2026,8,24)+21*7+5)</f>
        <v/>
      </c>
      <c r="Y16" s="97">
        <f>COUNTIFS('02_SWEA_통합_코딩테스트_DB'!$F$4:$F$1260, DATE(2026,8,24)+22*7+5, '02_SWEA_통합_코딩테스트_DB'!$J$4:$J$1260, "&lt;&gt;보류*") + COUNTIFS('02_SWEA_통합_코딩테스트_DB'!$G$4:$G$1260, DATE(2026,8,24)+22*7+5, '02_SWEA_통합_코딩테스트_DB'!$J$4:$J$1260, "&lt;&gt;보류*") + COUNTIFS('02_SWEA_통합_코딩테스트_DB'!$H$4:$H$1260, DATE(2026,8,24)+22*7+5, '02_SWEA_통합_코딩테스트_DB'!$J$4:$J$1260, "&lt;&gt;보류*") + COUNTIFS('02_SWEA_통합_코딩테스트_DB'!$I$4:$I$1260, DATE(2026,8,24)+22*7+5, '02_SWEA_통합_코딩테스트_DB'!$J$4:$J$1260, "&lt;&gt;보류*") + COUNTIF('03_보안기사_필기_DB'!$I$4:$M$100, DATE(2026,8,24)+22*7+5) + COUNTIF('04_보안기사_실기_DB'!$G$4:$I$30, DATE(2026,8,24)+22*7+5) + COUNTIF('08_빅분기_필기_DB'!$I$4:$K$34, DATE(2026,8,24)+22*7+5) + COUNTIF('09_빅분기_실기_DB'!$H$4:$I$25, DATE(2026,8,24)+22*7+5)</f>
        <v/>
      </c>
      <c r="Z16" s="97">
        <f>COUNTIFS('02_SWEA_통합_코딩테스트_DB'!$F$4:$F$1260, DATE(2026,8,24)+23*7+5, '02_SWEA_통합_코딩테스트_DB'!$J$4:$J$1260, "&lt;&gt;보류*") + COUNTIFS('02_SWEA_통합_코딩테스트_DB'!$G$4:$G$1260, DATE(2026,8,24)+23*7+5, '02_SWEA_통합_코딩테스트_DB'!$J$4:$J$1260, "&lt;&gt;보류*") + COUNTIFS('02_SWEA_통합_코딩테스트_DB'!$H$4:$H$1260, DATE(2026,8,24)+23*7+5, '02_SWEA_통합_코딩테스트_DB'!$J$4:$J$1260, "&lt;&gt;보류*") + COUNTIFS('02_SWEA_통합_코딩테스트_DB'!$I$4:$I$1260, DATE(2026,8,24)+23*7+5, '02_SWEA_통합_코딩테스트_DB'!$J$4:$J$1260, "&lt;&gt;보류*") + COUNTIF('03_보안기사_필기_DB'!$I$4:$M$100, DATE(2026,8,24)+23*7+5) + COUNTIF('04_보안기사_실기_DB'!$G$4:$I$30, DATE(2026,8,24)+23*7+5) + COUNTIF('08_빅분기_필기_DB'!$I$4:$K$34, DATE(2026,8,24)+23*7+5) + COUNTIF('09_빅분기_실기_DB'!$H$4:$I$25, DATE(2026,8,24)+23*7+5)</f>
        <v/>
      </c>
      <c r="AA16" s="97">
        <f>COUNTIFS('02_SWEA_통합_코딩테스트_DB'!$F$4:$F$1260, DATE(2026,8,24)+24*7+5, '02_SWEA_통합_코딩테스트_DB'!$J$4:$J$1260, "&lt;&gt;보류*") + COUNTIFS('02_SWEA_통합_코딩테스트_DB'!$G$4:$G$1260, DATE(2026,8,24)+24*7+5, '02_SWEA_통합_코딩테스트_DB'!$J$4:$J$1260, "&lt;&gt;보류*") + COUNTIFS('02_SWEA_통합_코딩테스트_DB'!$H$4:$H$1260, DATE(2026,8,24)+24*7+5, '02_SWEA_통합_코딩테스트_DB'!$J$4:$J$1260, "&lt;&gt;보류*") + COUNTIFS('02_SWEA_통합_코딩테스트_DB'!$I$4:$I$1260, DATE(2026,8,24)+24*7+5, '02_SWEA_통합_코딩테스트_DB'!$J$4:$J$1260, "&lt;&gt;보류*") + COUNTIF('03_보안기사_필기_DB'!$I$4:$M$100, DATE(2026,8,24)+24*7+5) + COUNTIF('04_보안기사_실기_DB'!$G$4:$I$30, DATE(2026,8,24)+24*7+5) + COUNTIF('08_빅분기_필기_DB'!$I$4:$K$34, DATE(2026,8,24)+24*7+5) + COUNTIF('09_빅분기_실기_DB'!$H$4:$I$25, DATE(2026,8,24)+24*7+5)</f>
        <v/>
      </c>
      <c r="AB16" s="97">
        <f>COUNTIFS('02_SWEA_통합_코딩테스트_DB'!$F$4:$F$1260, DATE(2026,8,24)+25*7+5, '02_SWEA_통합_코딩테스트_DB'!$J$4:$J$1260, "&lt;&gt;보류*") + COUNTIFS('02_SWEA_통합_코딩테스트_DB'!$G$4:$G$1260, DATE(2026,8,24)+25*7+5, '02_SWEA_통합_코딩테스트_DB'!$J$4:$J$1260, "&lt;&gt;보류*") + COUNTIFS('02_SWEA_통합_코딩테스트_DB'!$H$4:$H$1260, DATE(2026,8,24)+25*7+5, '02_SWEA_통합_코딩테스트_DB'!$J$4:$J$1260, "&lt;&gt;보류*") + COUNTIFS('02_SWEA_통합_코딩테스트_DB'!$I$4:$I$1260, DATE(2026,8,24)+25*7+5, '02_SWEA_통합_코딩테스트_DB'!$J$4:$J$1260, "&lt;&gt;보류*") + COUNTIF('03_보안기사_필기_DB'!$I$4:$M$100, DATE(2026,8,24)+25*7+5) + COUNTIF('04_보안기사_실기_DB'!$G$4:$I$30, DATE(2026,8,24)+25*7+5) + COUNTIF('08_빅분기_필기_DB'!$I$4:$K$34, DATE(2026,8,24)+25*7+5) + COUNTIF('09_빅분기_실기_DB'!$H$4:$I$25, DATE(2026,8,24)+25*7+5)</f>
        <v/>
      </c>
      <c r="AC16" s="97">
        <f>COUNTIFS('02_SWEA_통합_코딩테스트_DB'!$F$4:$F$1260, DATE(2026,8,24)+26*7+5, '02_SWEA_통합_코딩테스트_DB'!$J$4:$J$1260, "&lt;&gt;보류*") + COUNTIFS('02_SWEA_통합_코딩테스트_DB'!$G$4:$G$1260, DATE(2026,8,24)+26*7+5, '02_SWEA_통합_코딩테스트_DB'!$J$4:$J$1260, "&lt;&gt;보류*") + COUNTIFS('02_SWEA_통합_코딩테스트_DB'!$H$4:$H$1260, DATE(2026,8,24)+26*7+5, '02_SWEA_통합_코딩테스트_DB'!$J$4:$J$1260, "&lt;&gt;보류*") + COUNTIFS('02_SWEA_통합_코딩테스트_DB'!$I$4:$I$1260, DATE(2026,8,24)+26*7+5, '02_SWEA_통합_코딩테스트_DB'!$J$4:$J$1260, "&lt;&gt;보류*") + COUNTIF('03_보안기사_필기_DB'!$I$4:$M$100, DATE(2026,8,24)+26*7+5) + COUNTIF('04_보안기사_실기_DB'!$G$4:$I$30, DATE(2026,8,24)+26*7+5) + COUNTIF('08_빅분기_필기_DB'!$I$4:$K$34, DATE(2026,8,24)+26*7+5) + COUNTIF('09_빅분기_실기_DB'!$H$4:$I$25, DATE(2026,8,24)+26*7+5)</f>
        <v/>
      </c>
      <c r="AD16" s="97">
        <f>COUNTIFS('02_SWEA_통합_코딩테스트_DB'!$F$4:$F$1260, DATE(2026,8,24)+27*7+5, '02_SWEA_통합_코딩테스트_DB'!$J$4:$J$1260, "&lt;&gt;보류*") + COUNTIFS('02_SWEA_통합_코딩테스트_DB'!$G$4:$G$1260, DATE(2026,8,24)+27*7+5, '02_SWEA_통합_코딩테스트_DB'!$J$4:$J$1260, "&lt;&gt;보류*") + COUNTIFS('02_SWEA_통합_코딩테스트_DB'!$H$4:$H$1260, DATE(2026,8,24)+27*7+5, '02_SWEA_통합_코딩테스트_DB'!$J$4:$J$1260, "&lt;&gt;보류*") + COUNTIFS('02_SWEA_통합_코딩테스트_DB'!$I$4:$I$1260, DATE(2026,8,24)+27*7+5, '02_SWEA_통합_코딩테스트_DB'!$J$4:$J$1260, "&lt;&gt;보류*") + COUNTIF('03_보안기사_필기_DB'!$I$4:$M$100, DATE(2026,8,24)+27*7+5) + COUNTIF('04_보안기사_실기_DB'!$G$4:$I$30, DATE(2026,8,24)+27*7+5) + COUNTIF('08_빅분기_필기_DB'!$I$4:$K$34, DATE(2026,8,24)+27*7+5) + COUNTIF('09_빅분기_실기_DB'!$H$4:$I$25, DATE(2026,8,24)+27*7+5)</f>
        <v/>
      </c>
      <c r="AE16" s="97">
        <f>COUNTIFS('02_SWEA_통합_코딩테스트_DB'!$F$4:$F$1260, DATE(2026,8,24)+28*7+5, '02_SWEA_통합_코딩테스트_DB'!$J$4:$J$1260, "&lt;&gt;보류*") + COUNTIFS('02_SWEA_통합_코딩테스트_DB'!$G$4:$G$1260, DATE(2026,8,24)+28*7+5, '02_SWEA_통합_코딩테스트_DB'!$J$4:$J$1260, "&lt;&gt;보류*") + COUNTIFS('02_SWEA_통합_코딩테스트_DB'!$H$4:$H$1260, DATE(2026,8,24)+28*7+5, '02_SWEA_통합_코딩테스트_DB'!$J$4:$J$1260, "&lt;&gt;보류*") + COUNTIFS('02_SWEA_통합_코딩테스트_DB'!$I$4:$I$1260, DATE(2026,8,24)+28*7+5, '02_SWEA_통합_코딩테스트_DB'!$J$4:$J$1260, "&lt;&gt;보류*") + COUNTIF('03_보안기사_필기_DB'!$I$4:$M$100, DATE(2026,8,24)+28*7+5) + COUNTIF('04_보안기사_실기_DB'!$G$4:$I$30, DATE(2026,8,24)+28*7+5) + COUNTIF('08_빅분기_필기_DB'!$I$4:$K$34, DATE(2026,8,24)+28*7+5) + COUNTIF('09_빅분기_실기_DB'!$H$4:$I$25, DATE(2026,8,24)+28*7+5)</f>
        <v/>
      </c>
      <c r="AF16" s="97">
        <f>COUNTIFS('02_SWEA_통합_코딩테스트_DB'!$F$4:$F$1260, DATE(2026,8,24)+29*7+5, '02_SWEA_통합_코딩테스트_DB'!$J$4:$J$1260, "&lt;&gt;보류*") + COUNTIFS('02_SWEA_통합_코딩테스트_DB'!$G$4:$G$1260, DATE(2026,8,24)+29*7+5, '02_SWEA_통합_코딩테스트_DB'!$J$4:$J$1260, "&lt;&gt;보류*") + COUNTIFS('02_SWEA_통합_코딩테스트_DB'!$H$4:$H$1260, DATE(2026,8,24)+29*7+5, '02_SWEA_통합_코딩테스트_DB'!$J$4:$J$1260, "&lt;&gt;보류*") + COUNTIFS('02_SWEA_통합_코딩테스트_DB'!$I$4:$I$1260, DATE(2026,8,24)+29*7+5, '02_SWEA_통합_코딩테스트_DB'!$J$4:$J$1260, "&lt;&gt;보류*") + COUNTIF('03_보안기사_필기_DB'!$I$4:$M$100, DATE(2026,8,24)+29*7+5) + COUNTIF('04_보안기사_실기_DB'!$G$4:$I$30, DATE(2026,8,24)+29*7+5) + COUNTIF('08_빅분기_필기_DB'!$I$4:$K$34, DATE(2026,8,24)+29*7+5) + COUNTIF('09_빅분기_실기_DB'!$H$4:$I$25, DATE(2026,8,24)+29*7+5)</f>
        <v/>
      </c>
      <c r="AG16" s="97">
        <f>COUNTIFS('02_SWEA_통합_코딩테스트_DB'!$F$4:$F$1260, DATE(2026,8,24)+30*7+5, '02_SWEA_통합_코딩테스트_DB'!$J$4:$J$1260, "&lt;&gt;보류*") + COUNTIFS('02_SWEA_통합_코딩테스트_DB'!$G$4:$G$1260, DATE(2026,8,24)+30*7+5, '02_SWEA_통합_코딩테스트_DB'!$J$4:$J$1260, "&lt;&gt;보류*") + COUNTIFS('02_SWEA_통합_코딩테스트_DB'!$H$4:$H$1260, DATE(2026,8,24)+30*7+5, '02_SWEA_통합_코딩테스트_DB'!$J$4:$J$1260, "&lt;&gt;보류*") + COUNTIFS('02_SWEA_통합_코딩테스트_DB'!$I$4:$I$1260, DATE(2026,8,24)+30*7+5, '02_SWEA_통합_코딩테스트_DB'!$J$4:$J$1260, "&lt;&gt;보류*") + COUNTIF('03_보안기사_필기_DB'!$I$4:$M$100, DATE(2026,8,24)+30*7+5) + COUNTIF('04_보안기사_실기_DB'!$G$4:$I$30, DATE(2026,8,24)+30*7+5) + COUNTIF('08_빅분기_필기_DB'!$I$4:$K$34, DATE(2026,8,24)+30*7+5) + COUNTIF('09_빅분기_실기_DB'!$H$4:$I$25, DATE(2026,8,24)+30*7+5)</f>
        <v/>
      </c>
      <c r="AH16" s="97">
        <f>COUNTIFS('02_SWEA_통합_코딩테스트_DB'!$F$4:$F$1260, DATE(2026,8,24)+31*7+5, '02_SWEA_통합_코딩테스트_DB'!$J$4:$J$1260, "&lt;&gt;보류*") + COUNTIFS('02_SWEA_통합_코딩테스트_DB'!$G$4:$G$1260, DATE(2026,8,24)+31*7+5, '02_SWEA_통합_코딩테스트_DB'!$J$4:$J$1260, "&lt;&gt;보류*") + COUNTIFS('02_SWEA_통합_코딩테스트_DB'!$H$4:$H$1260, DATE(2026,8,24)+31*7+5, '02_SWEA_통합_코딩테스트_DB'!$J$4:$J$1260, "&lt;&gt;보류*") + COUNTIFS('02_SWEA_통합_코딩테스트_DB'!$I$4:$I$1260, DATE(2026,8,24)+31*7+5, '02_SWEA_통합_코딩테스트_DB'!$J$4:$J$1260, "&lt;&gt;보류*") + COUNTIF('03_보안기사_필기_DB'!$I$4:$M$100, DATE(2026,8,24)+31*7+5) + COUNTIF('04_보안기사_실기_DB'!$G$4:$I$30, DATE(2026,8,24)+31*7+5) + COUNTIF('08_빅분기_필기_DB'!$I$4:$K$34, DATE(2026,8,24)+31*7+5) + COUNTIF('09_빅분기_실기_DB'!$H$4:$I$25, DATE(2026,8,24)+31*7+5)</f>
        <v/>
      </c>
      <c r="AI16" s="97">
        <f>COUNTIFS('02_SWEA_통합_코딩테스트_DB'!$F$4:$F$1260, DATE(2026,8,24)+32*7+5, '02_SWEA_통합_코딩테스트_DB'!$J$4:$J$1260, "&lt;&gt;보류*") + COUNTIFS('02_SWEA_통합_코딩테스트_DB'!$G$4:$G$1260, DATE(2026,8,24)+32*7+5, '02_SWEA_통합_코딩테스트_DB'!$J$4:$J$1260, "&lt;&gt;보류*") + COUNTIFS('02_SWEA_통합_코딩테스트_DB'!$H$4:$H$1260, DATE(2026,8,24)+32*7+5, '02_SWEA_통합_코딩테스트_DB'!$J$4:$J$1260, "&lt;&gt;보류*") + COUNTIFS('02_SWEA_통합_코딩테스트_DB'!$I$4:$I$1260, DATE(2026,8,24)+32*7+5, '02_SWEA_통합_코딩테스트_DB'!$J$4:$J$1260, "&lt;&gt;보류*") + COUNTIF('03_보안기사_필기_DB'!$I$4:$M$100, DATE(2026,8,24)+32*7+5) + COUNTIF('04_보안기사_실기_DB'!$G$4:$I$30, DATE(2026,8,24)+32*7+5) + COUNTIF('08_빅분기_필기_DB'!$I$4:$K$34, DATE(2026,8,24)+32*7+5) + COUNTIF('09_빅분기_실기_DB'!$H$4:$I$25, DATE(2026,8,24)+32*7+5)</f>
        <v/>
      </c>
      <c r="AJ16" s="97">
        <f>COUNTIFS('02_SWEA_통합_코딩테스트_DB'!$F$4:$F$1260, DATE(2026,8,24)+33*7+5, '02_SWEA_통합_코딩테스트_DB'!$J$4:$J$1260, "&lt;&gt;보류*") + COUNTIFS('02_SWEA_통합_코딩테스트_DB'!$G$4:$G$1260, DATE(2026,8,24)+33*7+5, '02_SWEA_통합_코딩테스트_DB'!$J$4:$J$1260, "&lt;&gt;보류*") + COUNTIFS('02_SWEA_통합_코딩테스트_DB'!$H$4:$H$1260, DATE(2026,8,24)+33*7+5, '02_SWEA_통합_코딩테스트_DB'!$J$4:$J$1260, "&lt;&gt;보류*") + COUNTIFS('02_SWEA_통합_코딩테스트_DB'!$I$4:$I$1260, DATE(2026,8,24)+33*7+5, '02_SWEA_통합_코딩테스트_DB'!$J$4:$J$1260, "&lt;&gt;보류*") + COUNTIF('03_보안기사_필기_DB'!$I$4:$M$100, DATE(2026,8,24)+33*7+5) + COUNTIF('04_보안기사_실기_DB'!$G$4:$I$30, DATE(2026,8,24)+33*7+5) + COUNTIF('08_빅분기_필기_DB'!$I$4:$K$34, DATE(2026,8,24)+33*7+5) + COUNTIF('09_빅분기_실기_DB'!$H$4:$I$25, DATE(2026,8,24)+33*7+5)</f>
        <v/>
      </c>
      <c r="AK16" s="97">
        <f>COUNTIFS('02_SWEA_통합_코딩테스트_DB'!$F$4:$F$1260, DATE(2026,8,24)+34*7+5, '02_SWEA_통합_코딩테스트_DB'!$J$4:$J$1260, "&lt;&gt;보류*") + COUNTIFS('02_SWEA_통합_코딩테스트_DB'!$G$4:$G$1260, DATE(2026,8,24)+34*7+5, '02_SWEA_통합_코딩테스트_DB'!$J$4:$J$1260, "&lt;&gt;보류*") + COUNTIFS('02_SWEA_통합_코딩테스트_DB'!$H$4:$H$1260, DATE(2026,8,24)+34*7+5, '02_SWEA_통합_코딩테스트_DB'!$J$4:$J$1260, "&lt;&gt;보류*") + COUNTIFS('02_SWEA_통합_코딩테스트_DB'!$I$4:$I$1260, DATE(2026,8,24)+34*7+5, '02_SWEA_통합_코딩테스트_DB'!$J$4:$J$1260, "&lt;&gt;보류*") + COUNTIF('03_보안기사_필기_DB'!$I$4:$M$100, DATE(2026,8,24)+34*7+5) + COUNTIF('04_보안기사_실기_DB'!$G$4:$I$30, DATE(2026,8,24)+34*7+5) + COUNTIF('08_빅분기_필기_DB'!$I$4:$K$34, DATE(2026,8,24)+34*7+5) + COUNTIF('09_빅분기_실기_DB'!$H$4:$I$25, DATE(2026,8,24)+34*7+5)</f>
        <v/>
      </c>
      <c r="AL16" s="97">
        <f>COUNTIFS('02_SWEA_통합_코딩테스트_DB'!$F$4:$F$1260, DATE(2026,8,24)+35*7+5, '02_SWEA_통합_코딩테스트_DB'!$J$4:$J$1260, "&lt;&gt;보류*") + COUNTIFS('02_SWEA_통합_코딩테스트_DB'!$G$4:$G$1260, DATE(2026,8,24)+35*7+5, '02_SWEA_통합_코딩테스트_DB'!$J$4:$J$1260, "&lt;&gt;보류*") + COUNTIFS('02_SWEA_통합_코딩테스트_DB'!$H$4:$H$1260, DATE(2026,8,24)+35*7+5, '02_SWEA_통합_코딩테스트_DB'!$J$4:$J$1260, "&lt;&gt;보류*") + COUNTIFS('02_SWEA_통합_코딩테스트_DB'!$I$4:$I$1260, DATE(2026,8,24)+35*7+5, '02_SWEA_통합_코딩테스트_DB'!$J$4:$J$1260, "&lt;&gt;보류*") + COUNTIF('03_보안기사_필기_DB'!$I$4:$M$100, DATE(2026,8,24)+35*7+5) + COUNTIF('04_보안기사_실기_DB'!$G$4:$I$30, DATE(2026,8,24)+35*7+5) + COUNTIF('08_빅분기_필기_DB'!$I$4:$K$34, DATE(2026,8,24)+35*7+5) + COUNTIF('09_빅분기_실기_DB'!$H$4:$I$25, DATE(2026,8,24)+35*7+5)</f>
        <v/>
      </c>
      <c r="AM16" s="97">
        <f>COUNTIFS('02_SWEA_통합_코딩테스트_DB'!$F$4:$F$1260, DATE(2026,8,24)+36*7+5, '02_SWEA_통합_코딩테스트_DB'!$J$4:$J$1260, "&lt;&gt;보류*") + COUNTIFS('02_SWEA_통합_코딩테스트_DB'!$G$4:$G$1260, DATE(2026,8,24)+36*7+5, '02_SWEA_통합_코딩테스트_DB'!$J$4:$J$1260, "&lt;&gt;보류*") + COUNTIFS('02_SWEA_통합_코딩테스트_DB'!$H$4:$H$1260, DATE(2026,8,24)+36*7+5, '02_SWEA_통합_코딩테스트_DB'!$J$4:$J$1260, "&lt;&gt;보류*") + COUNTIFS('02_SWEA_통합_코딩테스트_DB'!$I$4:$I$1260, DATE(2026,8,24)+36*7+5, '02_SWEA_통합_코딩테스트_DB'!$J$4:$J$1260, "&lt;&gt;보류*") + COUNTIF('03_보안기사_필기_DB'!$I$4:$M$100, DATE(2026,8,24)+36*7+5) + COUNTIF('04_보안기사_실기_DB'!$G$4:$I$30, DATE(2026,8,24)+36*7+5) + COUNTIF('08_빅분기_필기_DB'!$I$4:$K$34, DATE(2026,8,24)+36*7+5) + COUNTIF('09_빅분기_실기_DB'!$H$4:$I$25, DATE(2026,8,24)+36*7+5)</f>
        <v/>
      </c>
      <c r="AN16" s="97">
        <f>COUNTIFS('02_SWEA_통합_코딩테스트_DB'!$F$4:$F$1260, DATE(2026,8,24)+37*7+5, '02_SWEA_통합_코딩테스트_DB'!$J$4:$J$1260, "&lt;&gt;보류*") + COUNTIFS('02_SWEA_통합_코딩테스트_DB'!$G$4:$G$1260, DATE(2026,8,24)+37*7+5, '02_SWEA_통합_코딩테스트_DB'!$J$4:$J$1260, "&lt;&gt;보류*") + COUNTIFS('02_SWEA_통합_코딩테스트_DB'!$H$4:$H$1260, DATE(2026,8,24)+37*7+5, '02_SWEA_통합_코딩테스트_DB'!$J$4:$J$1260, "&lt;&gt;보류*") + COUNTIFS('02_SWEA_통합_코딩테스트_DB'!$I$4:$I$1260, DATE(2026,8,24)+37*7+5, '02_SWEA_통합_코딩테스트_DB'!$J$4:$J$1260, "&lt;&gt;보류*") + COUNTIF('03_보안기사_필기_DB'!$I$4:$M$100, DATE(2026,8,24)+37*7+5) + COUNTIF('04_보안기사_실기_DB'!$G$4:$I$30, DATE(2026,8,24)+37*7+5) + COUNTIF('08_빅분기_필기_DB'!$I$4:$K$34, DATE(2026,8,24)+37*7+5) + COUNTIF('09_빅분기_실기_DB'!$H$4:$I$25, DATE(2026,8,24)+37*7+5)</f>
        <v/>
      </c>
      <c r="AO16" s="97">
        <f>COUNTIFS('02_SWEA_통합_코딩테스트_DB'!$F$4:$F$1260, DATE(2026,8,24)+38*7+5, '02_SWEA_통합_코딩테스트_DB'!$J$4:$J$1260, "&lt;&gt;보류*") + COUNTIFS('02_SWEA_통합_코딩테스트_DB'!$G$4:$G$1260, DATE(2026,8,24)+38*7+5, '02_SWEA_통합_코딩테스트_DB'!$J$4:$J$1260, "&lt;&gt;보류*") + COUNTIFS('02_SWEA_통합_코딩테스트_DB'!$H$4:$H$1260, DATE(2026,8,24)+38*7+5, '02_SWEA_통합_코딩테스트_DB'!$J$4:$J$1260, "&lt;&gt;보류*") + COUNTIFS('02_SWEA_통합_코딩테스트_DB'!$I$4:$I$1260, DATE(2026,8,24)+38*7+5, '02_SWEA_통합_코딩테스트_DB'!$J$4:$J$1260, "&lt;&gt;보류*") + COUNTIF('03_보안기사_필기_DB'!$I$4:$M$100, DATE(2026,8,24)+38*7+5) + COUNTIF('04_보안기사_실기_DB'!$G$4:$I$30, DATE(2026,8,24)+38*7+5) + COUNTIF('08_빅분기_필기_DB'!$I$4:$K$34, DATE(2026,8,24)+38*7+5) + COUNTIF('09_빅분기_실기_DB'!$H$4:$I$25, DATE(2026,8,24)+38*7+5)</f>
        <v/>
      </c>
      <c r="AP16" s="97">
        <f>COUNTIFS('02_SWEA_통합_코딩테스트_DB'!$F$4:$F$1260, DATE(2026,8,24)+39*7+5, '02_SWEA_통합_코딩테스트_DB'!$J$4:$J$1260, "&lt;&gt;보류*") + COUNTIFS('02_SWEA_통합_코딩테스트_DB'!$G$4:$G$1260, DATE(2026,8,24)+39*7+5, '02_SWEA_통합_코딩테스트_DB'!$J$4:$J$1260, "&lt;&gt;보류*") + COUNTIFS('02_SWEA_통합_코딩테스트_DB'!$H$4:$H$1260, DATE(2026,8,24)+39*7+5, '02_SWEA_통합_코딩테스트_DB'!$J$4:$J$1260, "&lt;&gt;보류*") + COUNTIFS('02_SWEA_통합_코딩테스트_DB'!$I$4:$I$1260, DATE(2026,8,24)+39*7+5, '02_SWEA_통합_코딩테스트_DB'!$J$4:$J$1260, "&lt;&gt;보류*") + COUNTIF('03_보안기사_필기_DB'!$I$4:$M$100, DATE(2026,8,24)+39*7+5) + COUNTIF('04_보안기사_실기_DB'!$G$4:$I$30, DATE(2026,8,24)+39*7+5) + COUNTIF('08_빅분기_필기_DB'!$I$4:$K$34, DATE(2026,8,24)+39*7+5) + COUNTIF('09_빅분기_실기_DB'!$H$4:$I$25, DATE(2026,8,24)+39*7+5)</f>
        <v/>
      </c>
      <c r="AQ16" s="97">
        <f>COUNTIFS('02_SWEA_통합_코딩테스트_DB'!$F$4:$F$1260, DATE(2026,8,24)+40*7+5, '02_SWEA_통합_코딩테스트_DB'!$J$4:$J$1260, "&lt;&gt;보류*") + COUNTIFS('02_SWEA_통합_코딩테스트_DB'!$G$4:$G$1260, DATE(2026,8,24)+40*7+5, '02_SWEA_통합_코딩테스트_DB'!$J$4:$J$1260, "&lt;&gt;보류*") + COUNTIFS('02_SWEA_통합_코딩테스트_DB'!$H$4:$H$1260, DATE(2026,8,24)+40*7+5, '02_SWEA_통합_코딩테스트_DB'!$J$4:$J$1260, "&lt;&gt;보류*") + COUNTIFS('02_SWEA_통합_코딩테스트_DB'!$I$4:$I$1260, DATE(2026,8,24)+40*7+5, '02_SWEA_통합_코딩테스트_DB'!$J$4:$J$1260, "&lt;&gt;보류*") + COUNTIF('03_보안기사_필기_DB'!$I$4:$M$100, DATE(2026,8,24)+40*7+5) + COUNTIF('04_보안기사_실기_DB'!$G$4:$I$30, DATE(2026,8,24)+40*7+5) + COUNTIF('08_빅분기_필기_DB'!$I$4:$K$34, DATE(2026,8,24)+40*7+5) + COUNTIF('09_빅분기_실기_DB'!$H$4:$I$25, DATE(2026,8,24)+40*7+5)</f>
        <v/>
      </c>
      <c r="AR16" s="97">
        <f>COUNTIFS('02_SWEA_통합_코딩테스트_DB'!$F$4:$F$1260, DATE(2026,8,24)+41*7+5, '02_SWEA_통합_코딩테스트_DB'!$J$4:$J$1260, "&lt;&gt;보류*") + COUNTIFS('02_SWEA_통합_코딩테스트_DB'!$G$4:$G$1260, DATE(2026,8,24)+41*7+5, '02_SWEA_통합_코딩테스트_DB'!$J$4:$J$1260, "&lt;&gt;보류*") + COUNTIFS('02_SWEA_통합_코딩테스트_DB'!$H$4:$H$1260, DATE(2026,8,24)+41*7+5, '02_SWEA_통합_코딩테스트_DB'!$J$4:$J$1260, "&lt;&gt;보류*") + COUNTIFS('02_SWEA_통합_코딩테스트_DB'!$I$4:$I$1260, DATE(2026,8,24)+41*7+5, '02_SWEA_통합_코딩테스트_DB'!$J$4:$J$1260, "&lt;&gt;보류*") + COUNTIF('03_보안기사_필기_DB'!$I$4:$M$100, DATE(2026,8,24)+41*7+5) + COUNTIF('04_보안기사_실기_DB'!$G$4:$I$30, DATE(2026,8,24)+41*7+5) + COUNTIF('08_빅분기_필기_DB'!$I$4:$K$34, DATE(2026,8,24)+41*7+5) + COUNTIF('09_빅분기_실기_DB'!$H$4:$I$25, DATE(2026,8,24)+41*7+5)</f>
        <v/>
      </c>
      <c r="AS16" s="97">
        <f>COUNTIFS('02_SWEA_통합_코딩테스트_DB'!$F$4:$F$1260, DATE(2026,8,24)+42*7+5, '02_SWEA_통합_코딩테스트_DB'!$J$4:$J$1260, "&lt;&gt;보류*") + COUNTIFS('02_SWEA_통합_코딩테스트_DB'!$G$4:$G$1260, DATE(2026,8,24)+42*7+5, '02_SWEA_통합_코딩테스트_DB'!$J$4:$J$1260, "&lt;&gt;보류*") + COUNTIFS('02_SWEA_통합_코딩테스트_DB'!$H$4:$H$1260, DATE(2026,8,24)+42*7+5, '02_SWEA_통합_코딩테스트_DB'!$J$4:$J$1260, "&lt;&gt;보류*") + COUNTIFS('02_SWEA_통합_코딩테스트_DB'!$I$4:$I$1260, DATE(2026,8,24)+42*7+5, '02_SWEA_통합_코딩테스트_DB'!$J$4:$J$1260, "&lt;&gt;보류*") + COUNTIF('03_보안기사_필기_DB'!$I$4:$M$100, DATE(2026,8,24)+42*7+5) + COUNTIF('04_보안기사_실기_DB'!$G$4:$I$30, DATE(2026,8,24)+42*7+5) + COUNTIF('08_빅분기_필기_DB'!$I$4:$K$34, DATE(2026,8,24)+42*7+5) + COUNTIF('09_빅분기_실기_DB'!$H$4:$I$25, DATE(2026,8,24)+42*7+5)</f>
        <v/>
      </c>
      <c r="AT16" s="97">
        <f>COUNTIFS('02_SWEA_통합_코딩테스트_DB'!$F$4:$F$1260, DATE(2026,8,24)+43*7+5, '02_SWEA_통합_코딩테스트_DB'!$J$4:$J$1260, "&lt;&gt;보류*") + COUNTIFS('02_SWEA_통합_코딩테스트_DB'!$G$4:$G$1260, DATE(2026,8,24)+43*7+5, '02_SWEA_통합_코딩테스트_DB'!$J$4:$J$1260, "&lt;&gt;보류*") + COUNTIFS('02_SWEA_통합_코딩테스트_DB'!$H$4:$H$1260, DATE(2026,8,24)+43*7+5, '02_SWEA_통합_코딩테스트_DB'!$J$4:$J$1260, "&lt;&gt;보류*") + COUNTIFS('02_SWEA_통합_코딩테스트_DB'!$I$4:$I$1260, DATE(2026,8,24)+43*7+5, '02_SWEA_통합_코딩테스트_DB'!$J$4:$J$1260, "&lt;&gt;보류*") + COUNTIF('03_보안기사_필기_DB'!$I$4:$M$100, DATE(2026,8,24)+43*7+5) + COUNTIF('04_보안기사_실기_DB'!$G$4:$I$30, DATE(2026,8,24)+43*7+5) + COUNTIF('08_빅분기_필기_DB'!$I$4:$K$34, DATE(2026,8,24)+43*7+5) + COUNTIF('09_빅분기_실기_DB'!$H$4:$I$25, DATE(2026,8,24)+43*7+5)</f>
        <v/>
      </c>
      <c r="AU16" s="97">
        <f>COUNTIFS('02_SWEA_통합_코딩테스트_DB'!$F$4:$F$1260, DATE(2026,8,24)+44*7+5, '02_SWEA_통합_코딩테스트_DB'!$J$4:$J$1260, "&lt;&gt;보류*") + COUNTIFS('02_SWEA_통합_코딩테스트_DB'!$G$4:$G$1260, DATE(2026,8,24)+44*7+5, '02_SWEA_통합_코딩테스트_DB'!$J$4:$J$1260, "&lt;&gt;보류*") + COUNTIFS('02_SWEA_통합_코딩테스트_DB'!$H$4:$H$1260, DATE(2026,8,24)+44*7+5, '02_SWEA_통합_코딩테스트_DB'!$J$4:$J$1260, "&lt;&gt;보류*") + COUNTIFS('02_SWEA_통합_코딩테스트_DB'!$I$4:$I$1260, DATE(2026,8,24)+44*7+5, '02_SWEA_통합_코딩테스트_DB'!$J$4:$J$1260, "&lt;&gt;보류*") + COUNTIF('03_보안기사_필기_DB'!$I$4:$M$100, DATE(2026,8,24)+44*7+5) + COUNTIF('04_보안기사_실기_DB'!$G$4:$I$30, DATE(2026,8,24)+44*7+5) + COUNTIF('08_빅분기_필기_DB'!$I$4:$K$34, DATE(2026,8,24)+44*7+5) + COUNTIF('09_빅분기_실기_DB'!$H$4:$I$25, DATE(2026,8,24)+44*7+5)</f>
        <v/>
      </c>
      <c r="AV16" s="97">
        <f>COUNTIFS('02_SWEA_통합_코딩테스트_DB'!$F$4:$F$1260, DATE(2026,8,24)+45*7+5, '02_SWEA_통합_코딩테스트_DB'!$J$4:$J$1260, "&lt;&gt;보류*") + COUNTIFS('02_SWEA_통합_코딩테스트_DB'!$G$4:$G$1260, DATE(2026,8,24)+45*7+5, '02_SWEA_통합_코딩테스트_DB'!$J$4:$J$1260, "&lt;&gt;보류*") + COUNTIFS('02_SWEA_통합_코딩테스트_DB'!$H$4:$H$1260, DATE(2026,8,24)+45*7+5, '02_SWEA_통합_코딩테스트_DB'!$J$4:$J$1260, "&lt;&gt;보류*") + COUNTIFS('02_SWEA_통합_코딩테스트_DB'!$I$4:$I$1260, DATE(2026,8,24)+45*7+5, '02_SWEA_통합_코딩테스트_DB'!$J$4:$J$1260, "&lt;&gt;보류*") + COUNTIF('03_보안기사_필기_DB'!$I$4:$M$100, DATE(2026,8,24)+45*7+5) + COUNTIF('04_보안기사_실기_DB'!$G$4:$I$30, DATE(2026,8,24)+45*7+5) + COUNTIF('08_빅분기_필기_DB'!$I$4:$K$34, DATE(2026,8,24)+45*7+5) + COUNTIF('09_빅분기_실기_DB'!$H$4:$I$25, DATE(2026,8,24)+45*7+5)</f>
        <v/>
      </c>
      <c r="AW16" s="97">
        <f>COUNTIFS('02_SWEA_통합_코딩테스트_DB'!$F$4:$F$1260, DATE(2026,8,24)+46*7+5, '02_SWEA_통합_코딩테스트_DB'!$J$4:$J$1260, "&lt;&gt;보류*") + COUNTIFS('02_SWEA_통합_코딩테스트_DB'!$G$4:$G$1260, DATE(2026,8,24)+46*7+5, '02_SWEA_통합_코딩테스트_DB'!$J$4:$J$1260, "&lt;&gt;보류*") + COUNTIFS('02_SWEA_통합_코딩테스트_DB'!$H$4:$H$1260, DATE(2026,8,24)+46*7+5, '02_SWEA_통합_코딩테스트_DB'!$J$4:$J$1260, "&lt;&gt;보류*") + COUNTIFS('02_SWEA_통합_코딩테스트_DB'!$I$4:$I$1260, DATE(2026,8,24)+46*7+5, '02_SWEA_통합_코딩테스트_DB'!$J$4:$J$1260, "&lt;&gt;보류*") + COUNTIF('03_보안기사_필기_DB'!$I$4:$M$100, DATE(2026,8,24)+46*7+5) + COUNTIF('04_보안기사_실기_DB'!$G$4:$I$30, DATE(2026,8,24)+46*7+5) + COUNTIF('08_빅분기_필기_DB'!$I$4:$K$34, DATE(2026,8,24)+46*7+5) + COUNTIF('09_빅분기_실기_DB'!$H$4:$I$25, DATE(2026,8,24)+46*7+5)</f>
        <v/>
      </c>
      <c r="AX16" s="97">
        <f>COUNTIFS('02_SWEA_통합_코딩테스트_DB'!$F$4:$F$1260, DATE(2026,8,24)+47*7+5, '02_SWEA_통합_코딩테스트_DB'!$J$4:$J$1260, "&lt;&gt;보류*") + COUNTIFS('02_SWEA_통합_코딩테스트_DB'!$G$4:$G$1260, DATE(2026,8,24)+47*7+5, '02_SWEA_통합_코딩테스트_DB'!$J$4:$J$1260, "&lt;&gt;보류*") + COUNTIFS('02_SWEA_통합_코딩테스트_DB'!$H$4:$H$1260, DATE(2026,8,24)+47*7+5, '02_SWEA_통합_코딩테스트_DB'!$J$4:$J$1260, "&lt;&gt;보류*") + COUNTIFS('02_SWEA_통합_코딩테스트_DB'!$I$4:$I$1260, DATE(2026,8,24)+47*7+5, '02_SWEA_통합_코딩테스트_DB'!$J$4:$J$1260, "&lt;&gt;보류*") + COUNTIF('03_보안기사_필기_DB'!$I$4:$M$100, DATE(2026,8,24)+47*7+5) + COUNTIF('04_보안기사_실기_DB'!$G$4:$I$30, DATE(2026,8,24)+47*7+5) + COUNTIF('08_빅분기_필기_DB'!$I$4:$K$34, DATE(2026,8,24)+47*7+5) + COUNTIF('09_빅분기_실기_DB'!$H$4:$I$25, DATE(2026,8,24)+47*7+5)</f>
        <v/>
      </c>
      <c r="AY16" s="97">
        <f>COUNTIFS('02_SWEA_통합_코딩테스트_DB'!$F$4:$F$1260, DATE(2026,8,24)+48*7+5, '02_SWEA_통합_코딩테스트_DB'!$J$4:$J$1260, "&lt;&gt;보류*") + COUNTIFS('02_SWEA_통합_코딩테스트_DB'!$G$4:$G$1260, DATE(2026,8,24)+48*7+5, '02_SWEA_통합_코딩테스트_DB'!$J$4:$J$1260, "&lt;&gt;보류*") + COUNTIFS('02_SWEA_통합_코딩테스트_DB'!$H$4:$H$1260, DATE(2026,8,24)+48*7+5, '02_SWEA_통합_코딩테스트_DB'!$J$4:$J$1260, "&lt;&gt;보류*") + COUNTIFS('02_SWEA_통합_코딩테스트_DB'!$I$4:$I$1260, DATE(2026,8,24)+48*7+5, '02_SWEA_통합_코딩테스트_DB'!$J$4:$J$1260, "&lt;&gt;보류*") + COUNTIF('03_보안기사_필기_DB'!$I$4:$M$100, DATE(2026,8,24)+48*7+5) + COUNTIF('04_보안기사_실기_DB'!$G$4:$I$30, DATE(2026,8,24)+48*7+5) + COUNTIF('08_빅분기_필기_DB'!$I$4:$K$34, DATE(2026,8,24)+48*7+5) + COUNTIF('09_빅분기_실기_DB'!$H$4:$I$25, DATE(2026,8,24)+48*7+5)</f>
        <v/>
      </c>
      <c r="AZ16" s="97">
        <f>COUNTIFS('02_SWEA_통합_코딩테스트_DB'!$F$4:$F$1260, DATE(2026,8,24)+49*7+5, '02_SWEA_통합_코딩테스트_DB'!$J$4:$J$1260, "&lt;&gt;보류*") + COUNTIFS('02_SWEA_통합_코딩테스트_DB'!$G$4:$G$1260, DATE(2026,8,24)+49*7+5, '02_SWEA_통합_코딩테스트_DB'!$J$4:$J$1260, "&lt;&gt;보류*") + COUNTIFS('02_SWEA_통합_코딩테스트_DB'!$H$4:$H$1260, DATE(2026,8,24)+49*7+5, '02_SWEA_통합_코딩테스트_DB'!$J$4:$J$1260, "&lt;&gt;보류*") + COUNTIFS('02_SWEA_통합_코딩테스트_DB'!$I$4:$I$1260, DATE(2026,8,24)+49*7+5, '02_SWEA_통합_코딩테스트_DB'!$J$4:$J$1260, "&lt;&gt;보류*") + COUNTIF('03_보안기사_필기_DB'!$I$4:$M$100, DATE(2026,8,24)+49*7+5) + COUNTIF('04_보안기사_실기_DB'!$G$4:$I$30, DATE(2026,8,24)+49*7+5) + COUNTIF('08_빅분기_필기_DB'!$I$4:$K$34, DATE(2026,8,24)+49*7+5) + COUNTIF('09_빅분기_실기_DB'!$H$4:$I$25, DATE(2026,8,24)+49*7+5)</f>
        <v/>
      </c>
      <c r="BA16" s="97">
        <f>COUNTIFS('02_SWEA_통합_코딩테스트_DB'!$F$4:$F$1260, DATE(2026,8,24)+50*7+5, '02_SWEA_통합_코딩테스트_DB'!$J$4:$J$1260, "&lt;&gt;보류*") + COUNTIFS('02_SWEA_통합_코딩테스트_DB'!$G$4:$G$1260, DATE(2026,8,24)+50*7+5, '02_SWEA_통합_코딩테스트_DB'!$J$4:$J$1260, "&lt;&gt;보류*") + COUNTIFS('02_SWEA_통합_코딩테스트_DB'!$H$4:$H$1260, DATE(2026,8,24)+50*7+5, '02_SWEA_통합_코딩테스트_DB'!$J$4:$J$1260, "&lt;&gt;보류*") + COUNTIFS('02_SWEA_통합_코딩테스트_DB'!$I$4:$I$1260, DATE(2026,8,24)+50*7+5, '02_SWEA_통합_코딩테스트_DB'!$J$4:$J$1260, "&lt;&gt;보류*") + COUNTIF('03_보안기사_필기_DB'!$I$4:$M$100, DATE(2026,8,24)+50*7+5) + COUNTIF('04_보안기사_실기_DB'!$G$4:$I$30, DATE(2026,8,24)+50*7+5) + COUNTIF('08_빅분기_필기_DB'!$I$4:$K$34, DATE(2026,8,24)+50*7+5) + COUNTIF('09_빅분기_실기_DB'!$H$4:$I$25, DATE(2026,8,24)+50*7+5)</f>
        <v/>
      </c>
      <c r="BB16" s="97">
        <f>COUNTIFS('02_SWEA_통합_코딩테스트_DB'!$F$4:$F$1260, DATE(2026,8,24)+51*7+5, '02_SWEA_통합_코딩테스트_DB'!$J$4:$J$1260, "&lt;&gt;보류*") + COUNTIFS('02_SWEA_통합_코딩테스트_DB'!$G$4:$G$1260, DATE(2026,8,24)+51*7+5, '02_SWEA_통합_코딩테스트_DB'!$J$4:$J$1260, "&lt;&gt;보류*") + COUNTIFS('02_SWEA_통합_코딩테스트_DB'!$H$4:$H$1260, DATE(2026,8,24)+51*7+5, '02_SWEA_통합_코딩테스트_DB'!$J$4:$J$1260, "&lt;&gt;보류*") + COUNTIFS('02_SWEA_통합_코딩테스트_DB'!$I$4:$I$1260, DATE(2026,8,24)+51*7+5, '02_SWEA_통합_코딩테스트_DB'!$J$4:$J$1260, "&lt;&gt;보류*") + COUNTIF('03_보안기사_필기_DB'!$I$4:$M$100, DATE(2026,8,24)+51*7+5) + COUNTIF('04_보안기사_실기_DB'!$G$4:$I$30, DATE(2026,8,24)+51*7+5) + COUNTIF('08_빅분기_필기_DB'!$I$4:$K$34, DATE(2026,8,24)+51*7+5) + COUNTIF('09_빅분기_실기_DB'!$H$4:$I$25, DATE(2026,8,24)+51*7+5)</f>
        <v/>
      </c>
      <c r="BC16" s="97">
        <f>COUNTIFS('02_SWEA_통합_코딩테스트_DB'!$F$4:$F$1260, DATE(2026,8,24)+52*7+5, '02_SWEA_통합_코딩테스트_DB'!$J$4:$J$1260, "&lt;&gt;보류*") + COUNTIFS('02_SWEA_통합_코딩테스트_DB'!$G$4:$G$1260, DATE(2026,8,24)+52*7+5, '02_SWEA_통합_코딩테스트_DB'!$J$4:$J$1260, "&lt;&gt;보류*") + COUNTIFS('02_SWEA_통합_코딩테스트_DB'!$H$4:$H$1260, DATE(2026,8,24)+52*7+5, '02_SWEA_통합_코딩테스트_DB'!$J$4:$J$1260, "&lt;&gt;보류*") + COUNTIFS('02_SWEA_통합_코딩테스트_DB'!$I$4:$I$1260, DATE(2026,8,24)+52*7+5, '02_SWEA_통합_코딩테스트_DB'!$J$4:$J$1260, "&lt;&gt;보류*") + COUNTIF('03_보안기사_필기_DB'!$I$4:$M$100, DATE(2026,8,24)+52*7+5) + COUNTIF('04_보안기사_실기_DB'!$G$4:$I$30, DATE(2026,8,24)+52*7+5)</f>
        <v/>
      </c>
      <c r="BD16" s="26" t="n"/>
      <c r="BE16" s="26" t="n"/>
      <c r="BF16" s="26" t="n"/>
      <c r="BG16" s="26" t="n"/>
    </row>
    <row r="17" ht="21.75" customHeight="1" s="209">
      <c r="A17" s="225" t="inlineStr">
        <is>
          <t>일 (Sun)</t>
        </is>
      </c>
      <c r="B17" s="214" t="n"/>
      <c r="C17" s="97">
        <f>COUNTIFS('02_SWEA_통합_코딩테스트_DB'!$F$4:$F$1260, DATE(2026,8,24)+0*7+6, '02_SWEA_통합_코딩테스트_DB'!$J$4:$J$1260, "&lt;&gt;보류*") + COUNTIFS('02_SWEA_통합_코딩테스트_DB'!$G$4:$G$1260, DATE(2026,8,24)+0*7+6, '02_SWEA_통합_코딩테스트_DB'!$J$4:$J$1260, "&lt;&gt;보류*") + COUNTIFS('02_SWEA_통합_코딩테스트_DB'!$H$4:$H$1260, DATE(2026,8,24)+0*7+6, '02_SWEA_통합_코딩테스트_DB'!$J$4:$J$1260, "&lt;&gt;보류*") + COUNTIFS('02_SWEA_통합_코딩테스트_DB'!$I$4:$I$1260, DATE(2026,8,24)+0*7+6, '02_SWEA_통합_코딩테스트_DB'!$J$4:$J$1260, "&lt;&gt;보류*") + COUNTIF('03_보안기사_필기_DB'!$I$4:$M$100, DATE(2026,8,24)+0*7+6) + COUNTIF('04_보안기사_실기_DB'!$G$4:$I$30, DATE(2026,8,24)+0*7+6) + COUNTIF('08_빅분기_필기_DB'!$I$4:$K$34, DATE(2026,8,24)+0*7+6) + COUNTIF('09_빅분기_실기_DB'!$H$4:$I$25, DATE(2026,8,24)+0*7+6)</f>
        <v/>
      </c>
      <c r="D17" s="97">
        <f>COUNTIFS('02_SWEA_통합_코딩테스트_DB'!$F$4:$F$1260, DATE(2026,8,24)+1*7+6, '02_SWEA_통합_코딩테스트_DB'!$J$4:$J$1260, "&lt;&gt;보류*") + COUNTIFS('02_SWEA_통합_코딩테스트_DB'!$G$4:$G$1260, DATE(2026,8,24)+1*7+6, '02_SWEA_통합_코딩테스트_DB'!$J$4:$J$1260, "&lt;&gt;보류*") + COUNTIFS('02_SWEA_통합_코딩테스트_DB'!$H$4:$H$1260, DATE(2026,8,24)+1*7+6, '02_SWEA_통합_코딩테스트_DB'!$J$4:$J$1260, "&lt;&gt;보류*") + COUNTIFS('02_SWEA_통합_코딩테스트_DB'!$I$4:$I$1260, DATE(2026,8,24)+1*7+6, '02_SWEA_통합_코딩테스트_DB'!$J$4:$J$1260, "&lt;&gt;보류*") + COUNTIF('03_보안기사_필기_DB'!$I$4:$M$100, DATE(2026,8,24)+1*7+6) + COUNTIF('04_보안기사_실기_DB'!$G$4:$I$30, DATE(2026,8,24)+1*7+6) + COUNTIF('08_빅분기_필기_DB'!$I$4:$K$34, DATE(2026,8,24)+1*7+6) + COUNTIF('09_빅분기_실기_DB'!$H$4:$I$25, DATE(2026,8,24)+1*7+6)</f>
        <v/>
      </c>
      <c r="E17" s="97">
        <f>COUNTIFS('02_SWEA_통합_코딩테스트_DB'!$F$4:$F$1260, DATE(2026,8,24)+2*7+6, '02_SWEA_통합_코딩테스트_DB'!$J$4:$J$1260, "&lt;&gt;보류*") + COUNTIFS('02_SWEA_통합_코딩테스트_DB'!$G$4:$G$1260, DATE(2026,8,24)+2*7+6, '02_SWEA_통합_코딩테스트_DB'!$J$4:$J$1260, "&lt;&gt;보류*") + COUNTIFS('02_SWEA_통합_코딩테스트_DB'!$H$4:$H$1260, DATE(2026,8,24)+2*7+6, '02_SWEA_통합_코딩테스트_DB'!$J$4:$J$1260, "&lt;&gt;보류*") + COUNTIFS('02_SWEA_통합_코딩테스트_DB'!$I$4:$I$1260, DATE(2026,8,24)+2*7+6, '02_SWEA_통합_코딩테스트_DB'!$J$4:$J$1260, "&lt;&gt;보류*") + COUNTIF('03_보안기사_필기_DB'!$I$4:$M$100, DATE(2026,8,24)+2*7+6) + COUNTIF('04_보안기사_실기_DB'!$G$4:$I$30, DATE(2026,8,24)+2*7+6) + COUNTIF('08_빅분기_필기_DB'!$I$4:$K$34, DATE(2026,8,24)+2*7+6) + COUNTIF('09_빅분기_실기_DB'!$H$4:$I$25, DATE(2026,8,24)+2*7+6)</f>
        <v/>
      </c>
      <c r="F17" s="97">
        <f>COUNTIFS('02_SWEA_통합_코딩테스트_DB'!$F$4:$F$1260, DATE(2026,8,24)+3*7+6, '02_SWEA_통합_코딩테스트_DB'!$J$4:$J$1260, "&lt;&gt;보류*") + COUNTIFS('02_SWEA_통합_코딩테스트_DB'!$G$4:$G$1260, DATE(2026,8,24)+3*7+6, '02_SWEA_통합_코딩테스트_DB'!$J$4:$J$1260, "&lt;&gt;보류*") + COUNTIFS('02_SWEA_통합_코딩테스트_DB'!$H$4:$H$1260, DATE(2026,8,24)+3*7+6, '02_SWEA_통합_코딩테스트_DB'!$J$4:$J$1260, "&lt;&gt;보류*") + COUNTIFS('02_SWEA_통합_코딩테스트_DB'!$I$4:$I$1260, DATE(2026,8,24)+3*7+6, '02_SWEA_통합_코딩테스트_DB'!$J$4:$J$1260, "&lt;&gt;보류*") + COUNTIF('03_보안기사_필기_DB'!$I$4:$M$100, DATE(2026,8,24)+3*7+6) + COUNTIF('04_보안기사_실기_DB'!$G$4:$I$30, DATE(2026,8,24)+3*7+6) + COUNTIF('08_빅분기_필기_DB'!$I$4:$K$34, DATE(2026,8,24)+3*7+6) + COUNTIF('09_빅분기_실기_DB'!$H$4:$I$25, DATE(2026,8,24)+3*7+6)</f>
        <v/>
      </c>
      <c r="G17" s="97">
        <f>COUNTIFS('02_SWEA_통합_코딩테스트_DB'!$F$4:$F$1260, DATE(2026,8,24)+4*7+6, '02_SWEA_통합_코딩테스트_DB'!$J$4:$J$1260, "&lt;&gt;보류*") + COUNTIFS('02_SWEA_통합_코딩테스트_DB'!$G$4:$G$1260, DATE(2026,8,24)+4*7+6, '02_SWEA_통합_코딩테스트_DB'!$J$4:$J$1260, "&lt;&gt;보류*") + COUNTIFS('02_SWEA_통합_코딩테스트_DB'!$H$4:$H$1260, DATE(2026,8,24)+4*7+6, '02_SWEA_통합_코딩테스트_DB'!$J$4:$J$1260, "&lt;&gt;보류*") + COUNTIFS('02_SWEA_통합_코딩테스트_DB'!$I$4:$I$1260, DATE(2026,8,24)+4*7+6, '02_SWEA_통합_코딩테스트_DB'!$J$4:$J$1260, "&lt;&gt;보류*") + COUNTIF('03_보안기사_필기_DB'!$I$4:$M$100, DATE(2026,8,24)+4*7+6) + COUNTIF('04_보안기사_실기_DB'!$G$4:$I$30, DATE(2026,8,24)+4*7+6) + COUNTIF('08_빅분기_필기_DB'!$I$4:$K$34, DATE(2026,8,24)+4*7+6) + COUNTIF('09_빅분기_실기_DB'!$H$4:$I$25, DATE(2026,8,24)+4*7+6)</f>
        <v/>
      </c>
      <c r="H17" s="97">
        <f>COUNTIFS('02_SWEA_통합_코딩테스트_DB'!$F$4:$F$1260, DATE(2026,8,24)+5*7+6, '02_SWEA_통합_코딩테스트_DB'!$J$4:$J$1260, "&lt;&gt;보류*") + COUNTIFS('02_SWEA_통합_코딩테스트_DB'!$G$4:$G$1260, DATE(2026,8,24)+5*7+6, '02_SWEA_통합_코딩테스트_DB'!$J$4:$J$1260, "&lt;&gt;보류*") + COUNTIFS('02_SWEA_통합_코딩테스트_DB'!$H$4:$H$1260, DATE(2026,8,24)+5*7+6, '02_SWEA_통합_코딩테스트_DB'!$J$4:$J$1260, "&lt;&gt;보류*") + COUNTIFS('02_SWEA_통합_코딩테스트_DB'!$I$4:$I$1260, DATE(2026,8,24)+5*7+6, '02_SWEA_통합_코딩테스트_DB'!$J$4:$J$1260, "&lt;&gt;보류*") + COUNTIF('03_보안기사_필기_DB'!$I$4:$M$100, DATE(2026,8,24)+5*7+6) + COUNTIF('04_보안기사_실기_DB'!$G$4:$I$30, DATE(2026,8,24)+5*7+6) + COUNTIF('08_빅분기_필기_DB'!$I$4:$K$34, DATE(2026,8,24)+5*7+6) + COUNTIF('09_빅분기_실기_DB'!$H$4:$I$25, DATE(2026,8,24)+5*7+6)</f>
        <v/>
      </c>
      <c r="I17" s="97">
        <f>COUNTIFS('02_SWEA_통합_코딩테스트_DB'!$F$4:$F$1260, DATE(2026,8,24)+6*7+6, '02_SWEA_통합_코딩테스트_DB'!$J$4:$J$1260, "&lt;&gt;보류*") + COUNTIFS('02_SWEA_통합_코딩테스트_DB'!$G$4:$G$1260, DATE(2026,8,24)+6*7+6, '02_SWEA_통합_코딩테스트_DB'!$J$4:$J$1260, "&lt;&gt;보류*") + COUNTIFS('02_SWEA_통합_코딩테스트_DB'!$H$4:$H$1260, DATE(2026,8,24)+6*7+6, '02_SWEA_통합_코딩테스트_DB'!$J$4:$J$1260, "&lt;&gt;보류*") + COUNTIFS('02_SWEA_통합_코딩테스트_DB'!$I$4:$I$1260, DATE(2026,8,24)+6*7+6, '02_SWEA_통합_코딩테스트_DB'!$J$4:$J$1260, "&lt;&gt;보류*") + COUNTIF('03_보안기사_필기_DB'!$I$4:$M$100, DATE(2026,8,24)+6*7+6) + COUNTIF('04_보안기사_실기_DB'!$G$4:$I$30, DATE(2026,8,24)+6*7+6) + COUNTIF('08_빅분기_필기_DB'!$I$4:$K$34, DATE(2026,8,24)+6*7+6) + COUNTIF('09_빅분기_실기_DB'!$H$4:$I$25, DATE(2026,8,24)+6*7+6)</f>
        <v/>
      </c>
      <c r="J17" s="97">
        <f>COUNTIFS('02_SWEA_통합_코딩테스트_DB'!$F$4:$F$1260, DATE(2026,8,24)+7*7+6, '02_SWEA_통합_코딩테스트_DB'!$J$4:$J$1260, "&lt;&gt;보류*") + COUNTIFS('02_SWEA_통합_코딩테스트_DB'!$G$4:$G$1260, DATE(2026,8,24)+7*7+6, '02_SWEA_통합_코딩테스트_DB'!$J$4:$J$1260, "&lt;&gt;보류*") + COUNTIFS('02_SWEA_통합_코딩테스트_DB'!$H$4:$H$1260, DATE(2026,8,24)+7*7+6, '02_SWEA_통합_코딩테스트_DB'!$J$4:$J$1260, "&lt;&gt;보류*") + COUNTIFS('02_SWEA_통합_코딩테스트_DB'!$I$4:$I$1260, DATE(2026,8,24)+7*7+6, '02_SWEA_통합_코딩테스트_DB'!$J$4:$J$1260, "&lt;&gt;보류*") + COUNTIF('03_보안기사_필기_DB'!$I$4:$M$100, DATE(2026,8,24)+7*7+6) + COUNTIF('04_보안기사_실기_DB'!$G$4:$I$30, DATE(2026,8,24)+7*7+6) + COUNTIF('08_빅분기_필기_DB'!$I$4:$K$34, DATE(2026,8,24)+7*7+6) + COUNTIF('09_빅분기_실기_DB'!$H$4:$I$25, DATE(2026,8,24)+7*7+6)</f>
        <v/>
      </c>
      <c r="K17" s="97">
        <f>COUNTIFS('02_SWEA_통합_코딩테스트_DB'!$F$4:$F$1260, DATE(2026,8,24)+8*7+6, '02_SWEA_통합_코딩테스트_DB'!$J$4:$J$1260, "&lt;&gt;보류*") + COUNTIFS('02_SWEA_통합_코딩테스트_DB'!$G$4:$G$1260, DATE(2026,8,24)+8*7+6, '02_SWEA_통합_코딩테스트_DB'!$J$4:$J$1260, "&lt;&gt;보류*") + COUNTIFS('02_SWEA_통합_코딩테스트_DB'!$H$4:$H$1260, DATE(2026,8,24)+8*7+6, '02_SWEA_통합_코딩테스트_DB'!$J$4:$J$1260, "&lt;&gt;보류*") + COUNTIFS('02_SWEA_통합_코딩테스트_DB'!$I$4:$I$1260, DATE(2026,8,24)+8*7+6, '02_SWEA_통합_코딩테스트_DB'!$J$4:$J$1260, "&lt;&gt;보류*") + COUNTIF('03_보안기사_필기_DB'!$I$4:$M$100, DATE(2026,8,24)+8*7+6) + COUNTIF('04_보안기사_실기_DB'!$G$4:$I$30, DATE(2026,8,24)+8*7+6) + COUNTIF('08_빅분기_필기_DB'!$I$4:$K$34, DATE(2026,8,24)+8*7+6) + COUNTIF('09_빅분기_실기_DB'!$H$4:$I$25, DATE(2026,8,24)+8*7+6)</f>
        <v/>
      </c>
      <c r="L17" s="97">
        <f>COUNTIFS('02_SWEA_통합_코딩테스트_DB'!$F$4:$F$1260, DATE(2026,8,24)+9*7+6, '02_SWEA_통합_코딩테스트_DB'!$J$4:$J$1260, "&lt;&gt;보류*") + COUNTIFS('02_SWEA_통합_코딩테스트_DB'!$G$4:$G$1260, DATE(2026,8,24)+9*7+6, '02_SWEA_통합_코딩테스트_DB'!$J$4:$J$1260, "&lt;&gt;보류*") + COUNTIFS('02_SWEA_통합_코딩테스트_DB'!$H$4:$H$1260, DATE(2026,8,24)+9*7+6, '02_SWEA_통합_코딩테스트_DB'!$J$4:$J$1260, "&lt;&gt;보류*") + COUNTIFS('02_SWEA_통합_코딩테스트_DB'!$I$4:$I$1260, DATE(2026,8,24)+9*7+6, '02_SWEA_통합_코딩테스트_DB'!$J$4:$J$1260, "&lt;&gt;보류*") + COUNTIF('03_보안기사_필기_DB'!$I$4:$M$100, DATE(2026,8,24)+9*7+6) + COUNTIF('04_보안기사_실기_DB'!$G$4:$I$30, DATE(2026,8,24)+9*7+6) + COUNTIF('08_빅분기_필기_DB'!$I$4:$K$34, DATE(2026,8,24)+9*7+6) + COUNTIF('09_빅분기_실기_DB'!$H$4:$I$25, DATE(2026,8,24)+9*7+6)</f>
        <v/>
      </c>
      <c r="M17" s="97">
        <f>COUNTIFS('02_SWEA_통합_코딩테스트_DB'!$F$4:$F$1260, DATE(2026,8,24)+10*7+6, '02_SWEA_통합_코딩테스트_DB'!$J$4:$J$1260, "&lt;&gt;보류*") + COUNTIFS('02_SWEA_통합_코딩테스트_DB'!$G$4:$G$1260, DATE(2026,8,24)+10*7+6, '02_SWEA_통합_코딩테스트_DB'!$J$4:$J$1260, "&lt;&gt;보류*") + COUNTIFS('02_SWEA_통합_코딩테스트_DB'!$H$4:$H$1260, DATE(2026,8,24)+10*7+6, '02_SWEA_통합_코딩테스트_DB'!$J$4:$J$1260, "&lt;&gt;보류*") + COUNTIFS('02_SWEA_통합_코딩테스트_DB'!$I$4:$I$1260, DATE(2026,8,24)+10*7+6, '02_SWEA_통합_코딩테스트_DB'!$J$4:$J$1260, "&lt;&gt;보류*") + COUNTIF('03_보안기사_필기_DB'!$I$4:$M$100, DATE(2026,8,24)+10*7+6) + COUNTIF('04_보안기사_실기_DB'!$G$4:$I$30, DATE(2026,8,24)+10*7+6) + COUNTIF('08_빅분기_필기_DB'!$I$4:$K$34, DATE(2026,8,24)+10*7+6) + COUNTIF('09_빅분기_실기_DB'!$H$4:$I$25, DATE(2026,8,24)+10*7+6)</f>
        <v/>
      </c>
      <c r="N17" s="97">
        <f>COUNTIFS('02_SWEA_통합_코딩테스트_DB'!$F$4:$F$1260, DATE(2026,8,24)+11*7+6, '02_SWEA_통합_코딩테스트_DB'!$J$4:$J$1260, "&lt;&gt;보류*") + COUNTIFS('02_SWEA_통합_코딩테스트_DB'!$G$4:$G$1260, DATE(2026,8,24)+11*7+6, '02_SWEA_통합_코딩테스트_DB'!$J$4:$J$1260, "&lt;&gt;보류*") + COUNTIFS('02_SWEA_통합_코딩테스트_DB'!$H$4:$H$1260, DATE(2026,8,24)+11*7+6, '02_SWEA_통합_코딩테스트_DB'!$J$4:$J$1260, "&lt;&gt;보류*") + COUNTIFS('02_SWEA_통합_코딩테스트_DB'!$I$4:$I$1260, DATE(2026,8,24)+11*7+6, '02_SWEA_통합_코딩테스트_DB'!$J$4:$J$1260, "&lt;&gt;보류*") + COUNTIF('03_보안기사_필기_DB'!$I$4:$M$100, DATE(2026,8,24)+11*7+6) + COUNTIF('04_보안기사_실기_DB'!$G$4:$I$30, DATE(2026,8,24)+11*7+6) + COUNTIF('08_빅분기_필기_DB'!$I$4:$K$34, DATE(2026,8,24)+11*7+6) + COUNTIF('09_빅분기_실기_DB'!$H$4:$I$25, DATE(2026,8,24)+11*7+6)</f>
        <v/>
      </c>
      <c r="O17" s="97">
        <f>COUNTIFS('02_SWEA_통합_코딩테스트_DB'!$F$4:$F$1260, DATE(2026,8,24)+12*7+6, '02_SWEA_통합_코딩테스트_DB'!$J$4:$J$1260, "&lt;&gt;보류*") + COUNTIFS('02_SWEA_통합_코딩테스트_DB'!$G$4:$G$1260, DATE(2026,8,24)+12*7+6, '02_SWEA_통합_코딩테스트_DB'!$J$4:$J$1260, "&lt;&gt;보류*") + COUNTIFS('02_SWEA_통합_코딩테스트_DB'!$H$4:$H$1260, DATE(2026,8,24)+12*7+6, '02_SWEA_통합_코딩테스트_DB'!$J$4:$J$1260, "&lt;&gt;보류*") + COUNTIFS('02_SWEA_통합_코딩테스트_DB'!$I$4:$I$1260, DATE(2026,8,24)+12*7+6, '02_SWEA_통합_코딩테스트_DB'!$J$4:$J$1260, "&lt;&gt;보류*") + COUNTIF('03_보안기사_필기_DB'!$I$4:$M$100, DATE(2026,8,24)+12*7+6) + COUNTIF('04_보안기사_실기_DB'!$G$4:$I$30, DATE(2026,8,24)+12*7+6) + COUNTIF('08_빅분기_필기_DB'!$I$4:$K$34, DATE(2026,8,24)+12*7+6) + COUNTIF('09_빅분기_실기_DB'!$H$4:$I$25, DATE(2026,8,24)+12*7+6)</f>
        <v/>
      </c>
      <c r="P17" s="97">
        <f>COUNTIFS('02_SWEA_통합_코딩테스트_DB'!$F$4:$F$1260, DATE(2026,8,24)+13*7+6, '02_SWEA_통합_코딩테스트_DB'!$J$4:$J$1260, "&lt;&gt;보류*") + COUNTIFS('02_SWEA_통합_코딩테스트_DB'!$G$4:$G$1260, DATE(2026,8,24)+13*7+6, '02_SWEA_통합_코딩테스트_DB'!$J$4:$J$1260, "&lt;&gt;보류*") + COUNTIFS('02_SWEA_통합_코딩테스트_DB'!$H$4:$H$1260, DATE(2026,8,24)+13*7+6, '02_SWEA_통합_코딩테스트_DB'!$J$4:$J$1260, "&lt;&gt;보류*") + COUNTIFS('02_SWEA_통합_코딩테스트_DB'!$I$4:$I$1260, DATE(2026,8,24)+13*7+6, '02_SWEA_통합_코딩테스트_DB'!$J$4:$J$1260, "&lt;&gt;보류*") + COUNTIF('03_보안기사_필기_DB'!$I$4:$M$100, DATE(2026,8,24)+13*7+6) + COUNTIF('04_보안기사_실기_DB'!$G$4:$I$30, DATE(2026,8,24)+13*7+6) + COUNTIF('08_빅분기_필기_DB'!$I$4:$K$34, DATE(2026,8,24)+13*7+6) + COUNTIF('09_빅분기_실기_DB'!$H$4:$I$25, DATE(2026,8,24)+13*7+6)</f>
        <v/>
      </c>
      <c r="Q17" s="97">
        <f>COUNTIFS('02_SWEA_통합_코딩테스트_DB'!$F$4:$F$1260, DATE(2026,8,24)+14*7+6, '02_SWEA_통합_코딩테스트_DB'!$J$4:$J$1260, "&lt;&gt;보류*") + COUNTIFS('02_SWEA_통합_코딩테스트_DB'!$G$4:$G$1260, DATE(2026,8,24)+14*7+6, '02_SWEA_통합_코딩테스트_DB'!$J$4:$J$1260, "&lt;&gt;보류*") + COUNTIFS('02_SWEA_통합_코딩테스트_DB'!$H$4:$H$1260, DATE(2026,8,24)+14*7+6, '02_SWEA_통합_코딩테스트_DB'!$J$4:$J$1260, "&lt;&gt;보류*") + COUNTIFS('02_SWEA_통합_코딩테스트_DB'!$I$4:$I$1260, DATE(2026,8,24)+14*7+6, '02_SWEA_통합_코딩테스트_DB'!$J$4:$J$1260, "&lt;&gt;보류*") + COUNTIF('03_보안기사_필기_DB'!$I$4:$M$100, DATE(2026,8,24)+14*7+6) + COUNTIF('04_보안기사_실기_DB'!$G$4:$I$30, DATE(2026,8,24)+14*7+6) + COUNTIF('08_빅분기_필기_DB'!$I$4:$K$34, DATE(2026,8,24)+14*7+6) + COUNTIF('09_빅분기_실기_DB'!$H$4:$I$25, DATE(2026,8,24)+14*7+6)</f>
        <v/>
      </c>
      <c r="R17" s="97">
        <f>COUNTIFS('02_SWEA_통합_코딩테스트_DB'!$F$4:$F$1260, DATE(2026,8,24)+15*7+6, '02_SWEA_통합_코딩테스트_DB'!$J$4:$J$1260, "&lt;&gt;보류*") + COUNTIFS('02_SWEA_통합_코딩테스트_DB'!$G$4:$G$1260, DATE(2026,8,24)+15*7+6, '02_SWEA_통합_코딩테스트_DB'!$J$4:$J$1260, "&lt;&gt;보류*") + COUNTIFS('02_SWEA_통합_코딩테스트_DB'!$H$4:$H$1260, DATE(2026,8,24)+15*7+6, '02_SWEA_통합_코딩테스트_DB'!$J$4:$J$1260, "&lt;&gt;보류*") + COUNTIFS('02_SWEA_통합_코딩테스트_DB'!$I$4:$I$1260, DATE(2026,8,24)+15*7+6, '02_SWEA_통합_코딩테스트_DB'!$J$4:$J$1260, "&lt;&gt;보류*") + COUNTIF('03_보안기사_필기_DB'!$I$4:$M$100, DATE(2026,8,24)+15*7+6) + COUNTIF('04_보안기사_실기_DB'!$G$4:$I$30, DATE(2026,8,24)+15*7+6) + COUNTIF('08_빅분기_필기_DB'!$I$4:$K$34, DATE(2026,8,24)+15*7+6) + COUNTIF('09_빅분기_실기_DB'!$H$4:$I$25, DATE(2026,8,24)+15*7+6)</f>
        <v/>
      </c>
      <c r="S17" s="97">
        <f>COUNTIFS('02_SWEA_통합_코딩테스트_DB'!$F$4:$F$1260, DATE(2026,8,24)+16*7+6, '02_SWEA_통합_코딩테스트_DB'!$J$4:$J$1260, "&lt;&gt;보류*") + COUNTIFS('02_SWEA_통합_코딩테스트_DB'!$G$4:$G$1260, DATE(2026,8,24)+16*7+6, '02_SWEA_통합_코딩테스트_DB'!$J$4:$J$1260, "&lt;&gt;보류*") + COUNTIFS('02_SWEA_통합_코딩테스트_DB'!$H$4:$H$1260, DATE(2026,8,24)+16*7+6, '02_SWEA_통합_코딩테스트_DB'!$J$4:$J$1260, "&lt;&gt;보류*") + COUNTIFS('02_SWEA_통합_코딩테스트_DB'!$I$4:$I$1260, DATE(2026,8,24)+16*7+6, '02_SWEA_통합_코딩테스트_DB'!$J$4:$J$1260, "&lt;&gt;보류*") + COUNTIF('03_보안기사_필기_DB'!$I$4:$M$100, DATE(2026,8,24)+16*7+6) + COUNTIF('04_보안기사_실기_DB'!$G$4:$I$30, DATE(2026,8,24)+16*7+6) + COUNTIF('08_빅분기_필기_DB'!$I$4:$K$34, DATE(2026,8,24)+16*7+6) + COUNTIF('09_빅분기_실기_DB'!$H$4:$I$25, DATE(2026,8,24)+16*7+6)</f>
        <v/>
      </c>
      <c r="T17" s="97">
        <f>COUNTIFS('02_SWEA_통합_코딩테스트_DB'!$F$4:$F$1260, DATE(2026,8,24)+17*7+6, '02_SWEA_통합_코딩테스트_DB'!$J$4:$J$1260, "&lt;&gt;보류*") + COUNTIFS('02_SWEA_통합_코딩테스트_DB'!$G$4:$G$1260, DATE(2026,8,24)+17*7+6, '02_SWEA_통합_코딩테스트_DB'!$J$4:$J$1260, "&lt;&gt;보류*") + COUNTIFS('02_SWEA_통합_코딩테스트_DB'!$H$4:$H$1260, DATE(2026,8,24)+17*7+6, '02_SWEA_통합_코딩테스트_DB'!$J$4:$J$1260, "&lt;&gt;보류*") + COUNTIFS('02_SWEA_통합_코딩테스트_DB'!$I$4:$I$1260, DATE(2026,8,24)+17*7+6, '02_SWEA_통합_코딩테스트_DB'!$J$4:$J$1260, "&lt;&gt;보류*") + COUNTIF('03_보안기사_필기_DB'!$I$4:$M$100, DATE(2026,8,24)+17*7+6) + COUNTIF('04_보안기사_실기_DB'!$G$4:$I$30, DATE(2026,8,24)+17*7+6) + COUNTIF('08_빅분기_필기_DB'!$I$4:$K$34, DATE(2026,8,24)+17*7+6) + COUNTIF('09_빅분기_실기_DB'!$H$4:$I$25, DATE(2026,8,24)+17*7+6)</f>
        <v/>
      </c>
      <c r="U17" s="97">
        <f>COUNTIFS('02_SWEA_통합_코딩테스트_DB'!$F$4:$F$1260, DATE(2026,8,24)+18*7+6, '02_SWEA_통합_코딩테스트_DB'!$J$4:$J$1260, "&lt;&gt;보류*") + COUNTIFS('02_SWEA_통합_코딩테스트_DB'!$G$4:$G$1260, DATE(2026,8,24)+18*7+6, '02_SWEA_통합_코딩테스트_DB'!$J$4:$J$1260, "&lt;&gt;보류*") + COUNTIFS('02_SWEA_통합_코딩테스트_DB'!$H$4:$H$1260, DATE(2026,8,24)+18*7+6, '02_SWEA_통합_코딩테스트_DB'!$J$4:$J$1260, "&lt;&gt;보류*") + COUNTIFS('02_SWEA_통합_코딩테스트_DB'!$I$4:$I$1260, DATE(2026,8,24)+18*7+6, '02_SWEA_통합_코딩테스트_DB'!$J$4:$J$1260, "&lt;&gt;보류*") + COUNTIF('03_보안기사_필기_DB'!$I$4:$M$100, DATE(2026,8,24)+18*7+6) + COUNTIF('04_보안기사_실기_DB'!$G$4:$I$30, DATE(2026,8,24)+18*7+6) + COUNTIF('08_빅분기_필기_DB'!$I$4:$K$34, DATE(2026,8,24)+18*7+6) + COUNTIF('09_빅분기_실기_DB'!$H$4:$I$25, DATE(2026,8,24)+18*7+6)</f>
        <v/>
      </c>
      <c r="V17" s="97">
        <f>COUNTIFS('02_SWEA_통합_코딩테스트_DB'!$F$4:$F$1260, DATE(2026,8,24)+19*7+6, '02_SWEA_통합_코딩테스트_DB'!$J$4:$J$1260, "&lt;&gt;보류*") + COUNTIFS('02_SWEA_통합_코딩테스트_DB'!$G$4:$G$1260, DATE(2026,8,24)+19*7+6, '02_SWEA_통합_코딩테스트_DB'!$J$4:$J$1260, "&lt;&gt;보류*") + COUNTIFS('02_SWEA_통합_코딩테스트_DB'!$H$4:$H$1260, DATE(2026,8,24)+19*7+6, '02_SWEA_통합_코딩테스트_DB'!$J$4:$J$1260, "&lt;&gt;보류*") + COUNTIFS('02_SWEA_통합_코딩테스트_DB'!$I$4:$I$1260, DATE(2026,8,24)+19*7+6, '02_SWEA_통합_코딩테스트_DB'!$J$4:$J$1260, "&lt;&gt;보류*") + COUNTIF('03_보안기사_필기_DB'!$I$4:$M$100, DATE(2026,8,24)+19*7+6) + COUNTIF('04_보안기사_실기_DB'!$G$4:$I$30, DATE(2026,8,24)+19*7+6) + COUNTIF('08_빅분기_필기_DB'!$I$4:$K$34, DATE(2026,8,24)+19*7+6) + COUNTIF('09_빅분기_실기_DB'!$H$4:$I$25, DATE(2026,8,24)+19*7+6)</f>
        <v/>
      </c>
      <c r="W17" s="97">
        <f>COUNTIFS('02_SWEA_통합_코딩테스트_DB'!$F$4:$F$1260, DATE(2026,8,24)+20*7+6, '02_SWEA_통합_코딩테스트_DB'!$J$4:$J$1260, "&lt;&gt;보류*") + COUNTIFS('02_SWEA_통합_코딩테스트_DB'!$G$4:$G$1260, DATE(2026,8,24)+20*7+6, '02_SWEA_통합_코딩테스트_DB'!$J$4:$J$1260, "&lt;&gt;보류*") + COUNTIFS('02_SWEA_통합_코딩테스트_DB'!$H$4:$H$1260, DATE(2026,8,24)+20*7+6, '02_SWEA_통합_코딩테스트_DB'!$J$4:$J$1260, "&lt;&gt;보류*") + COUNTIFS('02_SWEA_통합_코딩테스트_DB'!$I$4:$I$1260, DATE(2026,8,24)+20*7+6, '02_SWEA_통합_코딩테스트_DB'!$J$4:$J$1260, "&lt;&gt;보류*") + COUNTIF('03_보안기사_필기_DB'!$I$4:$M$100, DATE(2026,8,24)+20*7+6) + COUNTIF('04_보안기사_실기_DB'!$G$4:$I$30, DATE(2026,8,24)+20*7+6) + COUNTIF('08_빅분기_필기_DB'!$I$4:$K$34, DATE(2026,8,24)+20*7+6) + COUNTIF('09_빅분기_실기_DB'!$H$4:$I$25, DATE(2026,8,24)+20*7+6)</f>
        <v/>
      </c>
      <c r="X17" s="97">
        <f>COUNTIFS('02_SWEA_통합_코딩테스트_DB'!$F$4:$F$1260, DATE(2026,8,24)+21*7+6, '02_SWEA_통합_코딩테스트_DB'!$J$4:$J$1260, "&lt;&gt;보류*") + COUNTIFS('02_SWEA_통합_코딩테스트_DB'!$G$4:$G$1260, DATE(2026,8,24)+21*7+6, '02_SWEA_통합_코딩테스트_DB'!$J$4:$J$1260, "&lt;&gt;보류*") + COUNTIFS('02_SWEA_통합_코딩테스트_DB'!$H$4:$H$1260, DATE(2026,8,24)+21*7+6, '02_SWEA_통합_코딩테스트_DB'!$J$4:$J$1260, "&lt;&gt;보류*") + COUNTIFS('02_SWEA_통합_코딩테스트_DB'!$I$4:$I$1260, DATE(2026,8,24)+21*7+6, '02_SWEA_통합_코딩테스트_DB'!$J$4:$J$1260, "&lt;&gt;보류*") + COUNTIF('03_보안기사_필기_DB'!$I$4:$M$100, DATE(2026,8,24)+21*7+6) + COUNTIF('04_보안기사_실기_DB'!$G$4:$I$30, DATE(2026,8,24)+21*7+6) + COUNTIF('08_빅분기_필기_DB'!$I$4:$K$34, DATE(2026,8,24)+21*7+6) + COUNTIF('09_빅분기_실기_DB'!$H$4:$I$25, DATE(2026,8,24)+21*7+6)</f>
        <v/>
      </c>
      <c r="Y17" s="97">
        <f>COUNTIFS('02_SWEA_통합_코딩테스트_DB'!$F$4:$F$1260, DATE(2026,8,24)+22*7+6, '02_SWEA_통합_코딩테스트_DB'!$J$4:$J$1260, "&lt;&gt;보류*") + COUNTIFS('02_SWEA_통합_코딩테스트_DB'!$G$4:$G$1260, DATE(2026,8,24)+22*7+6, '02_SWEA_통합_코딩테스트_DB'!$J$4:$J$1260, "&lt;&gt;보류*") + COUNTIFS('02_SWEA_통합_코딩테스트_DB'!$H$4:$H$1260, DATE(2026,8,24)+22*7+6, '02_SWEA_통합_코딩테스트_DB'!$J$4:$J$1260, "&lt;&gt;보류*") + COUNTIFS('02_SWEA_통합_코딩테스트_DB'!$I$4:$I$1260, DATE(2026,8,24)+22*7+6, '02_SWEA_통합_코딩테스트_DB'!$J$4:$J$1260, "&lt;&gt;보류*") + COUNTIF('03_보안기사_필기_DB'!$I$4:$M$100, DATE(2026,8,24)+22*7+6) + COUNTIF('04_보안기사_실기_DB'!$G$4:$I$30, DATE(2026,8,24)+22*7+6) + COUNTIF('08_빅분기_필기_DB'!$I$4:$K$34, DATE(2026,8,24)+22*7+6) + COUNTIF('09_빅분기_실기_DB'!$H$4:$I$25, DATE(2026,8,24)+22*7+6)</f>
        <v/>
      </c>
      <c r="Z17" s="97">
        <f>COUNTIFS('02_SWEA_통합_코딩테스트_DB'!$F$4:$F$1260, DATE(2026,8,24)+23*7+6, '02_SWEA_통합_코딩테스트_DB'!$J$4:$J$1260, "&lt;&gt;보류*") + COUNTIFS('02_SWEA_통합_코딩테스트_DB'!$G$4:$G$1260, DATE(2026,8,24)+23*7+6, '02_SWEA_통합_코딩테스트_DB'!$J$4:$J$1260, "&lt;&gt;보류*") + COUNTIFS('02_SWEA_통합_코딩테스트_DB'!$H$4:$H$1260, DATE(2026,8,24)+23*7+6, '02_SWEA_통합_코딩테스트_DB'!$J$4:$J$1260, "&lt;&gt;보류*") + COUNTIFS('02_SWEA_통합_코딩테스트_DB'!$I$4:$I$1260, DATE(2026,8,24)+23*7+6, '02_SWEA_통합_코딩테스트_DB'!$J$4:$J$1260, "&lt;&gt;보류*") + COUNTIF('03_보안기사_필기_DB'!$I$4:$M$100, DATE(2026,8,24)+23*7+6) + COUNTIF('04_보안기사_실기_DB'!$G$4:$I$30, DATE(2026,8,24)+23*7+6) + COUNTIF('08_빅분기_필기_DB'!$I$4:$K$34, DATE(2026,8,24)+23*7+6) + COUNTIF('09_빅분기_실기_DB'!$H$4:$I$25, DATE(2026,8,24)+23*7+6)</f>
        <v/>
      </c>
      <c r="AA17" s="97">
        <f>COUNTIFS('02_SWEA_통합_코딩테스트_DB'!$F$4:$F$1260, DATE(2026,8,24)+24*7+6, '02_SWEA_통합_코딩테스트_DB'!$J$4:$J$1260, "&lt;&gt;보류*") + COUNTIFS('02_SWEA_통합_코딩테스트_DB'!$G$4:$G$1260, DATE(2026,8,24)+24*7+6, '02_SWEA_통합_코딩테스트_DB'!$J$4:$J$1260, "&lt;&gt;보류*") + COUNTIFS('02_SWEA_통합_코딩테스트_DB'!$H$4:$H$1260, DATE(2026,8,24)+24*7+6, '02_SWEA_통합_코딩테스트_DB'!$J$4:$J$1260, "&lt;&gt;보류*") + COUNTIFS('02_SWEA_통합_코딩테스트_DB'!$I$4:$I$1260, DATE(2026,8,24)+24*7+6, '02_SWEA_통합_코딩테스트_DB'!$J$4:$J$1260, "&lt;&gt;보류*") + COUNTIF('03_보안기사_필기_DB'!$I$4:$M$100, DATE(2026,8,24)+24*7+6) + COUNTIF('04_보안기사_실기_DB'!$G$4:$I$30, DATE(2026,8,24)+24*7+6) + COUNTIF('08_빅분기_필기_DB'!$I$4:$K$34, DATE(2026,8,24)+24*7+6) + COUNTIF('09_빅분기_실기_DB'!$H$4:$I$25, DATE(2026,8,24)+24*7+6)</f>
        <v/>
      </c>
      <c r="AB17" s="97">
        <f>COUNTIFS('02_SWEA_통합_코딩테스트_DB'!$F$4:$F$1260, DATE(2026,8,24)+25*7+6, '02_SWEA_통합_코딩테스트_DB'!$J$4:$J$1260, "&lt;&gt;보류*") + COUNTIFS('02_SWEA_통합_코딩테스트_DB'!$G$4:$G$1260, DATE(2026,8,24)+25*7+6, '02_SWEA_통합_코딩테스트_DB'!$J$4:$J$1260, "&lt;&gt;보류*") + COUNTIFS('02_SWEA_통합_코딩테스트_DB'!$H$4:$H$1260, DATE(2026,8,24)+25*7+6, '02_SWEA_통합_코딩테스트_DB'!$J$4:$J$1260, "&lt;&gt;보류*") + COUNTIFS('02_SWEA_통합_코딩테스트_DB'!$I$4:$I$1260, DATE(2026,8,24)+25*7+6, '02_SWEA_통합_코딩테스트_DB'!$J$4:$J$1260, "&lt;&gt;보류*") + COUNTIF('03_보안기사_필기_DB'!$I$4:$M$100, DATE(2026,8,24)+25*7+6) + COUNTIF('04_보안기사_실기_DB'!$G$4:$I$30, DATE(2026,8,24)+25*7+6) + COUNTIF('08_빅분기_필기_DB'!$I$4:$K$34, DATE(2026,8,24)+25*7+6) + COUNTIF('09_빅분기_실기_DB'!$H$4:$I$25, DATE(2026,8,24)+25*7+6)</f>
        <v/>
      </c>
      <c r="AC17" s="97">
        <f>COUNTIFS('02_SWEA_통합_코딩테스트_DB'!$F$4:$F$1260, DATE(2026,8,24)+26*7+6, '02_SWEA_통합_코딩테스트_DB'!$J$4:$J$1260, "&lt;&gt;보류*") + COUNTIFS('02_SWEA_통합_코딩테스트_DB'!$G$4:$G$1260, DATE(2026,8,24)+26*7+6, '02_SWEA_통합_코딩테스트_DB'!$J$4:$J$1260, "&lt;&gt;보류*") + COUNTIFS('02_SWEA_통합_코딩테스트_DB'!$H$4:$H$1260, DATE(2026,8,24)+26*7+6, '02_SWEA_통합_코딩테스트_DB'!$J$4:$J$1260, "&lt;&gt;보류*") + COUNTIFS('02_SWEA_통합_코딩테스트_DB'!$I$4:$I$1260, DATE(2026,8,24)+26*7+6, '02_SWEA_통합_코딩테스트_DB'!$J$4:$J$1260, "&lt;&gt;보류*") + COUNTIF('03_보안기사_필기_DB'!$I$4:$M$100, DATE(2026,8,24)+26*7+6) + COUNTIF('04_보안기사_실기_DB'!$G$4:$I$30, DATE(2026,8,24)+26*7+6) + COUNTIF('08_빅분기_필기_DB'!$I$4:$K$34, DATE(2026,8,24)+26*7+6) + COUNTIF('09_빅분기_실기_DB'!$H$4:$I$25, DATE(2026,8,24)+26*7+6)</f>
        <v/>
      </c>
      <c r="AD17" s="97">
        <f>COUNTIFS('02_SWEA_통합_코딩테스트_DB'!$F$4:$F$1260, DATE(2026,8,24)+27*7+6, '02_SWEA_통합_코딩테스트_DB'!$J$4:$J$1260, "&lt;&gt;보류*") + COUNTIFS('02_SWEA_통합_코딩테스트_DB'!$G$4:$G$1260, DATE(2026,8,24)+27*7+6, '02_SWEA_통합_코딩테스트_DB'!$J$4:$J$1260, "&lt;&gt;보류*") + COUNTIFS('02_SWEA_통합_코딩테스트_DB'!$H$4:$H$1260, DATE(2026,8,24)+27*7+6, '02_SWEA_통합_코딩테스트_DB'!$J$4:$J$1260, "&lt;&gt;보류*") + COUNTIFS('02_SWEA_통합_코딩테스트_DB'!$I$4:$I$1260, DATE(2026,8,24)+27*7+6, '02_SWEA_통합_코딩테스트_DB'!$J$4:$J$1260, "&lt;&gt;보류*") + COUNTIF('03_보안기사_필기_DB'!$I$4:$M$100, DATE(2026,8,24)+27*7+6) + COUNTIF('04_보안기사_실기_DB'!$G$4:$I$30, DATE(2026,8,24)+27*7+6) + COUNTIF('08_빅분기_필기_DB'!$I$4:$K$34, DATE(2026,8,24)+27*7+6) + COUNTIF('09_빅분기_실기_DB'!$H$4:$I$25, DATE(2026,8,24)+27*7+6)</f>
        <v/>
      </c>
      <c r="AE17" s="97">
        <f>COUNTIFS('02_SWEA_통합_코딩테스트_DB'!$F$4:$F$1260, DATE(2026,8,24)+28*7+6, '02_SWEA_통합_코딩테스트_DB'!$J$4:$J$1260, "&lt;&gt;보류*") + COUNTIFS('02_SWEA_통합_코딩테스트_DB'!$G$4:$G$1260, DATE(2026,8,24)+28*7+6, '02_SWEA_통합_코딩테스트_DB'!$J$4:$J$1260, "&lt;&gt;보류*") + COUNTIFS('02_SWEA_통합_코딩테스트_DB'!$H$4:$H$1260, DATE(2026,8,24)+28*7+6, '02_SWEA_통합_코딩테스트_DB'!$J$4:$J$1260, "&lt;&gt;보류*") + COUNTIFS('02_SWEA_통합_코딩테스트_DB'!$I$4:$I$1260, DATE(2026,8,24)+28*7+6, '02_SWEA_통합_코딩테스트_DB'!$J$4:$J$1260, "&lt;&gt;보류*") + COUNTIF('03_보안기사_필기_DB'!$I$4:$M$100, DATE(2026,8,24)+28*7+6) + COUNTIF('04_보안기사_실기_DB'!$G$4:$I$30, DATE(2026,8,24)+28*7+6) + COUNTIF('08_빅분기_필기_DB'!$I$4:$K$34, DATE(2026,8,24)+28*7+6) + COUNTIF('09_빅분기_실기_DB'!$H$4:$I$25, DATE(2026,8,24)+28*7+6)</f>
        <v/>
      </c>
      <c r="AF17" s="97">
        <f>COUNTIFS('02_SWEA_통합_코딩테스트_DB'!$F$4:$F$1260, DATE(2026,8,24)+29*7+6, '02_SWEA_통합_코딩테스트_DB'!$J$4:$J$1260, "&lt;&gt;보류*") + COUNTIFS('02_SWEA_통합_코딩테스트_DB'!$G$4:$G$1260, DATE(2026,8,24)+29*7+6, '02_SWEA_통합_코딩테스트_DB'!$J$4:$J$1260, "&lt;&gt;보류*") + COUNTIFS('02_SWEA_통합_코딩테스트_DB'!$H$4:$H$1260, DATE(2026,8,24)+29*7+6, '02_SWEA_통합_코딩테스트_DB'!$J$4:$J$1260, "&lt;&gt;보류*") + COUNTIFS('02_SWEA_통합_코딩테스트_DB'!$I$4:$I$1260, DATE(2026,8,24)+29*7+6, '02_SWEA_통합_코딩테스트_DB'!$J$4:$J$1260, "&lt;&gt;보류*") + COUNTIF('03_보안기사_필기_DB'!$I$4:$M$100, DATE(2026,8,24)+29*7+6) + COUNTIF('04_보안기사_실기_DB'!$G$4:$I$30, DATE(2026,8,24)+29*7+6) + COUNTIF('08_빅분기_필기_DB'!$I$4:$K$34, DATE(2026,8,24)+29*7+6) + COUNTIF('09_빅분기_실기_DB'!$H$4:$I$25, DATE(2026,8,24)+29*7+6)</f>
        <v/>
      </c>
      <c r="AG17" s="97">
        <f>COUNTIFS('02_SWEA_통합_코딩테스트_DB'!$F$4:$F$1260, DATE(2026,8,24)+30*7+6, '02_SWEA_통합_코딩테스트_DB'!$J$4:$J$1260, "&lt;&gt;보류*") + COUNTIFS('02_SWEA_통합_코딩테스트_DB'!$G$4:$G$1260, DATE(2026,8,24)+30*7+6, '02_SWEA_통합_코딩테스트_DB'!$J$4:$J$1260, "&lt;&gt;보류*") + COUNTIFS('02_SWEA_통합_코딩테스트_DB'!$H$4:$H$1260, DATE(2026,8,24)+30*7+6, '02_SWEA_통합_코딩테스트_DB'!$J$4:$J$1260, "&lt;&gt;보류*") + COUNTIFS('02_SWEA_통합_코딩테스트_DB'!$I$4:$I$1260, DATE(2026,8,24)+30*7+6, '02_SWEA_통합_코딩테스트_DB'!$J$4:$J$1260, "&lt;&gt;보류*") + COUNTIF('03_보안기사_필기_DB'!$I$4:$M$100, DATE(2026,8,24)+30*7+6) + COUNTIF('04_보안기사_실기_DB'!$G$4:$I$30, DATE(2026,8,24)+30*7+6) + COUNTIF('08_빅분기_필기_DB'!$I$4:$K$34, DATE(2026,8,24)+30*7+6) + COUNTIF('09_빅분기_실기_DB'!$H$4:$I$25, DATE(2026,8,24)+30*7+6)</f>
        <v/>
      </c>
      <c r="AH17" s="97">
        <f>COUNTIFS('02_SWEA_통합_코딩테스트_DB'!$F$4:$F$1260, DATE(2026,8,24)+31*7+6, '02_SWEA_통합_코딩테스트_DB'!$J$4:$J$1260, "&lt;&gt;보류*") + COUNTIFS('02_SWEA_통합_코딩테스트_DB'!$G$4:$G$1260, DATE(2026,8,24)+31*7+6, '02_SWEA_통합_코딩테스트_DB'!$J$4:$J$1260, "&lt;&gt;보류*") + COUNTIFS('02_SWEA_통합_코딩테스트_DB'!$H$4:$H$1260, DATE(2026,8,24)+31*7+6, '02_SWEA_통합_코딩테스트_DB'!$J$4:$J$1260, "&lt;&gt;보류*") + COUNTIFS('02_SWEA_통합_코딩테스트_DB'!$I$4:$I$1260, DATE(2026,8,24)+31*7+6, '02_SWEA_통합_코딩테스트_DB'!$J$4:$J$1260, "&lt;&gt;보류*") + COUNTIF('03_보안기사_필기_DB'!$I$4:$M$100, DATE(2026,8,24)+31*7+6) + COUNTIF('04_보안기사_실기_DB'!$G$4:$I$30, DATE(2026,8,24)+31*7+6) + COUNTIF('08_빅분기_필기_DB'!$I$4:$K$34, DATE(2026,8,24)+31*7+6) + COUNTIF('09_빅분기_실기_DB'!$H$4:$I$25, DATE(2026,8,24)+31*7+6)</f>
        <v/>
      </c>
      <c r="AI17" s="97">
        <f>COUNTIFS('02_SWEA_통합_코딩테스트_DB'!$F$4:$F$1260, DATE(2026,8,24)+32*7+6, '02_SWEA_통합_코딩테스트_DB'!$J$4:$J$1260, "&lt;&gt;보류*") + COUNTIFS('02_SWEA_통합_코딩테스트_DB'!$G$4:$G$1260, DATE(2026,8,24)+32*7+6, '02_SWEA_통합_코딩테스트_DB'!$J$4:$J$1260, "&lt;&gt;보류*") + COUNTIFS('02_SWEA_통합_코딩테스트_DB'!$H$4:$H$1260, DATE(2026,8,24)+32*7+6, '02_SWEA_통합_코딩테스트_DB'!$J$4:$J$1260, "&lt;&gt;보류*") + COUNTIFS('02_SWEA_통합_코딩테스트_DB'!$I$4:$I$1260, DATE(2026,8,24)+32*7+6, '02_SWEA_통합_코딩테스트_DB'!$J$4:$J$1260, "&lt;&gt;보류*") + COUNTIF('03_보안기사_필기_DB'!$I$4:$M$100, DATE(2026,8,24)+32*7+6) + COUNTIF('04_보안기사_실기_DB'!$G$4:$I$30, DATE(2026,8,24)+32*7+6) + COUNTIF('08_빅분기_필기_DB'!$I$4:$K$34, DATE(2026,8,24)+32*7+6) + COUNTIF('09_빅분기_실기_DB'!$H$4:$I$25, DATE(2026,8,24)+32*7+6)</f>
        <v/>
      </c>
      <c r="AJ17" s="97">
        <f>COUNTIFS('02_SWEA_통합_코딩테스트_DB'!$F$4:$F$1260, DATE(2026,8,24)+33*7+6, '02_SWEA_통합_코딩테스트_DB'!$J$4:$J$1260, "&lt;&gt;보류*") + COUNTIFS('02_SWEA_통합_코딩테스트_DB'!$G$4:$G$1260, DATE(2026,8,24)+33*7+6, '02_SWEA_통합_코딩테스트_DB'!$J$4:$J$1260, "&lt;&gt;보류*") + COUNTIFS('02_SWEA_통합_코딩테스트_DB'!$H$4:$H$1260, DATE(2026,8,24)+33*7+6, '02_SWEA_통합_코딩테스트_DB'!$J$4:$J$1260, "&lt;&gt;보류*") + COUNTIFS('02_SWEA_통합_코딩테스트_DB'!$I$4:$I$1260, DATE(2026,8,24)+33*7+6, '02_SWEA_통합_코딩테스트_DB'!$J$4:$J$1260, "&lt;&gt;보류*") + COUNTIF('03_보안기사_필기_DB'!$I$4:$M$100, DATE(2026,8,24)+33*7+6) + COUNTIF('04_보안기사_실기_DB'!$G$4:$I$30, DATE(2026,8,24)+33*7+6) + COUNTIF('08_빅분기_필기_DB'!$I$4:$K$34, DATE(2026,8,24)+33*7+6) + COUNTIF('09_빅분기_실기_DB'!$H$4:$I$25, DATE(2026,8,24)+33*7+6)</f>
        <v/>
      </c>
      <c r="AK17" s="97">
        <f>COUNTIFS('02_SWEA_통합_코딩테스트_DB'!$F$4:$F$1260, DATE(2026,8,24)+34*7+6, '02_SWEA_통합_코딩테스트_DB'!$J$4:$J$1260, "&lt;&gt;보류*") + COUNTIFS('02_SWEA_통합_코딩테스트_DB'!$G$4:$G$1260, DATE(2026,8,24)+34*7+6, '02_SWEA_통합_코딩테스트_DB'!$J$4:$J$1260, "&lt;&gt;보류*") + COUNTIFS('02_SWEA_통합_코딩테스트_DB'!$H$4:$H$1260, DATE(2026,8,24)+34*7+6, '02_SWEA_통합_코딩테스트_DB'!$J$4:$J$1260, "&lt;&gt;보류*") + COUNTIFS('02_SWEA_통합_코딩테스트_DB'!$I$4:$I$1260, DATE(2026,8,24)+34*7+6, '02_SWEA_통합_코딩테스트_DB'!$J$4:$J$1260, "&lt;&gt;보류*") + COUNTIF('03_보안기사_필기_DB'!$I$4:$M$100, DATE(2026,8,24)+34*7+6) + COUNTIF('04_보안기사_실기_DB'!$G$4:$I$30, DATE(2026,8,24)+34*7+6) + COUNTIF('08_빅분기_필기_DB'!$I$4:$K$34, DATE(2026,8,24)+34*7+6) + COUNTIF('09_빅분기_실기_DB'!$H$4:$I$25, DATE(2026,8,24)+34*7+6)</f>
        <v/>
      </c>
      <c r="AL17" s="97">
        <f>COUNTIFS('02_SWEA_통합_코딩테스트_DB'!$F$4:$F$1260, DATE(2026,8,24)+35*7+6, '02_SWEA_통합_코딩테스트_DB'!$J$4:$J$1260, "&lt;&gt;보류*") + COUNTIFS('02_SWEA_통합_코딩테스트_DB'!$G$4:$G$1260, DATE(2026,8,24)+35*7+6, '02_SWEA_통합_코딩테스트_DB'!$J$4:$J$1260, "&lt;&gt;보류*") + COUNTIFS('02_SWEA_통합_코딩테스트_DB'!$H$4:$H$1260, DATE(2026,8,24)+35*7+6, '02_SWEA_통합_코딩테스트_DB'!$J$4:$J$1260, "&lt;&gt;보류*") + COUNTIFS('02_SWEA_통합_코딩테스트_DB'!$I$4:$I$1260, DATE(2026,8,24)+35*7+6, '02_SWEA_통합_코딩테스트_DB'!$J$4:$J$1260, "&lt;&gt;보류*") + COUNTIF('03_보안기사_필기_DB'!$I$4:$M$100, DATE(2026,8,24)+35*7+6) + COUNTIF('04_보안기사_실기_DB'!$G$4:$I$30, DATE(2026,8,24)+35*7+6) + COUNTIF('08_빅분기_필기_DB'!$I$4:$K$34, DATE(2026,8,24)+35*7+6) + COUNTIF('09_빅분기_실기_DB'!$H$4:$I$25, DATE(2026,8,24)+35*7+6)</f>
        <v/>
      </c>
      <c r="AM17" s="97">
        <f>COUNTIFS('02_SWEA_통합_코딩테스트_DB'!$F$4:$F$1260, DATE(2026,8,24)+36*7+6, '02_SWEA_통합_코딩테스트_DB'!$J$4:$J$1260, "&lt;&gt;보류*") + COUNTIFS('02_SWEA_통합_코딩테스트_DB'!$G$4:$G$1260, DATE(2026,8,24)+36*7+6, '02_SWEA_통합_코딩테스트_DB'!$J$4:$J$1260, "&lt;&gt;보류*") + COUNTIFS('02_SWEA_통합_코딩테스트_DB'!$H$4:$H$1260, DATE(2026,8,24)+36*7+6, '02_SWEA_통합_코딩테스트_DB'!$J$4:$J$1260, "&lt;&gt;보류*") + COUNTIFS('02_SWEA_통합_코딩테스트_DB'!$I$4:$I$1260, DATE(2026,8,24)+36*7+6, '02_SWEA_통합_코딩테스트_DB'!$J$4:$J$1260, "&lt;&gt;보류*") + COUNTIF('03_보안기사_필기_DB'!$I$4:$M$100, DATE(2026,8,24)+36*7+6) + COUNTIF('04_보안기사_실기_DB'!$G$4:$I$30, DATE(2026,8,24)+36*7+6) + COUNTIF('08_빅분기_필기_DB'!$I$4:$K$34, DATE(2026,8,24)+36*7+6) + COUNTIF('09_빅분기_실기_DB'!$H$4:$I$25, DATE(2026,8,24)+36*7+6)</f>
        <v/>
      </c>
      <c r="AN17" s="97">
        <f>COUNTIFS('02_SWEA_통합_코딩테스트_DB'!$F$4:$F$1260, DATE(2026,8,24)+37*7+6, '02_SWEA_통합_코딩테스트_DB'!$J$4:$J$1260, "&lt;&gt;보류*") + COUNTIFS('02_SWEA_통합_코딩테스트_DB'!$G$4:$G$1260, DATE(2026,8,24)+37*7+6, '02_SWEA_통합_코딩테스트_DB'!$J$4:$J$1260, "&lt;&gt;보류*") + COUNTIFS('02_SWEA_통합_코딩테스트_DB'!$H$4:$H$1260, DATE(2026,8,24)+37*7+6, '02_SWEA_통합_코딩테스트_DB'!$J$4:$J$1260, "&lt;&gt;보류*") + COUNTIFS('02_SWEA_통합_코딩테스트_DB'!$I$4:$I$1260, DATE(2026,8,24)+37*7+6, '02_SWEA_통합_코딩테스트_DB'!$J$4:$J$1260, "&lt;&gt;보류*") + COUNTIF('03_보안기사_필기_DB'!$I$4:$M$100, DATE(2026,8,24)+37*7+6) + COUNTIF('04_보안기사_실기_DB'!$G$4:$I$30, DATE(2026,8,24)+37*7+6) + COUNTIF('08_빅분기_필기_DB'!$I$4:$K$34, DATE(2026,8,24)+37*7+6) + COUNTIF('09_빅분기_실기_DB'!$H$4:$I$25, DATE(2026,8,24)+37*7+6)</f>
        <v/>
      </c>
      <c r="AO17" s="97">
        <f>COUNTIFS('02_SWEA_통합_코딩테스트_DB'!$F$4:$F$1260, DATE(2026,8,24)+38*7+6, '02_SWEA_통합_코딩테스트_DB'!$J$4:$J$1260, "&lt;&gt;보류*") + COUNTIFS('02_SWEA_통합_코딩테스트_DB'!$G$4:$G$1260, DATE(2026,8,24)+38*7+6, '02_SWEA_통합_코딩테스트_DB'!$J$4:$J$1260, "&lt;&gt;보류*") + COUNTIFS('02_SWEA_통합_코딩테스트_DB'!$H$4:$H$1260, DATE(2026,8,24)+38*7+6, '02_SWEA_통합_코딩테스트_DB'!$J$4:$J$1260, "&lt;&gt;보류*") + COUNTIFS('02_SWEA_통합_코딩테스트_DB'!$I$4:$I$1260, DATE(2026,8,24)+38*7+6, '02_SWEA_통합_코딩테스트_DB'!$J$4:$J$1260, "&lt;&gt;보류*") + COUNTIF('03_보안기사_필기_DB'!$I$4:$M$100, DATE(2026,8,24)+38*7+6) + COUNTIF('04_보안기사_실기_DB'!$G$4:$I$30, DATE(2026,8,24)+38*7+6) + COUNTIF('08_빅분기_필기_DB'!$I$4:$K$34, DATE(2026,8,24)+38*7+6) + COUNTIF('09_빅분기_실기_DB'!$H$4:$I$25, DATE(2026,8,24)+38*7+6)</f>
        <v/>
      </c>
      <c r="AP17" s="97">
        <f>COUNTIFS('02_SWEA_통합_코딩테스트_DB'!$F$4:$F$1260, DATE(2026,8,24)+39*7+6, '02_SWEA_통합_코딩테스트_DB'!$J$4:$J$1260, "&lt;&gt;보류*") + COUNTIFS('02_SWEA_통합_코딩테스트_DB'!$G$4:$G$1260, DATE(2026,8,24)+39*7+6, '02_SWEA_통합_코딩테스트_DB'!$J$4:$J$1260, "&lt;&gt;보류*") + COUNTIFS('02_SWEA_통합_코딩테스트_DB'!$H$4:$H$1260, DATE(2026,8,24)+39*7+6, '02_SWEA_통합_코딩테스트_DB'!$J$4:$J$1260, "&lt;&gt;보류*") + COUNTIFS('02_SWEA_통합_코딩테스트_DB'!$I$4:$I$1260, DATE(2026,8,24)+39*7+6, '02_SWEA_통합_코딩테스트_DB'!$J$4:$J$1260, "&lt;&gt;보류*") + COUNTIF('03_보안기사_필기_DB'!$I$4:$M$100, DATE(2026,8,24)+39*7+6) + COUNTIF('04_보안기사_실기_DB'!$G$4:$I$30, DATE(2026,8,24)+39*7+6) + COUNTIF('08_빅분기_필기_DB'!$I$4:$K$34, DATE(2026,8,24)+39*7+6) + COUNTIF('09_빅분기_실기_DB'!$H$4:$I$25, DATE(2026,8,24)+39*7+6)</f>
        <v/>
      </c>
      <c r="AQ17" s="97">
        <f>COUNTIFS('02_SWEA_통합_코딩테스트_DB'!$F$4:$F$1260, DATE(2026,8,24)+40*7+6, '02_SWEA_통합_코딩테스트_DB'!$J$4:$J$1260, "&lt;&gt;보류*") + COUNTIFS('02_SWEA_통합_코딩테스트_DB'!$G$4:$G$1260, DATE(2026,8,24)+40*7+6, '02_SWEA_통합_코딩테스트_DB'!$J$4:$J$1260, "&lt;&gt;보류*") + COUNTIFS('02_SWEA_통합_코딩테스트_DB'!$H$4:$H$1260, DATE(2026,8,24)+40*7+6, '02_SWEA_통합_코딩테스트_DB'!$J$4:$J$1260, "&lt;&gt;보류*") + COUNTIFS('02_SWEA_통합_코딩테스트_DB'!$I$4:$I$1260, DATE(2026,8,24)+40*7+6, '02_SWEA_통합_코딩테스트_DB'!$J$4:$J$1260, "&lt;&gt;보류*") + COUNTIF('03_보안기사_필기_DB'!$I$4:$M$100, DATE(2026,8,24)+40*7+6) + COUNTIF('04_보안기사_실기_DB'!$G$4:$I$30, DATE(2026,8,24)+40*7+6) + COUNTIF('08_빅분기_필기_DB'!$I$4:$K$34, DATE(2026,8,24)+40*7+6) + COUNTIF('09_빅분기_실기_DB'!$H$4:$I$25, DATE(2026,8,24)+40*7+6)</f>
        <v/>
      </c>
      <c r="AR17" s="97">
        <f>COUNTIFS('02_SWEA_통합_코딩테스트_DB'!$F$4:$F$1260, DATE(2026,8,24)+41*7+6, '02_SWEA_통합_코딩테스트_DB'!$J$4:$J$1260, "&lt;&gt;보류*") + COUNTIFS('02_SWEA_통합_코딩테스트_DB'!$G$4:$G$1260, DATE(2026,8,24)+41*7+6, '02_SWEA_통합_코딩테스트_DB'!$J$4:$J$1260, "&lt;&gt;보류*") + COUNTIFS('02_SWEA_통합_코딩테스트_DB'!$H$4:$H$1260, DATE(2026,8,24)+41*7+6, '02_SWEA_통합_코딩테스트_DB'!$J$4:$J$1260, "&lt;&gt;보류*") + COUNTIFS('02_SWEA_통합_코딩테스트_DB'!$I$4:$I$1260, DATE(2026,8,24)+41*7+6, '02_SWEA_통합_코딩테스트_DB'!$J$4:$J$1260, "&lt;&gt;보류*") + COUNTIF('03_보안기사_필기_DB'!$I$4:$M$100, DATE(2026,8,24)+41*7+6) + COUNTIF('04_보안기사_실기_DB'!$G$4:$I$30, DATE(2026,8,24)+41*7+6) + COUNTIF('08_빅분기_필기_DB'!$I$4:$K$34, DATE(2026,8,24)+41*7+6) + COUNTIF('09_빅분기_실기_DB'!$H$4:$I$25, DATE(2026,8,24)+41*7+6)</f>
        <v/>
      </c>
      <c r="AS17" s="97">
        <f>COUNTIFS('02_SWEA_통합_코딩테스트_DB'!$F$4:$F$1260, DATE(2026,8,24)+42*7+6, '02_SWEA_통합_코딩테스트_DB'!$J$4:$J$1260, "&lt;&gt;보류*") + COUNTIFS('02_SWEA_통합_코딩테스트_DB'!$G$4:$G$1260, DATE(2026,8,24)+42*7+6, '02_SWEA_통합_코딩테스트_DB'!$J$4:$J$1260, "&lt;&gt;보류*") + COUNTIFS('02_SWEA_통합_코딩테스트_DB'!$H$4:$H$1260, DATE(2026,8,24)+42*7+6, '02_SWEA_통합_코딩테스트_DB'!$J$4:$J$1260, "&lt;&gt;보류*") + COUNTIFS('02_SWEA_통합_코딩테스트_DB'!$I$4:$I$1260, DATE(2026,8,24)+42*7+6, '02_SWEA_통합_코딩테스트_DB'!$J$4:$J$1260, "&lt;&gt;보류*") + COUNTIF('03_보안기사_필기_DB'!$I$4:$M$100, DATE(2026,8,24)+42*7+6) + COUNTIF('04_보안기사_실기_DB'!$G$4:$I$30, DATE(2026,8,24)+42*7+6) + COUNTIF('08_빅분기_필기_DB'!$I$4:$K$34, DATE(2026,8,24)+42*7+6) + COUNTIF('09_빅분기_실기_DB'!$H$4:$I$25, DATE(2026,8,24)+42*7+6)</f>
        <v/>
      </c>
      <c r="AT17" s="97">
        <f>COUNTIFS('02_SWEA_통합_코딩테스트_DB'!$F$4:$F$1260, DATE(2026,8,24)+43*7+6, '02_SWEA_통합_코딩테스트_DB'!$J$4:$J$1260, "&lt;&gt;보류*") + COUNTIFS('02_SWEA_통합_코딩테스트_DB'!$G$4:$G$1260, DATE(2026,8,24)+43*7+6, '02_SWEA_통합_코딩테스트_DB'!$J$4:$J$1260, "&lt;&gt;보류*") + COUNTIFS('02_SWEA_통합_코딩테스트_DB'!$H$4:$H$1260, DATE(2026,8,24)+43*7+6, '02_SWEA_통합_코딩테스트_DB'!$J$4:$J$1260, "&lt;&gt;보류*") + COUNTIFS('02_SWEA_통합_코딩테스트_DB'!$I$4:$I$1260, DATE(2026,8,24)+43*7+6, '02_SWEA_통합_코딩테스트_DB'!$J$4:$J$1260, "&lt;&gt;보류*") + COUNTIF('03_보안기사_필기_DB'!$I$4:$M$100, DATE(2026,8,24)+43*7+6) + COUNTIF('04_보안기사_실기_DB'!$G$4:$I$30, DATE(2026,8,24)+43*7+6) + COUNTIF('08_빅분기_필기_DB'!$I$4:$K$34, DATE(2026,8,24)+43*7+6) + COUNTIF('09_빅분기_실기_DB'!$H$4:$I$25, DATE(2026,8,24)+43*7+6)</f>
        <v/>
      </c>
      <c r="AU17" s="97">
        <f>COUNTIFS('02_SWEA_통합_코딩테스트_DB'!$F$4:$F$1260, DATE(2026,8,24)+44*7+6, '02_SWEA_통합_코딩테스트_DB'!$J$4:$J$1260, "&lt;&gt;보류*") + COUNTIFS('02_SWEA_통합_코딩테스트_DB'!$G$4:$G$1260, DATE(2026,8,24)+44*7+6, '02_SWEA_통합_코딩테스트_DB'!$J$4:$J$1260, "&lt;&gt;보류*") + COUNTIFS('02_SWEA_통합_코딩테스트_DB'!$H$4:$H$1260, DATE(2026,8,24)+44*7+6, '02_SWEA_통합_코딩테스트_DB'!$J$4:$J$1260, "&lt;&gt;보류*") + COUNTIFS('02_SWEA_통합_코딩테스트_DB'!$I$4:$I$1260, DATE(2026,8,24)+44*7+6, '02_SWEA_통합_코딩테스트_DB'!$J$4:$J$1260, "&lt;&gt;보류*") + COUNTIF('03_보안기사_필기_DB'!$I$4:$M$100, DATE(2026,8,24)+44*7+6) + COUNTIF('04_보안기사_실기_DB'!$G$4:$I$30, DATE(2026,8,24)+44*7+6) + COUNTIF('08_빅분기_필기_DB'!$I$4:$K$34, DATE(2026,8,24)+44*7+6) + COUNTIF('09_빅분기_실기_DB'!$H$4:$I$25, DATE(2026,8,24)+44*7+6)</f>
        <v/>
      </c>
      <c r="AV17" s="97">
        <f>COUNTIFS('02_SWEA_통합_코딩테스트_DB'!$F$4:$F$1260, DATE(2026,8,24)+45*7+6, '02_SWEA_통합_코딩테스트_DB'!$J$4:$J$1260, "&lt;&gt;보류*") + COUNTIFS('02_SWEA_통합_코딩테스트_DB'!$G$4:$G$1260, DATE(2026,8,24)+45*7+6, '02_SWEA_통합_코딩테스트_DB'!$J$4:$J$1260, "&lt;&gt;보류*") + COUNTIFS('02_SWEA_통합_코딩테스트_DB'!$H$4:$H$1260, DATE(2026,8,24)+45*7+6, '02_SWEA_통합_코딩테스트_DB'!$J$4:$J$1260, "&lt;&gt;보류*") + COUNTIFS('02_SWEA_통합_코딩테스트_DB'!$I$4:$I$1260, DATE(2026,8,24)+45*7+6, '02_SWEA_통합_코딩테스트_DB'!$J$4:$J$1260, "&lt;&gt;보류*") + COUNTIF('03_보안기사_필기_DB'!$I$4:$M$100, DATE(2026,8,24)+45*7+6) + COUNTIF('04_보안기사_실기_DB'!$G$4:$I$30, DATE(2026,8,24)+45*7+6) + COUNTIF('08_빅분기_필기_DB'!$I$4:$K$34, DATE(2026,8,24)+45*7+6) + COUNTIF('09_빅분기_실기_DB'!$H$4:$I$25, DATE(2026,8,24)+45*7+6)</f>
        <v/>
      </c>
      <c r="AW17" s="97">
        <f>COUNTIFS('02_SWEA_통합_코딩테스트_DB'!$F$4:$F$1260, DATE(2026,8,24)+46*7+6, '02_SWEA_통합_코딩테스트_DB'!$J$4:$J$1260, "&lt;&gt;보류*") + COUNTIFS('02_SWEA_통합_코딩테스트_DB'!$G$4:$G$1260, DATE(2026,8,24)+46*7+6, '02_SWEA_통합_코딩테스트_DB'!$J$4:$J$1260, "&lt;&gt;보류*") + COUNTIFS('02_SWEA_통합_코딩테스트_DB'!$H$4:$H$1260, DATE(2026,8,24)+46*7+6, '02_SWEA_통합_코딩테스트_DB'!$J$4:$J$1260, "&lt;&gt;보류*") + COUNTIFS('02_SWEA_통합_코딩테스트_DB'!$I$4:$I$1260, DATE(2026,8,24)+46*7+6, '02_SWEA_통합_코딩테스트_DB'!$J$4:$J$1260, "&lt;&gt;보류*") + COUNTIF('03_보안기사_필기_DB'!$I$4:$M$100, DATE(2026,8,24)+46*7+6) + COUNTIF('04_보안기사_실기_DB'!$G$4:$I$30, DATE(2026,8,24)+46*7+6) + COUNTIF('08_빅분기_필기_DB'!$I$4:$K$34, DATE(2026,8,24)+46*7+6) + COUNTIF('09_빅분기_실기_DB'!$H$4:$I$25, DATE(2026,8,24)+46*7+6)</f>
        <v/>
      </c>
      <c r="AX17" s="97">
        <f>COUNTIFS('02_SWEA_통합_코딩테스트_DB'!$F$4:$F$1260, DATE(2026,8,24)+47*7+6, '02_SWEA_통합_코딩테스트_DB'!$J$4:$J$1260, "&lt;&gt;보류*") + COUNTIFS('02_SWEA_통합_코딩테스트_DB'!$G$4:$G$1260, DATE(2026,8,24)+47*7+6, '02_SWEA_통합_코딩테스트_DB'!$J$4:$J$1260, "&lt;&gt;보류*") + COUNTIFS('02_SWEA_통합_코딩테스트_DB'!$H$4:$H$1260, DATE(2026,8,24)+47*7+6, '02_SWEA_통합_코딩테스트_DB'!$J$4:$J$1260, "&lt;&gt;보류*") + COUNTIFS('02_SWEA_통합_코딩테스트_DB'!$I$4:$I$1260, DATE(2026,8,24)+47*7+6, '02_SWEA_통합_코딩테스트_DB'!$J$4:$J$1260, "&lt;&gt;보류*") + COUNTIF('03_보안기사_필기_DB'!$I$4:$M$100, DATE(2026,8,24)+47*7+6) + COUNTIF('04_보안기사_실기_DB'!$G$4:$I$30, DATE(2026,8,24)+47*7+6) + COUNTIF('08_빅분기_필기_DB'!$I$4:$K$34, DATE(2026,8,24)+47*7+6) + COUNTIF('09_빅분기_실기_DB'!$H$4:$I$25, DATE(2026,8,24)+47*7+6)</f>
        <v/>
      </c>
      <c r="AY17" s="97">
        <f>COUNTIFS('02_SWEA_통합_코딩테스트_DB'!$F$4:$F$1260, DATE(2026,8,24)+48*7+6, '02_SWEA_통합_코딩테스트_DB'!$J$4:$J$1260, "&lt;&gt;보류*") + COUNTIFS('02_SWEA_통합_코딩테스트_DB'!$G$4:$G$1260, DATE(2026,8,24)+48*7+6, '02_SWEA_통합_코딩테스트_DB'!$J$4:$J$1260, "&lt;&gt;보류*") + COUNTIFS('02_SWEA_통합_코딩테스트_DB'!$H$4:$H$1260, DATE(2026,8,24)+48*7+6, '02_SWEA_통합_코딩테스트_DB'!$J$4:$J$1260, "&lt;&gt;보류*") + COUNTIFS('02_SWEA_통합_코딩테스트_DB'!$I$4:$I$1260, DATE(2026,8,24)+48*7+6, '02_SWEA_통합_코딩테스트_DB'!$J$4:$J$1260, "&lt;&gt;보류*") + COUNTIF('03_보안기사_필기_DB'!$I$4:$M$100, DATE(2026,8,24)+48*7+6) + COUNTIF('04_보안기사_실기_DB'!$G$4:$I$30, DATE(2026,8,24)+48*7+6) + COUNTIF('08_빅분기_필기_DB'!$I$4:$K$34, DATE(2026,8,24)+48*7+6) + COUNTIF('09_빅분기_실기_DB'!$H$4:$I$25, DATE(2026,8,24)+48*7+6)</f>
        <v/>
      </c>
      <c r="AZ17" s="97">
        <f>COUNTIFS('02_SWEA_통합_코딩테스트_DB'!$F$4:$F$1260, DATE(2026,8,24)+49*7+6, '02_SWEA_통합_코딩테스트_DB'!$J$4:$J$1260, "&lt;&gt;보류*") + COUNTIFS('02_SWEA_통합_코딩테스트_DB'!$G$4:$G$1260, DATE(2026,8,24)+49*7+6, '02_SWEA_통합_코딩테스트_DB'!$J$4:$J$1260, "&lt;&gt;보류*") + COUNTIFS('02_SWEA_통합_코딩테스트_DB'!$H$4:$H$1260, DATE(2026,8,24)+49*7+6, '02_SWEA_통합_코딩테스트_DB'!$J$4:$J$1260, "&lt;&gt;보류*") + COUNTIFS('02_SWEA_통합_코딩테스트_DB'!$I$4:$I$1260, DATE(2026,8,24)+49*7+6, '02_SWEA_통합_코딩테스트_DB'!$J$4:$J$1260, "&lt;&gt;보류*") + COUNTIF('03_보안기사_필기_DB'!$I$4:$M$100, DATE(2026,8,24)+49*7+6) + COUNTIF('04_보안기사_실기_DB'!$G$4:$I$30, DATE(2026,8,24)+49*7+6) + COUNTIF('08_빅분기_필기_DB'!$I$4:$K$34, DATE(2026,8,24)+49*7+6) + COUNTIF('09_빅분기_실기_DB'!$H$4:$I$25, DATE(2026,8,24)+49*7+6)</f>
        <v/>
      </c>
      <c r="BA17" s="97">
        <f>COUNTIFS('02_SWEA_통합_코딩테스트_DB'!$F$4:$F$1260, DATE(2026,8,24)+50*7+6, '02_SWEA_통합_코딩테스트_DB'!$J$4:$J$1260, "&lt;&gt;보류*") + COUNTIFS('02_SWEA_통합_코딩테스트_DB'!$G$4:$G$1260, DATE(2026,8,24)+50*7+6, '02_SWEA_통합_코딩테스트_DB'!$J$4:$J$1260, "&lt;&gt;보류*") + COUNTIFS('02_SWEA_통합_코딩테스트_DB'!$H$4:$H$1260, DATE(2026,8,24)+50*7+6, '02_SWEA_통합_코딩테스트_DB'!$J$4:$J$1260, "&lt;&gt;보류*") + COUNTIFS('02_SWEA_통합_코딩테스트_DB'!$I$4:$I$1260, DATE(2026,8,24)+50*7+6, '02_SWEA_통합_코딩테스트_DB'!$J$4:$J$1260, "&lt;&gt;보류*") + COUNTIF('03_보안기사_필기_DB'!$I$4:$M$100, DATE(2026,8,24)+50*7+6) + COUNTIF('04_보안기사_실기_DB'!$G$4:$I$30, DATE(2026,8,24)+50*7+6) + COUNTIF('08_빅분기_필기_DB'!$I$4:$K$34, DATE(2026,8,24)+50*7+6) + COUNTIF('09_빅분기_실기_DB'!$H$4:$I$25, DATE(2026,8,24)+50*7+6)</f>
        <v/>
      </c>
      <c r="BB17" s="97">
        <f>COUNTIFS('02_SWEA_통합_코딩테스트_DB'!$F$4:$F$1260, DATE(2026,8,24)+51*7+6, '02_SWEA_통합_코딩테스트_DB'!$J$4:$J$1260, "&lt;&gt;보류*") + COUNTIFS('02_SWEA_통합_코딩테스트_DB'!$G$4:$G$1260, DATE(2026,8,24)+51*7+6, '02_SWEA_통합_코딩테스트_DB'!$J$4:$J$1260, "&lt;&gt;보류*") + COUNTIFS('02_SWEA_통합_코딩테스트_DB'!$H$4:$H$1260, DATE(2026,8,24)+51*7+6, '02_SWEA_통합_코딩테스트_DB'!$J$4:$J$1260, "&lt;&gt;보류*") + COUNTIFS('02_SWEA_통합_코딩테스트_DB'!$I$4:$I$1260, DATE(2026,8,24)+51*7+6, '02_SWEA_통합_코딩테스트_DB'!$J$4:$J$1260, "&lt;&gt;보류*") + COUNTIF('03_보안기사_필기_DB'!$I$4:$M$100, DATE(2026,8,24)+51*7+6) + COUNTIF('04_보안기사_실기_DB'!$G$4:$I$30, DATE(2026,8,24)+51*7+6) + COUNTIF('08_빅분기_필기_DB'!$I$4:$K$34, DATE(2026,8,24)+51*7+6) + COUNTIF('09_빅분기_실기_DB'!$H$4:$I$25, DATE(2026,8,24)+51*7+6)</f>
        <v/>
      </c>
      <c r="BC17" s="97">
        <f>COUNTIFS('02_SWEA_통합_코딩테스트_DB'!$F$4:$F$1260, DATE(2026,8,24)+52*7+6, '02_SWEA_통합_코딩테스트_DB'!$J$4:$J$1260, "&lt;&gt;보류*") + COUNTIFS('02_SWEA_통합_코딩테스트_DB'!$G$4:$G$1260, DATE(2026,8,24)+52*7+6, '02_SWEA_통합_코딩테스트_DB'!$J$4:$J$1260, "&lt;&gt;보류*") + COUNTIFS('02_SWEA_통합_코딩테스트_DB'!$H$4:$H$1260, DATE(2026,8,24)+52*7+6, '02_SWEA_통합_코딩테스트_DB'!$J$4:$J$1260, "&lt;&gt;보류*") + COUNTIFS('02_SWEA_통합_코딩테스트_DB'!$I$4:$I$1260, DATE(2026,8,24)+52*7+6, '02_SWEA_통합_코딩테스트_DB'!$J$4:$J$1260, "&lt;&gt;보류*") + COUNTIF('03_보안기사_필기_DB'!$I$4:$M$100, DATE(2026,8,24)+52*7+6) + COUNTIF('04_보안기사_실기_DB'!$G$4:$I$30, DATE(2026,8,24)+52*7+6)</f>
        <v/>
      </c>
      <c r="BD17" s="26" t="n"/>
      <c r="BE17" s="26" t="n"/>
      <c r="BF17" s="26" t="n"/>
      <c r="BG17" s="26" t="n"/>
    </row>
    <row r="18" ht="21.75" customHeight="1" s="209">
      <c r="A18" s="226" t="inlineStr">
        <is>
          <t xml:space="preserve"> 💡 [잔디 범례] Less ⬜ 0개 (미활동)   🟩 1~2개 (연두)   🟩 3~4개 (녹색)   🟩 5~6개 (진녹색)   🟩 7개+ (초록숲) More  |  ※ 02번 코테 DB &amp; 03/08/09번 자격증 DB 100% 자동 집계</t>
        </is>
      </c>
      <c r="BD18" s="26" t="n"/>
      <c r="BE18" s="26" t="n"/>
      <c r="BF18" s="26" t="n"/>
      <c r="BG18" s="26" t="n"/>
    </row>
    <row r="19" ht="21.75" customHeight="1" s="20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6" t="n"/>
      <c r="BE19" s="26" t="n"/>
      <c r="BF19" s="26" t="n"/>
      <c r="BG19" s="26" t="n"/>
    </row>
    <row r="20" ht="21.75" customHeight="1" s="209">
      <c r="A20" s="227" t="inlineStr">
        <is>
          <t>🧭 [실시간 목표 페이싱 vs 현재 실행 진도 진단] "목표 계획 대비 현재 실제 실행 실적 및 진도 갭"</t>
        </is>
      </c>
      <c r="BD20" s="26" t="n"/>
      <c r="BE20" s="26" t="n"/>
      <c r="BF20" s="26" t="n"/>
      <c r="BG20" s="26" t="n"/>
    </row>
    <row r="21" ht="19.5" customHeight="1" s="209">
      <c r="A21" s="228" t="inlineStr">
        <is>
          <t>구분 트랙</t>
        </is>
      </c>
      <c r="B21" s="213" t="n"/>
      <c r="C21" s="213" t="n"/>
      <c r="D21" s="213" t="n"/>
      <c r="E21" s="213" t="n"/>
      <c r="F21" s="213" t="n"/>
      <c r="G21" s="213" t="n"/>
      <c r="H21" s="214" t="n"/>
      <c r="I21" s="228" t="inlineStr">
        <is>
          <t>🎯 지금 계획상 완료 목표 (Plan)</t>
        </is>
      </c>
      <c r="J21" s="213" t="n"/>
      <c r="K21" s="213" t="n"/>
      <c r="L21" s="213" t="n"/>
      <c r="M21" s="213" t="n"/>
      <c r="N21" s="213" t="n"/>
      <c r="O21" s="213" t="n"/>
      <c r="P21" s="213" t="n"/>
      <c r="Q21" s="213" t="n"/>
      <c r="R21" s="213" t="n"/>
      <c r="S21" s="213" t="n"/>
      <c r="T21" s="213" t="n"/>
      <c r="U21" s="213" t="n"/>
      <c r="V21" s="214" t="n"/>
      <c r="W21" s="228" t="inlineStr">
        <is>
          <t>📍 현재 실제 실행 실적 (Actual)</t>
        </is>
      </c>
      <c r="X21" s="213" t="n"/>
      <c r="Y21" s="213" t="n"/>
      <c r="Z21" s="213" t="n"/>
      <c r="AA21" s="213" t="n"/>
      <c r="AB21" s="213" t="n"/>
      <c r="AC21" s="213" t="n"/>
      <c r="AD21" s="213" t="n"/>
      <c r="AE21" s="213" t="n"/>
      <c r="AF21" s="213" t="n"/>
      <c r="AG21" s="213" t="n"/>
      <c r="AH21" s="213" t="n"/>
      <c r="AI21" s="213" t="n"/>
      <c r="AJ21" s="213" t="n"/>
      <c r="AK21" s="213" t="n"/>
      <c r="AL21" s="214" t="n"/>
      <c r="AM21" s="228" t="inlineStr">
        <is>
          <t>⚖️ 갭(Gap) 및 판정</t>
        </is>
      </c>
      <c r="AN21" s="213" t="n"/>
      <c r="AO21" s="213" t="n"/>
      <c r="AP21" s="213" t="n"/>
      <c r="AQ21" s="213" t="n"/>
      <c r="AR21" s="213" t="n"/>
      <c r="AS21" s="213" t="n"/>
      <c r="AT21" s="213" t="n"/>
      <c r="AU21" s="213" t="n"/>
      <c r="AV21" s="213" t="n"/>
      <c r="AW21" s="213" t="n"/>
      <c r="AX21" s="213" t="n"/>
      <c r="AY21" s="213" t="n"/>
      <c r="AZ21" s="213" t="n"/>
      <c r="BA21" s="213" t="n"/>
      <c r="BB21" s="213" t="n"/>
      <c r="BC21" s="214" t="n"/>
      <c r="BD21" s="26" t="n"/>
      <c r="BE21" s="26" t="n"/>
      <c r="BF21" s="26" t="n"/>
      <c r="BG21" s="26" t="n"/>
    </row>
    <row r="22" ht="21.75" customHeight="1" s="209">
      <c r="A22" s="229" t="inlineStr">
        <is>
          <t>🏆 삼성 코딩테스트</t>
        </is>
      </c>
      <c r="B22" s="213" t="n"/>
      <c r="C22" s="213" t="n"/>
      <c r="D22" s="213" t="n"/>
      <c r="E22" s="213" t="n"/>
      <c r="F22" s="213" t="n"/>
      <c r="G22" s="213" t="n"/>
      <c r="H22" s="214" t="n"/>
      <c r="I22" s="230" t="inlineStr">
        <is>
          <t>삼성 B형(Pro) 2월 중순(02.14) 조기 취득 로드맵 (일 5~6제 완주 페이스)</t>
        </is>
      </c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4" t="n"/>
      <c r="W22" s="231">
        <f>(COUNTIF('02_SWEA_통합_코딩테스트_DB'!$J$4:$J$1260,"품*")+COUNTIF('02_SWEA_통합_코딩테스트_DB'!$J$4:$J$1260,"복습*")) &amp; "제 해결 완료 (모의A형: " &amp; (COUNTIFS('02_SWEA_통합_코딩테스트_DB'!$C$4:$C$1260,"*모의*", '02_SWEA_통합_코딩테스트_DB'!$J$4:$J$1260,"품*")+COUNTIFS('02_SWEA_통합_코딩테스트_DB'!$C$4:$C$1260,"*모의*", '02_SWEA_통합_코딩테스트_DB'!$J$4:$J$1260,"복습*")) &amp; " / 24제 완료)"</f>
        <v/>
      </c>
      <c r="X22" s="213" t="n"/>
      <c r="Y22" s="213" t="n"/>
      <c r="Z22" s="213" t="n"/>
      <c r="AA22" s="213" t="n"/>
      <c r="AB22" s="213" t="n"/>
      <c r="AC22" s="213" t="n"/>
      <c r="AD22" s="213" t="n"/>
      <c r="AE22" s="213" t="n"/>
      <c r="AF22" s="213" t="n"/>
      <c r="AG22" s="213" t="n"/>
      <c r="AH22" s="213" t="n"/>
      <c r="AI22" s="213" t="n"/>
      <c r="AJ22" s="213" t="n"/>
      <c r="AK22" s="213" t="n"/>
      <c r="AL22" s="214" t="n"/>
      <c r="AM22" s="232" t="inlineStr">
        <is>
          <t>🟢 정상 페이싱 (2월 중순 B형 전주기 스케줄 가동 중)</t>
        </is>
      </c>
      <c r="AN22" s="213" t="n"/>
      <c r="AO22" s="213" t="n"/>
      <c r="AP22" s="213" t="n"/>
      <c r="AQ22" s="213" t="n"/>
      <c r="AR22" s="213" t="n"/>
      <c r="AS22" s="213" t="n"/>
      <c r="AT22" s="213" t="n"/>
      <c r="AU22" s="213" t="n"/>
      <c r="AV22" s="213" t="n"/>
      <c r="AW22" s="213" t="n"/>
      <c r="AX22" s="213" t="n"/>
      <c r="AY22" s="213" t="n"/>
      <c r="AZ22" s="213" t="n"/>
      <c r="BA22" s="213" t="n"/>
      <c r="BB22" s="213" t="n"/>
      <c r="BC22" s="214" t="n"/>
      <c r="BD22" s="26" t="n"/>
      <c r="BE22" s="26" t="n"/>
      <c r="BF22" s="26" t="n"/>
      <c r="BG22" s="26" t="n"/>
    </row>
    <row r="23" ht="21.75" customHeight="1" s="209">
      <c r="A23" s="233" t="inlineStr">
        <is>
          <t>🛡️ 정보보안기사</t>
        </is>
      </c>
      <c r="B23" s="213" t="n"/>
      <c r="C23" s="213" t="n"/>
      <c r="D23" s="213" t="n"/>
      <c r="E23" s="213" t="n"/>
      <c r="F23" s="213" t="n"/>
      <c r="G23" s="213" t="n"/>
      <c r="H23" s="214" t="n"/>
      <c r="I23" s="234" t="inlineStr">
        <is>
          <t>[평일 화·목 개념정독 + 주말 토·일 기출 1200제 풀이] 주 2섹션 개념-문제 동시 완주 ➡️ 2027.02.15 CBT 합격</t>
        </is>
      </c>
      <c r="J23" s="213" t="n"/>
      <c r="K23" s="213" t="n"/>
      <c r="L23" s="213" t="n"/>
      <c r="M23" s="213" t="n"/>
      <c r="N23" s="213" t="n"/>
      <c r="O23" s="213" t="n"/>
      <c r="P23" s="213" t="n"/>
      <c r="Q23" s="213" t="n"/>
      <c r="R23" s="213" t="n"/>
      <c r="S23" s="213" t="n"/>
      <c r="T23" s="213" t="n"/>
      <c r="U23" s="213" t="n"/>
      <c r="V23" s="214" t="n"/>
      <c r="W23" s="234">
        <f>"3 / 43섹션 완료 (" &amp; TEXT(COUNTIF('03_보안기사_필기_DB'!$I$4:$I$46, "&lt;&gt;")/43, "0.0%") &amp; " 1회독 순항중)"</f>
        <v/>
      </c>
      <c r="X23" s="213" t="n"/>
      <c r="Y23" s="213" t="n"/>
      <c r="Z23" s="213" t="n"/>
      <c r="AA23" s="213" t="n"/>
      <c r="AB23" s="213" t="n"/>
      <c r="AC23" s="213" t="n"/>
      <c r="AD23" s="213" t="n"/>
      <c r="AE23" s="213" t="n"/>
      <c r="AF23" s="213" t="n"/>
      <c r="AG23" s="213" t="n"/>
      <c r="AH23" s="213" t="n"/>
      <c r="AI23" s="213" t="n"/>
      <c r="AJ23" s="213" t="n"/>
      <c r="AK23" s="213" t="n"/>
      <c r="AL23" s="214" t="n"/>
      <c r="AM23" s="235">
        <f>"🎯 코테 집중 (주말 2섹션, 1월초 1회독 완주)"</f>
        <v/>
      </c>
      <c r="AN23" s="213" t="n"/>
      <c r="AO23" s="213" t="n"/>
      <c r="AP23" s="213" t="n"/>
      <c r="AQ23" s="213" t="n"/>
      <c r="AR23" s="213" t="n"/>
      <c r="AS23" s="213" t="n"/>
      <c r="AT23" s="213" t="n"/>
      <c r="AU23" s="213" t="n"/>
      <c r="AV23" s="213" t="n"/>
      <c r="AW23" s="213" t="n"/>
      <c r="AX23" s="213" t="n"/>
      <c r="AY23" s="213" t="n"/>
      <c r="AZ23" s="213" t="n"/>
      <c r="BA23" s="213" t="n"/>
      <c r="BB23" s="213" t="n"/>
      <c r="BC23" s="214" t="n"/>
      <c r="BD23" s="26" t="n"/>
      <c r="BE23" s="26" t="n"/>
      <c r="BF23" s="26" t="n"/>
      <c r="BG23" s="26" t="n"/>
    </row>
    <row r="24" ht="21.75" customHeight="1" s="209">
      <c r="A24" s="173" t="n"/>
      <c r="B24" s="173" t="n"/>
      <c r="C24" s="173" t="n"/>
      <c r="D24" s="173" t="n"/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3" t="n"/>
      <c r="N24" s="173" t="n"/>
      <c r="O24" s="173" t="n"/>
      <c r="P24" s="173" t="n"/>
      <c r="Q24" s="173" t="n"/>
      <c r="R24" s="173" t="n"/>
      <c r="S24" s="173" t="n"/>
      <c r="T24" s="173" t="n"/>
      <c r="U24" s="173" t="n"/>
      <c r="V24" s="173" t="n"/>
      <c r="W24" s="173" t="n"/>
      <c r="X24" s="173" t="n"/>
      <c r="Y24" s="173" t="n"/>
      <c r="Z24" s="173" t="n"/>
      <c r="AA24" s="173" t="n"/>
      <c r="AB24" s="173" t="n"/>
      <c r="AC24" s="173" t="n"/>
      <c r="AD24" s="173" t="n"/>
      <c r="AE24" s="173" t="n"/>
      <c r="AF24" s="173" t="n"/>
      <c r="AG24" s="173" t="n"/>
      <c r="AH24" s="173" t="n"/>
      <c r="AI24" s="173" t="n"/>
      <c r="AJ24" s="173" t="n"/>
      <c r="AK24" s="173" t="n"/>
      <c r="AL24" s="173" t="n"/>
      <c r="AM24" s="173" t="n"/>
      <c r="AN24" s="173" t="n"/>
      <c r="AO24" s="173" t="n"/>
      <c r="AP24" s="173" t="n"/>
      <c r="AQ24" s="173" t="n"/>
      <c r="AR24" s="173" t="n"/>
      <c r="AS24" s="173" t="n"/>
      <c r="AT24" s="173" t="n"/>
      <c r="AU24" s="173" t="n"/>
      <c r="AV24" s="173" t="n"/>
      <c r="AW24" s="173" t="n"/>
      <c r="AX24" s="173" t="n"/>
      <c r="AY24" s="173" t="n"/>
      <c r="AZ24" s="173" t="n"/>
      <c r="BA24" s="173" t="n"/>
      <c r="BB24" s="173" t="n"/>
      <c r="BC24" s="173" t="n"/>
      <c r="BD24" s="26" t="n"/>
      <c r="BE24" s="26" t="n"/>
      <c r="BF24" s="26" t="n"/>
      <c r="BG24" s="26" t="n"/>
    </row>
    <row r="25" ht="21.75" customHeight="1" s="209">
      <c r="A25" s="227" t="inlineStr">
        <is>
          <t>📊 [실시간 진척도 관제] SWEA 공식 난이도별(D1~D8, 모의역량, Pro/기타) 달성 현황 (총 1,057제)</t>
        </is>
      </c>
      <c r="BD25" s="26" t="n"/>
      <c r="BE25" s="26" t="n"/>
      <c r="BF25" s="26" t="n"/>
      <c r="BG25" s="26" t="n"/>
    </row>
    <row r="26" ht="19.5" customHeight="1" s="209">
      <c r="A26" s="228" t="inlineStr">
        <is>
          <t>난이도</t>
        </is>
      </c>
      <c r="B26" s="213" t="n"/>
      <c r="C26" s="213" t="n"/>
      <c r="D26" s="213" t="n"/>
      <c r="E26" s="213" t="n"/>
      <c r="F26" s="214" t="n"/>
      <c r="G26" s="228" t="inlineStr">
        <is>
          <t>SWEA 공식 난이도 분류 및 레벨 설명</t>
        </is>
      </c>
      <c r="H26" s="213" t="n"/>
      <c r="I26" s="213" t="n"/>
      <c r="J26" s="213" t="n"/>
      <c r="K26" s="213" t="n"/>
      <c r="L26" s="213" t="n"/>
      <c r="M26" s="213" t="n"/>
      <c r="N26" s="213" t="n"/>
      <c r="O26" s="213" t="n"/>
      <c r="P26" s="213" t="n"/>
      <c r="Q26" s="213" t="n"/>
      <c r="R26" s="213" t="n"/>
      <c r="S26" s="213" t="n"/>
      <c r="T26" s="213" t="n"/>
      <c r="U26" s="213" t="n"/>
      <c r="V26" s="213" t="n"/>
      <c r="W26" s="214" t="n"/>
      <c r="X26" s="228" t="inlineStr">
        <is>
          <t>총 문항수</t>
        </is>
      </c>
      <c r="Y26" s="213" t="n"/>
      <c r="Z26" s="213" t="n"/>
      <c r="AA26" s="214" t="n"/>
      <c r="AB26" s="228" t="inlineStr">
        <is>
          <t>1차 풀이(품)</t>
        </is>
      </c>
      <c r="AC26" s="213" t="n"/>
      <c r="AD26" s="214" t="n"/>
      <c r="AE26" s="228" t="inlineStr">
        <is>
          <t>2차 복습(복습1)</t>
        </is>
      </c>
      <c r="AF26" s="213" t="n"/>
      <c r="AG26" s="214" t="n"/>
      <c r="AH26" s="228" t="inlineStr">
        <is>
          <t>3차 완료(복습2~3)</t>
        </is>
      </c>
      <c r="AI26" s="213" t="n"/>
      <c r="AJ26" s="214" t="n"/>
      <c r="AK26" s="228" t="inlineStr">
        <is>
          <t>실시간 진척도 게이지 바</t>
        </is>
      </c>
      <c r="AL26" s="213" t="n"/>
      <c r="AM26" s="213" t="n"/>
      <c r="AN26" s="213" t="n"/>
      <c r="AO26" s="213" t="n"/>
      <c r="AP26" s="213" t="n"/>
      <c r="AQ26" s="213" t="n"/>
      <c r="AR26" s="213" t="n"/>
      <c r="AS26" s="213" t="n"/>
      <c r="AT26" s="213" t="n"/>
      <c r="AU26" s="213" t="n"/>
      <c r="AV26" s="213" t="n"/>
      <c r="AW26" s="213" t="n"/>
      <c r="AX26" s="213" t="n"/>
      <c r="AY26" s="213" t="n"/>
      <c r="AZ26" s="213" t="n"/>
      <c r="BA26" s="213" t="n"/>
      <c r="BB26" s="213" t="n"/>
      <c r="BC26" s="214" t="n"/>
      <c r="BD26" s="26" t="n"/>
      <c r="BE26" s="26" t="n"/>
      <c r="BF26" s="26" t="n"/>
      <c r="BG26" s="26" t="n"/>
    </row>
    <row r="27" ht="18.75" customHeight="1" s="209">
      <c r="A27" s="236" t="inlineStr">
        <is>
          <t>D1</t>
        </is>
      </c>
      <c r="B27" s="213" t="n"/>
      <c r="C27" s="213" t="n"/>
      <c r="D27" s="213" t="n"/>
      <c r="E27" s="213" t="n"/>
      <c r="F27" s="214" t="n"/>
      <c r="G27" s="230" t="inlineStr">
        <is>
          <t>SWEA D1 레벨 (기초 입문 &amp; 단순 구현)</t>
        </is>
      </c>
      <c r="H27" s="213" t="n"/>
      <c r="I27" s="213" t="n"/>
      <c r="J27" s="213" t="n"/>
      <c r="K27" s="213" t="n"/>
      <c r="L27" s="213" t="n"/>
      <c r="M27" s="213" t="n"/>
      <c r="N27" s="213" t="n"/>
      <c r="O27" s="213" t="n"/>
      <c r="P27" s="213" t="n"/>
      <c r="Q27" s="213" t="n"/>
      <c r="R27" s="213" t="n"/>
      <c r="S27" s="213" t="n"/>
      <c r="T27" s="213" t="n"/>
      <c r="U27" s="213" t="n"/>
      <c r="V27" s="213" t="n"/>
      <c r="W27" s="214" t="n"/>
      <c r="X27" s="229" t="n">
        <v>41</v>
      </c>
      <c r="Y27" s="213" t="n"/>
      <c r="Z27" s="213" t="n"/>
      <c r="AA27" s="214" t="n"/>
      <c r="AB27" s="229">
        <f>COUNTIFS('02_SWEA_통합_코딩테스트_DB'!$C$4:$C$1260,"D1", '02_SWEA_통합_코딩테스트_DB'!$J$4:$J$1260,"품*")+COUNTIFS('02_SWEA_통합_코딩테스트_DB'!$C$4:$C$1260,"D1", '02_SWEA_통합_코딩테스트_DB'!$J$4:$J$1260,"복습*")</f>
        <v/>
      </c>
      <c r="AC27" s="213" t="n"/>
      <c r="AD27" s="214" t="n"/>
      <c r="AE27" s="236">
        <f>COUNTIFS('02_SWEA_통합_코딩테스트_DB'!$C$4:$C$1260,"D1", '02_SWEA_통합_코딩테스트_DB'!$J$4:$J$1260,"복습1*")+COUNTIFS('02_SWEA_통합_코딩테스트_DB'!$C$4:$C$1260,"D1", '02_SWEA_통합_코딩테스트_DB'!$J$4:$J$1260,"복습2*")+COUNTIFS('02_SWEA_통합_코딩테스트_DB'!$C$4:$C$1260,"D1", '02_SWEA_통합_코딩테스트_DB'!$J$4:$J$1260,"복습3*")</f>
        <v/>
      </c>
      <c r="AF27" s="213" t="n"/>
      <c r="AG27" s="214" t="n"/>
      <c r="AH27" s="236">
        <f>COUNTIFS('02_SWEA_통합_코딩테스트_DB'!$C$4:$C$1260,"D1", '02_SWEA_통합_코딩테스트_DB'!$J$4:$J$1260,"복습2*")+COUNTIFS('02_SWEA_통합_코딩테스트_DB'!$C$4:$C$1260,"D1", '02_SWEA_통합_코딩테스트_DB'!$J$4:$J$1260,"복습3*")</f>
        <v/>
      </c>
      <c r="AI27" s="213" t="n"/>
      <c r="AJ27" s="214" t="n"/>
      <c r="AK27" s="237">
        <f>REPT("■", INT((AB27/X27)*10)) &amp; REPT("□", 10-INT((AB27/X27)*10)) &amp; " " &amp; TEXT(AB27/X27, "0.0%")</f>
        <v/>
      </c>
      <c r="AL27" s="213" t="n"/>
      <c r="AM27" s="213" t="n"/>
      <c r="AN27" s="213" t="n"/>
      <c r="AO27" s="213" t="n"/>
      <c r="AP27" s="213" t="n"/>
      <c r="AQ27" s="213" t="n"/>
      <c r="AR27" s="213" t="n"/>
      <c r="AS27" s="213" t="n"/>
      <c r="AT27" s="213" t="n"/>
      <c r="AU27" s="213" t="n"/>
      <c r="AV27" s="213" t="n"/>
      <c r="AW27" s="213" t="n"/>
      <c r="AX27" s="213" t="n"/>
      <c r="AY27" s="213" t="n"/>
      <c r="AZ27" s="213" t="n"/>
      <c r="BA27" s="213" t="n"/>
      <c r="BB27" s="213" t="n"/>
      <c r="BC27" s="214" t="n"/>
      <c r="BD27" s="26" t="n"/>
      <c r="BE27" s="26" t="n"/>
      <c r="BF27" s="26" t="n"/>
      <c r="BG27" s="26" t="n"/>
    </row>
    <row r="28" ht="18.75" customHeight="1" s="209">
      <c r="A28" s="238" t="inlineStr">
        <is>
          <t>D2</t>
        </is>
      </c>
      <c r="B28" s="213" t="n"/>
      <c r="C28" s="213" t="n"/>
      <c r="D28" s="213" t="n"/>
      <c r="E28" s="213" t="n"/>
      <c r="F28" s="214" t="n"/>
      <c r="G28" s="239" t="inlineStr">
        <is>
          <t>SWEA D2 레벨 (기초 문법 &amp; 시뮬레이션 전수)</t>
        </is>
      </c>
      <c r="H28" s="213" t="n"/>
      <c r="I28" s="213" t="n"/>
      <c r="J28" s="213" t="n"/>
      <c r="K28" s="213" t="n"/>
      <c r="L28" s="213" t="n"/>
      <c r="M28" s="213" t="n"/>
      <c r="N28" s="213" t="n"/>
      <c r="O28" s="213" t="n"/>
      <c r="P28" s="213" t="n"/>
      <c r="Q28" s="213" t="n"/>
      <c r="R28" s="213" t="n"/>
      <c r="S28" s="213" t="n"/>
      <c r="T28" s="213" t="n"/>
      <c r="U28" s="213" t="n"/>
      <c r="V28" s="213" t="n"/>
      <c r="W28" s="214" t="n"/>
      <c r="X28" s="233" t="n">
        <v>57</v>
      </c>
      <c r="Y28" s="213" t="n"/>
      <c r="Z28" s="213" t="n"/>
      <c r="AA28" s="214" t="n"/>
      <c r="AB28" s="233">
        <f>COUNTIFS('02_SWEA_통합_코딩테스트_DB'!$C$4:$C$1260,"D2", '02_SWEA_통합_코딩테스트_DB'!$J$4:$J$1260,"품*")+COUNTIFS('02_SWEA_통합_코딩테스트_DB'!$C$4:$C$1260,"D2", '02_SWEA_통합_코딩테스트_DB'!$J$4:$J$1260,"복습*")</f>
        <v/>
      </c>
      <c r="AC28" s="213" t="n"/>
      <c r="AD28" s="214" t="n"/>
      <c r="AE28" s="238">
        <f>COUNTIFS('02_SWEA_통합_코딩테스트_DB'!$C$4:$C$1260,"D2", '02_SWEA_통합_코딩테스트_DB'!$J$4:$J$1260,"복습1*")+COUNTIFS('02_SWEA_통합_코딩테스트_DB'!$C$4:$C$1260,"D2", '02_SWEA_통합_코딩테스트_DB'!$J$4:$J$1260,"복습2*")+COUNTIFS('02_SWEA_통합_코딩테스트_DB'!$C$4:$C$1260,"D2", '02_SWEA_통합_코딩테스트_DB'!$J$4:$J$1260,"복습3*")</f>
        <v/>
      </c>
      <c r="AF28" s="213" t="n"/>
      <c r="AG28" s="214" t="n"/>
      <c r="AH28" s="238">
        <f>COUNTIFS('02_SWEA_통합_코딩테스트_DB'!$C$4:$C$1260,"D2", '02_SWEA_통합_코딩테스트_DB'!$J$4:$J$1260,"복습2*")+COUNTIFS('02_SWEA_통합_코딩테스트_DB'!$C$4:$C$1260,"D2", '02_SWEA_통합_코딩테스트_DB'!$J$4:$J$1260,"복습3*")</f>
        <v/>
      </c>
      <c r="AI28" s="213" t="n"/>
      <c r="AJ28" s="214" t="n"/>
      <c r="AK28" s="240">
        <f>REPT("■", INT((AB28/X28)*10)) &amp; REPT("□", 10-INT((AB28/X28)*10)) &amp; " " &amp; TEXT(AB28/X28, "0.0%")</f>
        <v/>
      </c>
      <c r="AL28" s="213" t="n"/>
      <c r="AM28" s="213" t="n"/>
      <c r="AN28" s="213" t="n"/>
      <c r="AO28" s="213" t="n"/>
      <c r="AP28" s="213" t="n"/>
      <c r="AQ28" s="213" t="n"/>
      <c r="AR28" s="213" t="n"/>
      <c r="AS28" s="213" t="n"/>
      <c r="AT28" s="213" t="n"/>
      <c r="AU28" s="213" t="n"/>
      <c r="AV28" s="213" t="n"/>
      <c r="AW28" s="213" t="n"/>
      <c r="AX28" s="213" t="n"/>
      <c r="AY28" s="213" t="n"/>
      <c r="AZ28" s="213" t="n"/>
      <c r="BA28" s="213" t="n"/>
      <c r="BB28" s="213" t="n"/>
      <c r="BC28" s="214" t="n"/>
      <c r="BD28" s="26" t="n"/>
      <c r="BE28" s="26" t="n"/>
      <c r="BF28" s="26" t="n"/>
      <c r="BG28" s="26" t="n"/>
    </row>
    <row r="29" ht="18.75" customHeight="1" s="209">
      <c r="A29" s="236" t="inlineStr">
        <is>
          <t>D3</t>
        </is>
      </c>
      <c r="B29" s="213" t="n"/>
      <c r="C29" s="213" t="n"/>
      <c r="D29" s="213" t="n"/>
      <c r="E29" s="213" t="n"/>
      <c r="F29" s="214" t="n"/>
      <c r="G29" s="230" t="inlineStr">
        <is>
          <t>SWEA D3 레벨 (완전탐색 &amp; 기초 자료구조 전수)</t>
        </is>
      </c>
      <c r="H29" s="213" t="n"/>
      <c r="I29" s="213" t="n"/>
      <c r="J29" s="213" t="n"/>
      <c r="K29" s="213" t="n"/>
      <c r="L29" s="213" t="n"/>
      <c r="M29" s="213" t="n"/>
      <c r="N29" s="213" t="n"/>
      <c r="O29" s="213" t="n"/>
      <c r="P29" s="213" t="n"/>
      <c r="Q29" s="213" t="n"/>
      <c r="R29" s="213" t="n"/>
      <c r="S29" s="213" t="n"/>
      <c r="T29" s="213" t="n"/>
      <c r="U29" s="213" t="n"/>
      <c r="V29" s="213" t="n"/>
      <c r="W29" s="214" t="n"/>
      <c r="X29" s="229" t="n">
        <v>214</v>
      </c>
      <c r="Y29" s="213" t="n"/>
      <c r="Z29" s="213" t="n"/>
      <c r="AA29" s="214" t="n"/>
      <c r="AB29" s="229">
        <f>COUNTIFS('02_SWEA_통합_코딩테스트_DB'!$C$4:$C$1260,"D3", '02_SWEA_통합_코딩테스트_DB'!$J$4:$J$1260,"품*")+COUNTIFS('02_SWEA_통합_코딩테스트_DB'!$C$4:$C$1260,"D3", '02_SWEA_통합_코딩테스트_DB'!$J$4:$J$1260,"복습*")</f>
        <v/>
      </c>
      <c r="AC29" s="213" t="n"/>
      <c r="AD29" s="214" t="n"/>
      <c r="AE29" s="236">
        <f>COUNTIFS('02_SWEA_통합_코딩테스트_DB'!$C$4:$C$1260,"D3", '02_SWEA_통합_코딩테스트_DB'!$J$4:$J$1260,"복습1*")+COUNTIFS('02_SWEA_통합_코딩테스트_DB'!$C$4:$C$1260,"D3", '02_SWEA_통합_코딩테스트_DB'!$J$4:$J$1260,"복습2*")+COUNTIFS('02_SWEA_통합_코딩테스트_DB'!$C$4:$C$1260,"D3", '02_SWEA_통합_코딩테스트_DB'!$J$4:$J$1260,"복습3*")</f>
        <v/>
      </c>
      <c r="AF29" s="213" t="n"/>
      <c r="AG29" s="214" t="n"/>
      <c r="AH29" s="236">
        <f>COUNTIFS('02_SWEA_통합_코딩테스트_DB'!$C$4:$C$1260,"D3", '02_SWEA_통합_코딩테스트_DB'!$J$4:$J$1260,"복습2*")+COUNTIFS('02_SWEA_통합_코딩테스트_DB'!$C$4:$C$1260,"D3", '02_SWEA_통합_코딩테스트_DB'!$J$4:$J$1260,"복습3*")</f>
        <v/>
      </c>
      <c r="AI29" s="213" t="n"/>
      <c r="AJ29" s="214" t="n"/>
      <c r="AK29" s="237">
        <f>REPT("■", INT((AB29/X29)*10)) &amp; REPT("□", 10-INT((AB29/X29)*10)) &amp; " " &amp; TEXT(AB29/X29, "0.0%")</f>
        <v/>
      </c>
      <c r="AL29" s="213" t="n"/>
      <c r="AM29" s="213" t="n"/>
      <c r="AN29" s="213" t="n"/>
      <c r="AO29" s="213" t="n"/>
      <c r="AP29" s="213" t="n"/>
      <c r="AQ29" s="213" t="n"/>
      <c r="AR29" s="213" t="n"/>
      <c r="AS29" s="213" t="n"/>
      <c r="AT29" s="213" t="n"/>
      <c r="AU29" s="213" t="n"/>
      <c r="AV29" s="213" t="n"/>
      <c r="AW29" s="213" t="n"/>
      <c r="AX29" s="213" t="n"/>
      <c r="AY29" s="213" t="n"/>
      <c r="AZ29" s="213" t="n"/>
      <c r="BA29" s="213" t="n"/>
      <c r="BB29" s="213" t="n"/>
      <c r="BC29" s="214" t="n"/>
      <c r="BD29" s="26" t="n"/>
      <c r="BE29" s="26" t="n"/>
      <c r="BF29" s="26" t="n"/>
      <c r="BG29" s="26" t="n"/>
    </row>
    <row r="30" ht="18.75" customHeight="1" s="209">
      <c r="A30" s="238" t="inlineStr">
        <is>
          <t>D4</t>
        </is>
      </c>
      <c r="B30" s="213" t="n"/>
      <c r="C30" s="213" t="n"/>
      <c r="D30" s="213" t="n"/>
      <c r="E30" s="213" t="n"/>
      <c r="F30" s="214" t="n"/>
      <c r="G30" s="239" t="inlineStr">
        <is>
          <t>SWEA D4 레벨 (DFS/BFS &amp; 백트래킹 전수)</t>
        </is>
      </c>
      <c r="H30" s="213" t="n"/>
      <c r="I30" s="213" t="n"/>
      <c r="J30" s="213" t="n"/>
      <c r="K30" s="213" t="n"/>
      <c r="L30" s="213" t="n"/>
      <c r="M30" s="213" t="n"/>
      <c r="N30" s="213" t="n"/>
      <c r="O30" s="213" t="n"/>
      <c r="P30" s="213" t="n"/>
      <c r="Q30" s="213" t="n"/>
      <c r="R30" s="213" t="n"/>
      <c r="S30" s="213" t="n"/>
      <c r="T30" s="213" t="n"/>
      <c r="U30" s="213" t="n"/>
      <c r="V30" s="213" t="n"/>
      <c r="W30" s="214" t="n"/>
      <c r="X30" s="233" t="n">
        <v>208</v>
      </c>
      <c r="Y30" s="213" t="n"/>
      <c r="Z30" s="213" t="n"/>
      <c r="AA30" s="214" t="n"/>
      <c r="AB30" s="233">
        <f>COUNTIFS('02_SWEA_통합_코딩테스트_DB'!$C$4:$C$1260,"D4", '02_SWEA_통합_코딩테스트_DB'!$J$4:$J$1260,"품*")+COUNTIFS('02_SWEA_통합_코딩테스트_DB'!$C$4:$C$1260,"D4", '02_SWEA_통합_코딩테스트_DB'!$J$4:$J$1260,"복습*")</f>
        <v/>
      </c>
      <c r="AC30" s="213" t="n"/>
      <c r="AD30" s="214" t="n"/>
      <c r="AE30" s="238">
        <f>COUNTIFS('02_SWEA_통합_코딩테스트_DB'!$C$4:$C$1260,"D4", '02_SWEA_통합_코딩테스트_DB'!$J$4:$J$1260,"복습1*")+COUNTIFS('02_SWEA_통합_코딩테스트_DB'!$C$4:$C$1260,"D4", '02_SWEA_통합_코딩테스트_DB'!$J$4:$J$1260,"복습2*")+COUNTIFS('02_SWEA_통합_코딩테스트_DB'!$C$4:$C$1260,"D4", '02_SWEA_통합_코딩테스트_DB'!$J$4:$J$1260,"복습3*")</f>
        <v/>
      </c>
      <c r="AF30" s="213" t="n"/>
      <c r="AG30" s="214" t="n"/>
      <c r="AH30" s="238">
        <f>COUNTIFS('02_SWEA_통합_코딩테스트_DB'!$C$4:$C$1260,"D4", '02_SWEA_통합_코딩테스트_DB'!$J$4:$J$1260,"복습2*")+COUNTIFS('02_SWEA_통합_코딩테스트_DB'!$C$4:$C$1260,"D4", '02_SWEA_통합_코딩테스트_DB'!$J$4:$J$1260,"복습3*")</f>
        <v/>
      </c>
      <c r="AI30" s="213" t="n"/>
      <c r="AJ30" s="214" t="n"/>
      <c r="AK30" s="240">
        <f>REPT("■", INT((AB30/X30)*10)) &amp; REPT("□", 10-INT((AB30/X30)*10)) &amp; " " &amp; TEXT(AB30/X30, "0.0%")</f>
        <v/>
      </c>
      <c r="AL30" s="213" t="n"/>
      <c r="AM30" s="213" t="n"/>
      <c r="AN30" s="213" t="n"/>
      <c r="AO30" s="213" t="n"/>
      <c r="AP30" s="213" t="n"/>
      <c r="AQ30" s="213" t="n"/>
      <c r="AR30" s="213" t="n"/>
      <c r="AS30" s="213" t="n"/>
      <c r="AT30" s="213" t="n"/>
      <c r="AU30" s="213" t="n"/>
      <c r="AV30" s="213" t="n"/>
      <c r="AW30" s="213" t="n"/>
      <c r="AX30" s="213" t="n"/>
      <c r="AY30" s="213" t="n"/>
      <c r="AZ30" s="213" t="n"/>
      <c r="BA30" s="213" t="n"/>
      <c r="BB30" s="213" t="n"/>
      <c r="BC30" s="214" t="n"/>
      <c r="BD30" s="26" t="n"/>
      <c r="BE30" s="26" t="n"/>
      <c r="BF30" s="26" t="n"/>
      <c r="BG30" s="26" t="n"/>
    </row>
    <row r="31" ht="18.75" customHeight="1" s="209">
      <c r="A31" s="241" t="inlineStr">
        <is>
          <t>D5</t>
        </is>
      </c>
      <c r="B31" s="213" t="n"/>
      <c r="C31" s="213" t="n"/>
      <c r="D31" s="213" t="n"/>
      <c r="E31" s="213" t="n"/>
      <c r="F31" s="214" t="n"/>
      <c r="G31" s="242" t="inlineStr">
        <is>
          <t>SWEA D5 레벨 (고급 알고리즘 &amp; 최적화 전수)</t>
        </is>
      </c>
      <c r="H31" s="213" t="n"/>
      <c r="I31" s="213" t="n"/>
      <c r="J31" s="213" t="n"/>
      <c r="K31" s="213" t="n"/>
      <c r="L31" s="213" t="n"/>
      <c r="M31" s="213" t="n"/>
      <c r="N31" s="213" t="n"/>
      <c r="O31" s="213" t="n"/>
      <c r="P31" s="213" t="n"/>
      <c r="Q31" s="213" t="n"/>
      <c r="R31" s="213" t="n"/>
      <c r="S31" s="213" t="n"/>
      <c r="T31" s="213" t="n"/>
      <c r="U31" s="213" t="n"/>
      <c r="V31" s="213" t="n"/>
      <c r="W31" s="214" t="n"/>
      <c r="X31" s="243" t="n">
        <v>163</v>
      </c>
      <c r="Y31" s="213" t="n"/>
      <c r="Z31" s="213" t="n"/>
      <c r="AA31" s="214" t="n"/>
      <c r="AB31" s="243">
        <f>COUNTIFS('02_SWEA_통합_코딩테스트_DB'!$C$4:$C$1260,"D5", '02_SWEA_통합_코딩테스트_DB'!$J$4:$J$1260,"품*")+COUNTIFS('02_SWEA_통합_코딩테스트_DB'!$C$4:$C$1260,"D5", '02_SWEA_통합_코딩테스트_DB'!$J$4:$J$1260,"복습*")</f>
        <v/>
      </c>
      <c r="AC31" s="213" t="n"/>
      <c r="AD31" s="214" t="n"/>
      <c r="AE31" s="241">
        <f>COUNTIFS('02_SWEA_통합_코딩테스트_DB'!$C$4:$C$1260,"D5", '02_SWEA_통합_코딩테스트_DB'!$J$4:$J$1260,"복습1*")+COUNTIFS('02_SWEA_통합_코딩테스트_DB'!$C$4:$C$1260,"D5", '02_SWEA_통합_코딩테스트_DB'!$J$4:$J$1260,"복습2*")+COUNTIFS('02_SWEA_통합_코딩테스트_DB'!$C$4:$C$1260,"D5", '02_SWEA_통합_코딩테스트_DB'!$J$4:$J$1260,"복습3*")</f>
        <v/>
      </c>
      <c r="AF31" s="213" t="n"/>
      <c r="AG31" s="214" t="n"/>
      <c r="AH31" s="241">
        <f>COUNTIFS('02_SWEA_통합_코딩테스트_DB'!$C$4:$C$1260,"D5", '02_SWEA_통합_코딩테스트_DB'!$J$4:$J$1260,"복습2*")+COUNTIFS('02_SWEA_통합_코딩테스트_DB'!$C$4:$C$1260,"D5", '02_SWEA_통합_코딩테스트_DB'!$J$4:$J$1260,"복습3*")</f>
        <v/>
      </c>
      <c r="AI31" s="213" t="n"/>
      <c r="AJ31" s="214" t="n"/>
      <c r="AK31" s="244">
        <f>REPT("■", INT((AB31/X31)*10)) &amp; REPT("□", 10-INT((AB31/X31)*10)) &amp; " " &amp; TEXT(AB31/X31, "0.0%")</f>
        <v/>
      </c>
      <c r="AL31" s="213" t="n"/>
      <c r="AM31" s="213" t="n"/>
      <c r="AN31" s="213" t="n"/>
      <c r="AO31" s="213" t="n"/>
      <c r="AP31" s="213" t="n"/>
      <c r="AQ31" s="213" t="n"/>
      <c r="AR31" s="213" t="n"/>
      <c r="AS31" s="213" t="n"/>
      <c r="AT31" s="213" t="n"/>
      <c r="AU31" s="213" t="n"/>
      <c r="AV31" s="213" t="n"/>
      <c r="AW31" s="213" t="n"/>
      <c r="AX31" s="213" t="n"/>
      <c r="AY31" s="213" t="n"/>
      <c r="AZ31" s="213" t="n"/>
      <c r="BA31" s="213" t="n"/>
      <c r="BB31" s="213" t="n"/>
      <c r="BC31" s="214" t="n"/>
      <c r="BD31" s="183" t="n"/>
      <c r="BE31" s="183" t="n"/>
      <c r="BF31" s="183" t="n"/>
      <c r="BG31" s="183" t="n"/>
    </row>
    <row r="32" ht="18.75" customHeight="1" s="209">
      <c r="A32" s="245" t="inlineStr">
        <is>
          <t>D6</t>
        </is>
      </c>
      <c r="B32" s="213" t="n"/>
      <c r="C32" s="213" t="n"/>
      <c r="D32" s="213" t="n"/>
      <c r="E32" s="213" t="n"/>
      <c r="F32" s="214" t="n"/>
      <c r="G32" s="246" t="inlineStr">
        <is>
          <t>SWEA D6 레벨 (고난도 그래프/트리 &amp; 대규모 시뮬레이션)</t>
        </is>
      </c>
      <c r="H32" s="213" t="n"/>
      <c r="I32" s="213" t="n"/>
      <c r="J32" s="213" t="n"/>
      <c r="K32" s="213" t="n"/>
      <c r="L32" s="213" t="n"/>
      <c r="M32" s="213" t="n"/>
      <c r="N32" s="213" t="n"/>
      <c r="O32" s="213" t="n"/>
      <c r="P32" s="213" t="n"/>
      <c r="Q32" s="213" t="n"/>
      <c r="R32" s="213" t="n"/>
      <c r="S32" s="213" t="n"/>
      <c r="T32" s="213" t="n"/>
      <c r="U32" s="213" t="n"/>
      <c r="V32" s="213" t="n"/>
      <c r="W32" s="214" t="n"/>
      <c r="X32" s="247" t="n">
        <v>214</v>
      </c>
      <c r="Y32" s="213" t="n"/>
      <c r="Z32" s="213" t="n"/>
      <c r="AA32" s="214" t="n"/>
      <c r="AB32" s="247">
        <f>COUNTIFS('02_SWEA_통합_코딩테스트_DB'!$C$4:$C$1260,"D6", '02_SWEA_통합_코딩테스트_DB'!$J$4:$J$1260,"품*")+COUNTIFS('02_SWEA_통합_코딩테스트_DB'!$C$4:$C$1260,"D6", '02_SWEA_통합_코딩테스트_DB'!$J$4:$J$1260,"복습*")</f>
        <v/>
      </c>
      <c r="AC32" s="213" t="n"/>
      <c r="AD32" s="214" t="n"/>
      <c r="AE32" s="245">
        <f>COUNTIFS('02_SWEA_통합_코딩테스트_DB'!$C$4:$C$1260,"D6", '02_SWEA_통합_코딩테스트_DB'!$J$4:$J$1260,"복습1*")+COUNTIFS('02_SWEA_통합_코딩테스트_DB'!$C$4:$C$1260,"D6", '02_SWEA_통합_코딩테스트_DB'!$J$4:$J$1260,"복습2*")+COUNTIFS('02_SWEA_통합_코딩테스트_DB'!$C$4:$C$1260,"D6", '02_SWEA_통합_코딩테스트_DB'!$J$4:$J$1260,"복습3*")</f>
        <v/>
      </c>
      <c r="AF32" s="213" t="n"/>
      <c r="AG32" s="214" t="n"/>
      <c r="AH32" s="245">
        <f>COUNTIFS('02_SWEA_통합_코딩테스트_DB'!$C$4:$C$1260,"D6", '02_SWEA_통합_코딩테스트_DB'!$J$4:$J$1260,"복습2*")+COUNTIFS('02_SWEA_통합_코딩테스트_DB'!$C$4:$C$1260,"D6", '02_SWEA_통합_코딩테스트_DB'!$J$4:$J$1260,"복습3*")</f>
        <v/>
      </c>
      <c r="AI32" s="213" t="n"/>
      <c r="AJ32" s="214" t="n"/>
      <c r="AK32" s="248">
        <f>REPT("■", INT((AB32/X32)*10)) &amp; REPT("□", 10-INT((AB32/X32)*10)) &amp; " " &amp; TEXT(AB32/X32, "0.0%")</f>
        <v/>
      </c>
      <c r="AL32" s="213" t="n"/>
      <c r="AM32" s="213" t="n"/>
      <c r="AN32" s="213" t="n"/>
      <c r="AO32" s="213" t="n"/>
      <c r="AP32" s="213" t="n"/>
      <c r="AQ32" s="213" t="n"/>
      <c r="AR32" s="213" t="n"/>
      <c r="AS32" s="213" t="n"/>
      <c r="AT32" s="213" t="n"/>
      <c r="AU32" s="213" t="n"/>
      <c r="AV32" s="213" t="n"/>
      <c r="AW32" s="213" t="n"/>
      <c r="AX32" s="213" t="n"/>
      <c r="AY32" s="213" t="n"/>
      <c r="AZ32" s="213" t="n"/>
      <c r="BA32" s="213" t="n"/>
      <c r="BB32" s="213" t="n"/>
      <c r="BC32" s="214" t="n"/>
      <c r="BD32" s="26" t="n"/>
      <c r="BE32" s="26" t="n"/>
      <c r="BF32" s="26" t="n"/>
      <c r="BG32" s="26" t="n"/>
    </row>
    <row r="33" ht="18.75" customHeight="1" s="209">
      <c r="A33" s="245" t="inlineStr">
        <is>
          <t>D7</t>
        </is>
      </c>
      <c r="B33" s="213" t="n"/>
      <c r="C33" s="213" t="n"/>
      <c r="D33" s="213" t="n"/>
      <c r="E33" s="213" t="n"/>
      <c r="F33" s="214" t="n"/>
      <c r="G33" s="246" t="inlineStr">
        <is>
          <t>SWEA D7 레벨 (극상 난이도 심화 알고리즘)</t>
        </is>
      </c>
      <c r="H33" s="213" t="n"/>
      <c r="I33" s="213" t="n"/>
      <c r="J33" s="213" t="n"/>
      <c r="K33" s="213" t="n"/>
      <c r="L33" s="213" t="n"/>
      <c r="M33" s="213" t="n"/>
      <c r="N33" s="213" t="n"/>
      <c r="O33" s="213" t="n"/>
      <c r="P33" s="213" t="n"/>
      <c r="Q33" s="213" t="n"/>
      <c r="R33" s="213" t="n"/>
      <c r="S33" s="213" t="n"/>
      <c r="T33" s="213" t="n"/>
      <c r="U33" s="213" t="n"/>
      <c r="V33" s="213" t="n"/>
      <c r="W33" s="214" t="n"/>
      <c r="X33" s="247" t="n">
        <v>138</v>
      </c>
      <c r="Y33" s="213" t="n"/>
      <c r="Z33" s="213" t="n"/>
      <c r="AA33" s="214" t="n"/>
      <c r="AB33" s="247">
        <f>COUNTIFS('02_SWEA_통합_코딩테스트_DB'!$C$4:$C$1260,"D7", '02_SWEA_통합_코딩테스트_DB'!$J$4:$J$1260,"품*")+COUNTIFS('02_SWEA_통합_코딩테스트_DB'!$C$4:$C$1260,"D7", '02_SWEA_통합_코딩테스트_DB'!$J$4:$J$1260,"복습*")</f>
        <v/>
      </c>
      <c r="AC33" s="213" t="n"/>
      <c r="AD33" s="214" t="n"/>
      <c r="AE33" s="245">
        <f>COUNTIFS('02_SWEA_통합_코딩테스트_DB'!$C$4:$C$1260,"D7", '02_SWEA_통합_코딩테스트_DB'!$J$4:$J$1260,"복습1*")+COUNTIFS('02_SWEA_통합_코딩테스트_DB'!$C$4:$C$1260,"D7", '02_SWEA_통합_코딩테스트_DB'!$J$4:$J$1260,"복습2*")+COUNTIFS('02_SWEA_통합_코딩테스트_DB'!$C$4:$C$1260,"D7", '02_SWEA_통합_코딩테스트_DB'!$J$4:$J$1260,"복습3*")</f>
        <v/>
      </c>
      <c r="AF33" s="213" t="n"/>
      <c r="AG33" s="214" t="n"/>
      <c r="AH33" s="245">
        <f>COUNTIFS('02_SWEA_통합_코딩테스트_DB'!$C$4:$C$1260,"D7", '02_SWEA_통합_코딩테스트_DB'!$J$4:$J$1260,"복습2*")+COUNTIFS('02_SWEA_통합_코딩테스트_DB'!$C$4:$C$1260,"D7", '02_SWEA_통합_코딩테스트_DB'!$J$4:$J$1260,"복습3*")</f>
        <v/>
      </c>
      <c r="AI33" s="213" t="n"/>
      <c r="AJ33" s="214" t="n"/>
      <c r="AK33" s="248">
        <f>REPT("■", INT((AB33/X33)*10)) &amp; REPT("□", 10-INT((AB33/X33)*10)) &amp; " " &amp; TEXT(AB33/X33, "0.0%")</f>
        <v/>
      </c>
      <c r="AL33" s="213" t="n"/>
      <c r="AM33" s="213" t="n"/>
      <c r="AN33" s="213" t="n"/>
      <c r="AO33" s="213" t="n"/>
      <c r="AP33" s="213" t="n"/>
      <c r="AQ33" s="213" t="n"/>
      <c r="AR33" s="213" t="n"/>
      <c r="AS33" s="213" t="n"/>
      <c r="AT33" s="213" t="n"/>
      <c r="AU33" s="213" t="n"/>
      <c r="AV33" s="213" t="n"/>
      <c r="AW33" s="213" t="n"/>
      <c r="AX33" s="213" t="n"/>
      <c r="AY33" s="213" t="n"/>
      <c r="AZ33" s="213" t="n"/>
      <c r="BA33" s="213" t="n"/>
      <c r="BB33" s="213" t="n"/>
      <c r="BC33" s="214" t="n"/>
      <c r="BD33" s="26" t="n"/>
      <c r="BE33" s="26" t="n"/>
      <c r="BF33" s="26" t="n"/>
      <c r="BG33" s="26" t="n"/>
    </row>
    <row r="34" ht="18.75" customHeight="1" s="209">
      <c r="A34" s="238" t="inlineStr">
        <is>
          <t>D8</t>
        </is>
      </c>
      <c r="B34" s="213" t="n"/>
      <c r="C34" s="213" t="n"/>
      <c r="D34" s="213" t="n"/>
      <c r="E34" s="213" t="n"/>
      <c r="F34" s="214" t="n"/>
      <c r="G34" s="239" t="inlineStr">
        <is>
          <t>SWEA D8 레벨 (최상위 전문가 알고리즘)</t>
        </is>
      </c>
      <c r="H34" s="213" t="n"/>
      <c r="I34" s="213" t="n"/>
      <c r="J34" s="213" t="n"/>
      <c r="K34" s="213" t="n"/>
      <c r="L34" s="213" t="n"/>
      <c r="M34" s="213" t="n"/>
      <c r="N34" s="213" t="n"/>
      <c r="O34" s="213" t="n"/>
      <c r="P34" s="213" t="n"/>
      <c r="Q34" s="213" t="n"/>
      <c r="R34" s="213" t="n"/>
      <c r="S34" s="213" t="n"/>
      <c r="T34" s="213" t="n"/>
      <c r="U34" s="213" t="n"/>
      <c r="V34" s="213" t="n"/>
      <c r="W34" s="214" t="n"/>
      <c r="X34" s="233" t="n">
        <v>12</v>
      </c>
      <c r="Y34" s="213" t="n"/>
      <c r="Z34" s="213" t="n"/>
      <c r="AA34" s="214" t="n"/>
      <c r="AB34" s="233">
        <f>COUNTIFS('02_SWEA_통합_코딩테스트_DB'!$C$4:$C$1260,"D8", '02_SWEA_통합_코딩테스트_DB'!$J$4:$J$1260,"품*")+COUNTIFS('02_SWEA_통합_코딩테스트_DB'!$C$4:$C$1260,"D8", '02_SWEA_통합_코딩테스트_DB'!$J$4:$J$1260,"복습*")</f>
        <v/>
      </c>
      <c r="AC34" s="213" t="n"/>
      <c r="AD34" s="214" t="n"/>
      <c r="AE34" s="238">
        <f>COUNTIFS('02_SWEA_통합_코딩테스트_DB'!$C$4:$C$1260,"D8", '02_SWEA_통합_코딩테스트_DB'!$J$4:$J$1260,"복습1*")+COUNTIFS('02_SWEA_통합_코딩테스트_DB'!$C$4:$C$1260,"D8", '02_SWEA_통합_코딩테스트_DB'!$J$4:$J$1260,"복습2*")+COUNTIFS('02_SWEA_통합_코딩테스트_DB'!$C$4:$C$1260,"D8", '02_SWEA_통합_코딩테스트_DB'!$J$4:$J$1260,"복습3*")</f>
        <v/>
      </c>
      <c r="AF34" s="213" t="n"/>
      <c r="AG34" s="214" t="n"/>
      <c r="AH34" s="238">
        <f>COUNTIFS('02_SWEA_통합_코딩테스트_DB'!$C$4:$C$1260,"D8", '02_SWEA_통합_코딩테스트_DB'!$J$4:$J$1260,"복습2*")+COUNTIFS('02_SWEA_통합_코딩테스트_DB'!$C$4:$C$1260,"D8", '02_SWEA_통합_코딩테스트_DB'!$J$4:$J$1260,"복습3*")</f>
        <v/>
      </c>
      <c r="AI34" s="213" t="n"/>
      <c r="AJ34" s="214" t="n"/>
      <c r="AK34" s="240">
        <f>REPT("■", INT((AB34/X34)*10)) &amp; REPT("□", 10-INT((AB34/X34)*10)) &amp; " " &amp; TEXT(AB34/X34, "0.0%")</f>
        <v/>
      </c>
      <c r="AL34" s="213" t="n"/>
      <c r="AM34" s="213" t="n"/>
      <c r="AN34" s="213" t="n"/>
      <c r="AO34" s="213" t="n"/>
      <c r="AP34" s="213" t="n"/>
      <c r="AQ34" s="213" t="n"/>
      <c r="AR34" s="213" t="n"/>
      <c r="AS34" s="213" t="n"/>
      <c r="AT34" s="213" t="n"/>
      <c r="AU34" s="213" t="n"/>
      <c r="AV34" s="213" t="n"/>
      <c r="AW34" s="213" t="n"/>
      <c r="AX34" s="213" t="n"/>
      <c r="AY34" s="213" t="n"/>
      <c r="AZ34" s="213" t="n"/>
      <c r="BA34" s="213" t="n"/>
      <c r="BB34" s="213" t="n"/>
      <c r="BC34" s="214" t="n"/>
      <c r="BD34" s="26" t="n"/>
      <c r="BE34" s="26" t="n"/>
      <c r="BF34" s="26" t="n"/>
      <c r="BG34" s="26" t="n"/>
    </row>
    <row r="35" ht="18.75" customHeight="1" s="209">
      <c r="A35" s="236" t="inlineStr">
        <is>
          <t>모의역량</t>
        </is>
      </c>
      <c r="B35" s="213" t="n"/>
      <c r="C35" s="213" t="n"/>
      <c r="D35" s="213" t="n"/>
      <c r="E35" s="213" t="n"/>
      <c r="F35" s="214" t="n"/>
      <c r="G35" s="230" t="inlineStr">
        <is>
          <t>SWEA 모의 SW 역량테스트 (삼성 A형 실전 기출)</t>
        </is>
      </c>
      <c r="H35" s="213" t="n"/>
      <c r="I35" s="213" t="n"/>
      <c r="J35" s="213" t="n"/>
      <c r="K35" s="213" t="n"/>
      <c r="L35" s="213" t="n"/>
      <c r="M35" s="213" t="n"/>
      <c r="N35" s="213" t="n"/>
      <c r="O35" s="213" t="n"/>
      <c r="P35" s="213" t="n"/>
      <c r="Q35" s="213" t="n"/>
      <c r="R35" s="213" t="n"/>
      <c r="S35" s="213" t="n"/>
      <c r="T35" s="213" t="n"/>
      <c r="U35" s="213" t="n"/>
      <c r="V35" s="213" t="n"/>
      <c r="W35" s="214" t="n"/>
      <c r="X35" s="229" t="n">
        <v>24</v>
      </c>
      <c r="Y35" s="213" t="n"/>
      <c r="Z35" s="213" t="n"/>
      <c r="AA35" s="214" t="n"/>
      <c r="AB35" s="229">
        <f>COUNTIFS('02_SWEA_통합_코딩테스트_DB'!$C$4:$C$1260,"*모의*", '02_SWEA_통합_코딩테스트_DB'!$J$4:$J$1260,"품*")+COUNTIFS('02_SWEA_통합_코딩테스트_DB'!$C$4:$C$1260,"*모의*", '02_SWEA_통합_코딩테스트_DB'!$J$4:$J$1260,"복습*")</f>
        <v/>
      </c>
      <c r="AC35" s="213" t="n"/>
      <c r="AD35" s="214" t="n"/>
      <c r="AE35" s="236">
        <f>COUNTIFS('02_SWEA_통합_코딩테스트_DB'!$C$4:$C$1260,"*모의*", '02_SWEA_통합_코딩테스트_DB'!$J$4:$J$1260,"복습1*")+COUNTIFS('02_SWEA_통합_코딩테스트_DB'!$C$4:$C$1260,"*모의*", '02_SWEA_통합_코딩테스트_DB'!$J$4:$J$1260,"복습2*")+COUNTIFS('02_SWEA_통합_코딩테스트_DB'!$C$4:$C$1260,"*모의*", '02_SWEA_통합_코딩테스트_DB'!$J$4:$J$1260,"복습3*")</f>
        <v/>
      </c>
      <c r="AF35" s="213" t="n"/>
      <c r="AG35" s="214" t="n"/>
      <c r="AH35" s="236">
        <f>COUNTIFS('02_SWEA_통합_코딩테스트_DB'!$C$4:$C$1260,"*모의*", '02_SWEA_통합_코딩테스트_DB'!$J$4:$J$1260,"복습2*")+COUNTIFS('02_SWEA_통합_코딩테스트_DB'!$C$4:$C$1260,"*모의*", '02_SWEA_통합_코딩테스트_DB'!$J$4:$J$1260,"복습3*")</f>
        <v/>
      </c>
      <c r="AI35" s="213" t="n"/>
      <c r="AJ35" s="214" t="n"/>
      <c r="AK35" s="237">
        <f>REPT("■", INT((AB35/X35)*10)) &amp; REPT("□", 10-INT((AB35/X35)*10)) &amp; " " &amp; TEXT(AB35/X35, "0.0%")</f>
        <v/>
      </c>
      <c r="AL35" s="213" t="n"/>
      <c r="AM35" s="213" t="n"/>
      <c r="AN35" s="213" t="n"/>
      <c r="AO35" s="213" t="n"/>
      <c r="AP35" s="213" t="n"/>
      <c r="AQ35" s="213" t="n"/>
      <c r="AR35" s="213" t="n"/>
      <c r="AS35" s="213" t="n"/>
      <c r="AT35" s="213" t="n"/>
      <c r="AU35" s="213" t="n"/>
      <c r="AV35" s="213" t="n"/>
      <c r="AW35" s="213" t="n"/>
      <c r="AX35" s="213" t="n"/>
      <c r="AY35" s="213" t="n"/>
      <c r="AZ35" s="213" t="n"/>
      <c r="BA35" s="213" t="n"/>
      <c r="BB35" s="213" t="n"/>
      <c r="BC35" s="214" t="n"/>
      <c r="BD35" s="26" t="n"/>
      <c r="BE35" s="26" t="n"/>
      <c r="BF35" s="26" t="n"/>
      <c r="BG35" s="26" t="n"/>
    </row>
    <row r="36" ht="18.75" customHeight="1" s="209">
      <c r="A36" s="238" t="inlineStr">
        <is>
          <t>Pro / 기타</t>
        </is>
      </c>
      <c r="B36" s="213" t="n"/>
      <c r="C36" s="213" t="n"/>
      <c r="D36" s="213" t="n"/>
      <c r="E36" s="213" t="n"/>
      <c r="F36" s="214" t="n"/>
      <c r="G36" s="239" t="inlineStr">
        <is>
          <t>SWEA Professional 실전 &amp; 연습문제</t>
        </is>
      </c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4" t="n"/>
      <c r="X36" s="233" t="n">
        <v>19</v>
      </c>
      <c r="Y36" s="213" t="n"/>
      <c r="Z36" s="213" t="n"/>
      <c r="AA36" s="214" t="n"/>
      <c r="AB36" s="233">
        <f>COUNTIFS('02_SWEA_통합_코딩테스트_DB'!$C$4:$C$1260,"Pro", '02_SWEA_통합_코딩테스트_DB'!$J$4:$J$1260,"품*")+COUNTIFS('02_SWEA_통합_코딩테스트_DB'!$C$4:$C$1260,"기타", '02_SWEA_통합_코딩테스트_DB'!$J$4:$J$1260,"품*")+COUNTIFS('02_SWEA_통합_코딩테스트_DB'!$C$4:$C$1260,"Pro", '02_SWEA_통합_코딩테스트_DB'!$J$4:$J$1260,"복습*")+COUNTIFS('02_SWEA_통합_코딩테스트_DB'!$C$4:$C$1260,"기타", '02_SWEA_통합_코딩테스트_DB'!$J$4:$J$1260,"복습*")</f>
        <v/>
      </c>
      <c r="AC36" s="213" t="n"/>
      <c r="AD36" s="214" t="n"/>
      <c r="AE36" s="238">
        <f>COUNTIFS('02_SWEA_통합_코딩테스트_DB'!$C$4:$C$1260,"Pro", '02_SWEA_통합_코딩테스트_DB'!$J$4:$J$1260,"복습1*")+COUNTIFS('02_SWEA_통합_코딩테스트_DB'!$C$4:$C$1260,"기타", '02_SWEA_통합_코딩테스트_DB'!$J$4:$J$1260,"복습1*")+COUNTIFS('02_SWEA_통합_코딩테스트_DB'!$C$4:$C$1260,"Pro", '02_SWEA_통합_코딩테스트_DB'!$J$4:$J$1260,"복습2*")+COUNTIFS('02_SWEA_통합_코딩테스트_DB'!$C$4:$C$1260,"기타", '02_SWEA_통합_코딩테스트_DB'!$J$4:$J$1260,"복습2*")+COUNTIFS('02_SWEA_통합_코딩테스트_DB'!$C$4:$C$1260,"Pro", '02_SWEA_통합_코딩테스트_DB'!$J$4:$J$1260,"복습3*")+COUNTIFS('02_SWEA_통합_코딩테스트_DB'!$C$4:$C$1260,"기타", '02_SWEA_통합_코딩테스트_DB'!$J$4:$J$1260,"복습3*")</f>
        <v/>
      </c>
      <c r="AF36" s="213" t="n"/>
      <c r="AG36" s="214" t="n"/>
      <c r="AH36" s="238">
        <f>COUNTIFS('02_SWEA_통합_코딩테스트_DB'!$C$4:$C$1260,"Pro", '02_SWEA_통합_코딩테스트_DB'!$J$4:$J$1260,"복습2*")+COUNTIFS('02_SWEA_통합_코딩테스트_DB'!$C$4:$C$1260,"기타", '02_SWEA_통합_코딩테스트_DB'!$J$4:$J$1260,"복습2*")+COUNTIFS('02_SWEA_통합_코딩테스트_DB'!$C$4:$C$1260,"Pro", '02_SWEA_통합_코딩테스트_DB'!$J$4:$J$1260,"복습3*")+COUNTIFS('02_SWEA_통합_코딩테스트_DB'!$C$4:$C$1260,"기타", '02_SWEA_통합_코딩테스트_DB'!$J$4:$J$1260,"복습3*")</f>
        <v/>
      </c>
      <c r="AI36" s="213" t="n"/>
      <c r="AJ36" s="214" t="n"/>
      <c r="AK36" s="240">
        <f>REPT("■", INT((AB36/X36)*10)) &amp; REPT("□", 10-INT((AB36/X36)*10)) &amp; " " &amp; TEXT(AB36/X36, "0.0%")</f>
        <v/>
      </c>
      <c r="AL36" s="213" t="n"/>
      <c r="AM36" s="213" t="n"/>
      <c r="AN36" s="213" t="n"/>
      <c r="AO36" s="213" t="n"/>
      <c r="AP36" s="213" t="n"/>
      <c r="AQ36" s="213" t="n"/>
      <c r="AR36" s="213" t="n"/>
      <c r="AS36" s="213" t="n"/>
      <c r="AT36" s="213" t="n"/>
      <c r="AU36" s="213" t="n"/>
      <c r="AV36" s="213" t="n"/>
      <c r="AW36" s="213" t="n"/>
      <c r="AX36" s="213" t="n"/>
      <c r="AY36" s="213" t="n"/>
      <c r="AZ36" s="213" t="n"/>
      <c r="BA36" s="213" t="n"/>
      <c r="BB36" s="213" t="n"/>
      <c r="BC36" s="214" t="n"/>
      <c r="BD36" s="26" t="n"/>
      <c r="BE36" s="26" t="n"/>
      <c r="BF36" s="26" t="n"/>
      <c r="BG36" s="26" t="n"/>
    </row>
    <row r="37" ht="18.75" customHeight="1" s="209">
      <c r="A37" s="249" t="inlineStr">
        <is>
          <t>전체 총합</t>
        </is>
      </c>
      <c r="B37" s="250" t="n"/>
      <c r="C37" s="250" t="n"/>
      <c r="D37" s="250" t="n"/>
      <c r="E37" s="250" t="n"/>
      <c r="F37" s="251" t="n"/>
      <c r="G37" s="252" t="inlineStr">
        <is>
          <t>🏆 SWEA 통합 코딩테스트 마스터 (1,057제 전체)</t>
        </is>
      </c>
      <c r="H37" s="250" t="n"/>
      <c r="I37" s="250" t="n"/>
      <c r="J37" s="250" t="n"/>
      <c r="K37" s="250" t="n"/>
      <c r="L37" s="250" t="n"/>
      <c r="M37" s="250" t="n"/>
      <c r="N37" s="250" t="n"/>
      <c r="O37" s="250" t="n"/>
      <c r="P37" s="250" t="n"/>
      <c r="Q37" s="250" t="n"/>
      <c r="R37" s="250" t="n"/>
      <c r="S37" s="250" t="n"/>
      <c r="T37" s="250" t="n"/>
      <c r="U37" s="250" t="n"/>
      <c r="V37" s="250" t="n"/>
      <c r="W37" s="251" t="n"/>
      <c r="X37" s="249">
        <f>SUM(X27:X36)</f>
        <v/>
      </c>
      <c r="Y37" s="250" t="n"/>
      <c r="Z37" s="250" t="n"/>
      <c r="AA37" s="251" t="n"/>
      <c r="AB37" s="249">
        <f>SUM(AB27:AB36)</f>
        <v/>
      </c>
      <c r="AC37" s="250" t="n"/>
      <c r="AD37" s="251" t="n"/>
      <c r="AE37" s="253">
        <f>SUM(AE27:AE36)</f>
        <v/>
      </c>
      <c r="AF37" s="250" t="n"/>
      <c r="AG37" s="251" t="n"/>
      <c r="AH37" s="253">
        <f>SUM(AH27:AH36)</f>
        <v/>
      </c>
      <c r="AI37" s="250" t="n"/>
      <c r="AJ37" s="251" t="n"/>
      <c r="AK37" s="249">
        <f>REPT("■", INT((AB37/X37)*10)) &amp; REPT("□", 10-INT((AB37/X37)*10)) &amp; " " &amp; TEXT(AB37/X37, "0.0%")</f>
        <v/>
      </c>
      <c r="AL37" s="250" t="n"/>
      <c r="AM37" s="250" t="n"/>
      <c r="AN37" s="250" t="n"/>
      <c r="AO37" s="250" t="n"/>
      <c r="AP37" s="250" t="n"/>
      <c r="AQ37" s="250" t="n"/>
      <c r="AR37" s="250" t="n"/>
      <c r="AS37" s="250" t="n"/>
      <c r="AT37" s="250" t="n"/>
      <c r="AU37" s="250" t="n"/>
      <c r="AV37" s="250" t="n"/>
      <c r="AW37" s="250" t="n"/>
      <c r="AX37" s="250" t="n"/>
      <c r="AY37" s="250" t="n"/>
      <c r="AZ37" s="250" t="n"/>
      <c r="BA37" s="250" t="n"/>
      <c r="BB37" s="250" t="n"/>
      <c r="BC37" s="251" t="n"/>
      <c r="BD37" s="26" t="n"/>
      <c r="BE37" s="26" t="n"/>
      <c r="BF37" s="26" t="n"/>
      <c r="BG37" s="26" t="n"/>
    </row>
    <row r="38" ht="21.75" customHeight="1" s="209">
      <c r="A38" s="173" t="n"/>
      <c r="B38" s="173" t="n"/>
      <c r="C38" s="173" t="n"/>
      <c r="D38" s="173" t="n"/>
      <c r="E38" s="173" t="n"/>
      <c r="F38" s="173" t="n"/>
      <c r="G38" s="173" t="n"/>
      <c r="H38" s="173" t="n"/>
      <c r="I38" s="173" t="n"/>
      <c r="J38" s="173" t="n"/>
      <c r="K38" s="173" t="n"/>
      <c r="L38" s="173" t="n"/>
      <c r="M38" s="173" t="n"/>
      <c r="N38" s="173" t="n"/>
      <c r="O38" s="173" t="n"/>
      <c r="P38" s="173" t="n"/>
      <c r="Q38" s="173" t="n"/>
      <c r="R38" s="173" t="n"/>
      <c r="S38" s="173" t="n"/>
      <c r="T38" s="173" t="n"/>
      <c r="U38" s="173" t="n"/>
      <c r="V38" s="173" t="n"/>
      <c r="W38" s="173" t="n"/>
      <c r="X38" s="173" t="n"/>
      <c r="Y38" s="173" t="n"/>
      <c r="Z38" s="173" t="n"/>
      <c r="AA38" s="173" t="n"/>
      <c r="AB38" s="173" t="n"/>
      <c r="AC38" s="173" t="n"/>
      <c r="AD38" s="173" t="n"/>
      <c r="AE38" s="173" t="n"/>
      <c r="AF38" s="173" t="n"/>
      <c r="AG38" s="173" t="n"/>
      <c r="AH38" s="173" t="n"/>
      <c r="AI38" s="173" t="n"/>
      <c r="AJ38" s="173" t="n"/>
      <c r="AK38" s="173" t="n"/>
      <c r="AL38" s="173" t="n"/>
      <c r="AM38" s="173" t="n"/>
      <c r="AN38" s="173" t="n"/>
      <c r="AO38" s="173" t="n"/>
      <c r="AP38" s="173" t="n"/>
      <c r="AQ38" s="173" t="n"/>
      <c r="AR38" s="173" t="n"/>
      <c r="AS38" s="173" t="n"/>
      <c r="AT38" s="173" t="n"/>
      <c r="AU38" s="173" t="n"/>
      <c r="AV38" s="173" t="n"/>
      <c r="AW38" s="173" t="n"/>
      <c r="AX38" s="173" t="n"/>
      <c r="AY38" s="173" t="n"/>
      <c r="AZ38" s="173" t="n"/>
      <c r="BA38" s="173" t="n"/>
      <c r="BB38" s="173" t="n"/>
      <c r="BC38" s="173" t="n"/>
      <c r="BD38" s="26" t="n"/>
      <c r="BE38" s="26" t="n"/>
      <c r="BF38" s="26" t="n"/>
      <c r="BG38" s="26" t="n"/>
    </row>
    <row r="39" ht="21.75" customHeight="1" s="209">
      <c r="A39" s="227" t="inlineStr">
        <is>
          <t>🛡️ [실시간 진척도 관제] 정보보안기사 필기 (⚠️ 총 43개 섹션 이론 정독 및 과목별 과락 방어 관리)</t>
        </is>
      </c>
      <c r="BD39" s="26" t="n"/>
      <c r="BE39" s="26" t="n"/>
      <c r="BF39" s="26" t="n"/>
      <c r="BG39" s="26" t="n"/>
    </row>
    <row r="40" ht="19.5" customHeight="1" s="209">
      <c r="A40" s="228" t="inlineStr">
        <is>
          <t>필기 공식 5과목명 (100문항)</t>
        </is>
      </c>
      <c r="B40" s="213" t="n"/>
      <c r="C40" s="213" t="n"/>
      <c r="D40" s="213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4" t="n"/>
      <c r="Q40" s="228" t="inlineStr">
        <is>
          <t>세부 PART / SECTION 범위</t>
        </is>
      </c>
      <c r="R40" s="213" t="n"/>
      <c r="S40" s="213" t="n"/>
      <c r="T40" s="213" t="n"/>
      <c r="U40" s="213" t="n"/>
      <c r="V40" s="213" t="n"/>
      <c r="W40" s="213" t="n"/>
      <c r="X40" s="213" t="n"/>
      <c r="Y40" s="213" t="n"/>
      <c r="Z40" s="213" t="n"/>
      <c r="AA40" s="213" t="n"/>
      <c r="AB40" s="213" t="n"/>
      <c r="AC40" s="213" t="n"/>
      <c r="AD40" s="214" t="n"/>
      <c r="AE40" s="254" t="inlineStr">
        <is>
          <t>1회독 진도율</t>
        </is>
      </c>
      <c r="AF40" s="213" t="n"/>
      <c r="AG40" s="213" t="n"/>
      <c r="AH40" s="213" t="n"/>
      <c r="AI40" s="213" t="n"/>
      <c r="AJ40" s="214" t="n"/>
      <c r="AK40" s="228" t="inlineStr">
        <is>
          <t>목표점수</t>
        </is>
      </c>
      <c r="AL40" s="213" t="n"/>
      <c r="AM40" s="213" t="n"/>
      <c r="AN40" s="214" t="n"/>
      <c r="AO40" s="228" t="inlineStr">
        <is>
          <t>실전 모의점수</t>
        </is>
      </c>
      <c r="AP40" s="213" t="n"/>
      <c r="AQ40" s="213" t="n"/>
      <c r="AR40" s="214" t="n"/>
      <c r="AS40" s="228" t="inlineStr">
        <is>
          <t>과락/합격 판정</t>
        </is>
      </c>
      <c r="AT40" s="213" t="n"/>
      <c r="AU40" s="213" t="n"/>
      <c r="AV40" s="213" t="n"/>
      <c r="AW40" s="213" t="n"/>
      <c r="AX40" s="213" t="n"/>
      <c r="AY40" s="213" t="n"/>
      <c r="AZ40" s="213" t="n"/>
      <c r="BA40" s="213" t="n"/>
      <c r="BB40" s="213" t="n"/>
      <c r="BC40" s="214" t="n"/>
      <c r="BD40" s="26" t="n"/>
      <c r="BE40" s="26" t="n"/>
      <c r="BF40" s="26" t="n"/>
      <c r="BG40" s="26" t="n"/>
    </row>
    <row r="41" ht="18.75" customHeight="1" s="209">
      <c r="A41" s="230" t="inlineStr">
        <is>
          <t>1과목: 시스템 보안 (20문항)</t>
        </is>
      </c>
      <c r="B41" s="213" t="n"/>
      <c r="C41" s="213" t="n"/>
      <c r="D41" s="213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4" t="n"/>
      <c r="Q41" s="230" t="inlineStr">
        <is>
          <t>PART 04 (SECTION 12~18)</t>
        </is>
      </c>
      <c r="R41" s="213" t="n"/>
      <c r="S41" s="213" t="n"/>
      <c r="T41" s="213" t="n"/>
      <c r="U41" s="213" t="n"/>
      <c r="V41" s="213" t="n"/>
      <c r="W41" s="213" t="n"/>
      <c r="X41" s="213" t="n"/>
      <c r="Y41" s="213" t="n"/>
      <c r="Z41" s="213" t="n"/>
      <c r="AA41" s="213" t="n"/>
      <c r="AB41" s="213" t="n"/>
      <c r="AC41" s="213" t="n"/>
      <c r="AD41" s="214" t="n"/>
      <c r="AE41" s="255">
        <f>COUNTIFS('03_보안기사_필기_DB'!$B$4:$B$100, "PART 04", '03_보안기사_필기_DB'!$I$4:$I$100, "&lt;&gt;") / COUNTIF('03_보안기사_필기_DB'!$B$4:$B$100, "PART 04")</f>
        <v/>
      </c>
      <c r="AF41" s="213" t="n"/>
      <c r="AG41" s="213" t="n"/>
      <c r="AH41" s="213" t="n"/>
      <c r="AI41" s="213" t="n"/>
      <c r="AJ41" s="214" t="n"/>
      <c r="AK41" s="236" t="n">
        <v>80</v>
      </c>
      <c r="AL41" s="213" t="n"/>
      <c r="AM41" s="213" t="n"/>
      <c r="AN41" s="214" t="n"/>
      <c r="AO41" s="62" t="n"/>
      <c r="AP41" s="213" t="n"/>
      <c r="AQ41" s="213" t="n"/>
      <c r="AR41" s="214" t="n"/>
      <c r="AS41" s="229">
        <f>IF(AO41="","미응시",IF(AO41&gt;=40,"PASS (과락통과)","과락(Fail)"))</f>
        <v/>
      </c>
      <c r="AT41" s="213" t="n"/>
      <c r="AU41" s="213" t="n"/>
      <c r="AV41" s="213" t="n"/>
      <c r="AW41" s="213" t="n"/>
      <c r="AX41" s="213" t="n"/>
      <c r="AY41" s="213" t="n"/>
      <c r="AZ41" s="213" t="n"/>
      <c r="BA41" s="213" t="n"/>
      <c r="BB41" s="213" t="n"/>
      <c r="BC41" s="214" t="n"/>
      <c r="BD41" s="26" t="n"/>
      <c r="BE41" s="26" t="n"/>
      <c r="BF41" s="26" t="n"/>
      <c r="BG41" s="26" t="n"/>
    </row>
    <row r="42" ht="18.75" customHeight="1" s="209">
      <c r="A42" s="239" t="inlineStr">
        <is>
          <t>2과목: 네트워크 보안 (20문항)</t>
        </is>
      </c>
      <c r="B42" s="213" t="n"/>
      <c r="C42" s="213" t="n"/>
      <c r="D42" s="213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4" t="n"/>
      <c r="Q42" s="239" t="inlineStr">
        <is>
          <t>PART 05 (SECTION 19~30)</t>
        </is>
      </c>
      <c r="R42" s="213" t="n"/>
      <c r="S42" s="213" t="n"/>
      <c r="T42" s="213" t="n"/>
      <c r="U42" s="213" t="n"/>
      <c r="V42" s="213" t="n"/>
      <c r="W42" s="213" t="n"/>
      <c r="X42" s="213" t="n"/>
      <c r="Y42" s="213" t="n"/>
      <c r="Z42" s="213" t="n"/>
      <c r="AA42" s="213" t="n"/>
      <c r="AB42" s="213" t="n"/>
      <c r="AC42" s="213" t="n"/>
      <c r="AD42" s="214" t="n"/>
      <c r="AE42" s="256">
        <f>COUNTIFS('03_보안기사_필기_DB'!$B$4:$B$100, "PART 05", '03_보안기사_필기_DB'!$I$4:$I$100, "&lt;&gt;") / COUNTIF('03_보안기사_필기_DB'!$B$4:$B$100, "PART 05")</f>
        <v/>
      </c>
      <c r="AF42" s="213" t="n"/>
      <c r="AG42" s="213" t="n"/>
      <c r="AH42" s="213" t="n"/>
      <c r="AI42" s="213" t="n"/>
      <c r="AJ42" s="214" t="n"/>
      <c r="AK42" s="238" t="n">
        <v>85</v>
      </c>
      <c r="AL42" s="213" t="n"/>
      <c r="AM42" s="213" t="n"/>
      <c r="AN42" s="214" t="n"/>
      <c r="AO42" s="91" t="n"/>
      <c r="AP42" s="213" t="n"/>
      <c r="AQ42" s="213" t="n"/>
      <c r="AR42" s="214" t="n"/>
      <c r="AS42" s="233">
        <f>IF(AO42="","미응시",IF(AO42&gt;=40,"PASS (과락통과)","과락(Fail)"))</f>
        <v/>
      </c>
      <c r="AT42" s="213" t="n"/>
      <c r="AU42" s="213" t="n"/>
      <c r="AV42" s="213" t="n"/>
      <c r="AW42" s="213" t="n"/>
      <c r="AX42" s="213" t="n"/>
      <c r="AY42" s="213" t="n"/>
      <c r="AZ42" s="213" t="n"/>
      <c r="BA42" s="213" t="n"/>
      <c r="BB42" s="213" t="n"/>
      <c r="BC42" s="214" t="n"/>
      <c r="BD42" s="26" t="n"/>
      <c r="BE42" s="26" t="n"/>
      <c r="BF42" s="26" t="n"/>
      <c r="BG42" s="26" t="n"/>
    </row>
    <row r="43" ht="18.75" customHeight="1" s="209">
      <c r="A43" s="230" t="inlineStr">
        <is>
          <t>3과목: 애플리케이션 보안 (20문항)</t>
        </is>
      </c>
      <c r="B43" s="213" t="n"/>
      <c r="C43" s="213" t="n"/>
      <c r="D43" s="213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4" t="n"/>
      <c r="Q43" s="230" t="inlineStr">
        <is>
          <t>PART 06 (SECTION 31~38)</t>
        </is>
      </c>
      <c r="R43" s="213" t="n"/>
      <c r="S43" s="213" t="n"/>
      <c r="T43" s="213" t="n"/>
      <c r="U43" s="213" t="n"/>
      <c r="V43" s="213" t="n"/>
      <c r="W43" s="213" t="n"/>
      <c r="X43" s="213" t="n"/>
      <c r="Y43" s="213" t="n"/>
      <c r="Z43" s="213" t="n"/>
      <c r="AA43" s="213" t="n"/>
      <c r="AB43" s="213" t="n"/>
      <c r="AC43" s="213" t="n"/>
      <c r="AD43" s="214" t="n"/>
      <c r="AE43" s="255">
        <f>COUNTIFS('03_보안기사_필기_DB'!$B$4:$B$100, "PART 06", '03_보안기사_필기_DB'!$I$4:$I$100, "&lt;&gt;") / COUNTIF('03_보안기사_필기_DB'!$B$4:$B$100, "PART 06")</f>
        <v/>
      </c>
      <c r="AF43" s="213" t="n"/>
      <c r="AG43" s="213" t="n"/>
      <c r="AH43" s="213" t="n"/>
      <c r="AI43" s="213" t="n"/>
      <c r="AJ43" s="214" t="n"/>
      <c r="AK43" s="236" t="n">
        <v>80</v>
      </c>
      <c r="AL43" s="213" t="n"/>
      <c r="AM43" s="213" t="n"/>
      <c r="AN43" s="214" t="n"/>
      <c r="AO43" s="62" t="n"/>
      <c r="AP43" s="213" t="n"/>
      <c r="AQ43" s="213" t="n"/>
      <c r="AR43" s="214" t="n"/>
      <c r="AS43" s="229">
        <f>IF(AO43="","미응시",IF(AO43&gt;=40,"PASS (과락통과)","과락(Fail)"))</f>
        <v/>
      </c>
      <c r="AT43" s="213" t="n"/>
      <c r="AU43" s="213" t="n"/>
      <c r="AV43" s="213" t="n"/>
      <c r="AW43" s="213" t="n"/>
      <c r="AX43" s="213" t="n"/>
      <c r="AY43" s="213" t="n"/>
      <c r="AZ43" s="213" t="n"/>
      <c r="BA43" s="213" t="n"/>
      <c r="BB43" s="213" t="n"/>
      <c r="BC43" s="214" t="n"/>
      <c r="BD43" s="26" t="n"/>
      <c r="BE43" s="26" t="n"/>
      <c r="BF43" s="26" t="n"/>
      <c r="BG43" s="26" t="n"/>
    </row>
    <row r="44" ht="18.75" customHeight="1" s="209">
      <c r="A44" s="239" t="inlineStr">
        <is>
          <t>4과목: 정보보안 일반 (20문항)</t>
        </is>
      </c>
      <c r="B44" s="213" t="n"/>
      <c r="C44" s="213" t="n"/>
      <c r="D44" s="213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4" t="n"/>
      <c r="Q44" s="239" t="inlineStr">
        <is>
          <t>PART 01~03 (암호학/접근통제)</t>
        </is>
      </c>
      <c r="R44" s="213" t="n"/>
      <c r="S44" s="213" t="n"/>
      <c r="T44" s="213" t="n"/>
      <c r="U44" s="213" t="n"/>
      <c r="V44" s="213" t="n"/>
      <c r="W44" s="213" t="n"/>
      <c r="X44" s="213" t="n"/>
      <c r="Y44" s="213" t="n"/>
      <c r="Z44" s="213" t="n"/>
      <c r="AA44" s="213" t="n"/>
      <c r="AB44" s="213" t="n"/>
      <c r="AC44" s="213" t="n"/>
      <c r="AD44" s="214" t="n"/>
      <c r="AE44" s="256">
        <f>COUNTIFS('03_보안기사_필기_DB'!$B$4:$B$100, "PART 01*", '03_보안기사_필기_DB'!$I$4:$I$100, "&lt;&gt;") / COUNTIF('03_보안기사_필기_DB'!$B$4:$B$100, "PART 01*")</f>
        <v/>
      </c>
      <c r="AF44" s="213" t="n"/>
      <c r="AG44" s="213" t="n"/>
      <c r="AH44" s="213" t="n"/>
      <c r="AI44" s="213" t="n"/>
      <c r="AJ44" s="214" t="n"/>
      <c r="AK44" s="238" t="n">
        <v>85</v>
      </c>
      <c r="AL44" s="213" t="n"/>
      <c r="AM44" s="213" t="n"/>
      <c r="AN44" s="214" t="n"/>
      <c r="AO44" s="91" t="n"/>
      <c r="AP44" s="213" t="n"/>
      <c r="AQ44" s="213" t="n"/>
      <c r="AR44" s="214" t="n"/>
      <c r="AS44" s="233">
        <f>IF(AO44="","미응시",IF(AO44&gt;=40,"PASS (과락통과)","과락(Fail)"))</f>
        <v/>
      </c>
      <c r="AT44" s="213" t="n"/>
      <c r="AU44" s="213" t="n"/>
      <c r="AV44" s="213" t="n"/>
      <c r="AW44" s="213" t="n"/>
      <c r="AX44" s="213" t="n"/>
      <c r="AY44" s="213" t="n"/>
      <c r="AZ44" s="213" t="n"/>
      <c r="BA44" s="213" t="n"/>
      <c r="BB44" s="213" t="n"/>
      <c r="BC44" s="214" t="n"/>
      <c r="BD44" s="26" t="n"/>
      <c r="BE44" s="26" t="n"/>
      <c r="BF44" s="26" t="n"/>
      <c r="BG44" s="26" t="n"/>
    </row>
    <row r="45" ht="18.75" customHeight="1" s="209">
      <c r="A45" s="230" t="inlineStr">
        <is>
          <t>5과목: 정보보안 관리 및 법규 (20문항)</t>
        </is>
      </c>
      <c r="B45" s="213" t="n"/>
      <c r="C45" s="213" t="n"/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4" t="n"/>
      <c r="Q45" s="230" t="inlineStr">
        <is>
          <t>PART 07 (SECTION 39~43)</t>
        </is>
      </c>
      <c r="R45" s="213" t="n"/>
      <c r="S45" s="213" t="n"/>
      <c r="T45" s="213" t="n"/>
      <c r="U45" s="213" t="n"/>
      <c r="V45" s="213" t="n"/>
      <c r="W45" s="213" t="n"/>
      <c r="X45" s="213" t="n"/>
      <c r="Y45" s="213" t="n"/>
      <c r="Z45" s="213" t="n"/>
      <c r="AA45" s="213" t="n"/>
      <c r="AB45" s="213" t="n"/>
      <c r="AC45" s="213" t="n"/>
      <c r="AD45" s="214" t="n"/>
      <c r="AE45" s="255">
        <f>COUNTIFS('03_보안기사_필기_DB'!$B$4:$B$100, "PART 07", '03_보안기사_필기_DB'!$I$4:$I$100, "&lt;&gt;") / COUNTIF('03_보안기사_필기_DB'!$B$4:$B$100, "PART 07")</f>
        <v/>
      </c>
      <c r="AF45" s="213" t="n"/>
      <c r="AG45" s="213" t="n"/>
      <c r="AH45" s="213" t="n"/>
      <c r="AI45" s="213" t="n"/>
      <c r="AJ45" s="214" t="n"/>
      <c r="AK45" s="236" t="n">
        <v>80</v>
      </c>
      <c r="AL45" s="213" t="n"/>
      <c r="AM45" s="213" t="n"/>
      <c r="AN45" s="214" t="n"/>
      <c r="AO45" s="62" t="n"/>
      <c r="AP45" s="213" t="n"/>
      <c r="AQ45" s="213" t="n"/>
      <c r="AR45" s="214" t="n"/>
      <c r="AS45" s="229">
        <f>IF(AO45="","미응시",IF(AO45&gt;=40,"PASS (과락통과)","과락(Fail)"))</f>
        <v/>
      </c>
      <c r="AT45" s="213" t="n"/>
      <c r="AU45" s="213" t="n"/>
      <c r="AV45" s="213" t="n"/>
      <c r="AW45" s="213" t="n"/>
      <c r="AX45" s="213" t="n"/>
      <c r="AY45" s="213" t="n"/>
      <c r="AZ45" s="213" t="n"/>
      <c r="BA45" s="213" t="n"/>
      <c r="BB45" s="213" t="n"/>
      <c r="BC45" s="214" t="n"/>
      <c r="BD45" s="26" t="n"/>
      <c r="BE45" s="26" t="n"/>
      <c r="BF45" s="26" t="n"/>
      <c r="BG45" s="26" t="n"/>
    </row>
    <row r="46" ht="18.75" customHeight="1" s="209">
      <c r="A46" s="252" t="inlineStr">
        <is>
          <t>필기 5과목 종합 평균 및 최종 판정</t>
        </is>
      </c>
      <c r="B46" s="250" t="n"/>
      <c r="C46" s="250" t="n"/>
      <c r="D46" s="250" t="n"/>
      <c r="E46" s="250" t="n"/>
      <c r="F46" s="250" t="n"/>
      <c r="G46" s="250" t="n"/>
      <c r="H46" s="250" t="n"/>
      <c r="I46" s="250" t="n"/>
      <c r="J46" s="250" t="n"/>
      <c r="K46" s="250" t="n"/>
      <c r="L46" s="250" t="n"/>
      <c r="M46" s="250" t="n"/>
      <c r="N46" s="250" t="n"/>
      <c r="O46" s="250" t="n"/>
      <c r="P46" s="251" t="n"/>
      <c r="Q46" s="257" t="inlineStr">
        <is>
          <t>전과목 100문항 (150분)</t>
        </is>
      </c>
      <c r="R46" s="250" t="n"/>
      <c r="S46" s="250" t="n"/>
      <c r="T46" s="250" t="n"/>
      <c r="U46" s="250" t="n"/>
      <c r="V46" s="250" t="n"/>
      <c r="W46" s="250" t="n"/>
      <c r="X46" s="250" t="n"/>
      <c r="Y46" s="250" t="n"/>
      <c r="Z46" s="250" t="n"/>
      <c r="AA46" s="250" t="n"/>
      <c r="AB46" s="250" t="n"/>
      <c r="AC46" s="250" t="n"/>
      <c r="AD46" s="251" t="n"/>
      <c r="AE46" s="258">
        <f>AVERAGE(AE41:AE45)</f>
        <v/>
      </c>
      <c r="AF46" s="250" t="n"/>
      <c r="AG46" s="250" t="n"/>
      <c r="AH46" s="250" t="n"/>
      <c r="AI46" s="250" t="n"/>
      <c r="AJ46" s="251" t="n"/>
      <c r="AK46" s="253" t="n">
        <v>82</v>
      </c>
      <c r="AL46" s="250" t="n"/>
      <c r="AM46" s="250" t="n"/>
      <c r="AN46" s="251" t="n"/>
      <c r="AO46" s="259" t="n"/>
      <c r="AP46" s="250" t="n"/>
      <c r="AQ46" s="250" t="n"/>
      <c r="AR46" s="251" t="n"/>
      <c r="AS46" s="249">
        <f>IF(AO46="","모의고사 미응시",IF(AO46&gt;=60,"🎉 필기합격권","재도전필요"))</f>
        <v/>
      </c>
      <c r="AT46" s="250" t="n"/>
      <c r="AU46" s="250" t="n"/>
      <c r="AV46" s="250" t="n"/>
      <c r="AW46" s="250" t="n"/>
      <c r="AX46" s="250" t="n"/>
      <c r="AY46" s="250" t="n"/>
      <c r="AZ46" s="250" t="n"/>
      <c r="BA46" s="250" t="n"/>
      <c r="BB46" s="250" t="n"/>
      <c r="BC46" s="251" t="n"/>
      <c r="BD46" s="26" t="n"/>
      <c r="BE46" s="26" t="n"/>
      <c r="BF46" s="26" t="n"/>
      <c r="BG46" s="26" t="n"/>
    </row>
    <row r="47" ht="21.75" customHeight="1" s="209">
      <c r="A47" s="173" t="n"/>
      <c r="B47" s="173" t="n"/>
      <c r="C47" s="173" t="n"/>
      <c r="D47" s="173" t="n"/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  <c r="U47" s="173" t="n"/>
      <c r="V47" s="173" t="n"/>
      <c r="W47" s="173" t="n"/>
      <c r="X47" s="173" t="n"/>
      <c r="Y47" s="173" t="n"/>
      <c r="Z47" s="173" t="n"/>
      <c r="AA47" s="173" t="n"/>
      <c r="AB47" s="173" t="n"/>
      <c r="AC47" s="173" t="n"/>
      <c r="AD47" s="173" t="n"/>
      <c r="AE47" s="173" t="n"/>
      <c r="AF47" s="173" t="n"/>
      <c r="AG47" s="173" t="n"/>
      <c r="AH47" s="173" t="n"/>
      <c r="AI47" s="173" t="n"/>
      <c r="AJ47" s="173" t="n"/>
      <c r="AK47" s="173" t="n"/>
      <c r="AL47" s="173" t="n"/>
      <c r="AM47" s="173" t="n"/>
      <c r="AN47" s="173" t="n"/>
      <c r="AO47" s="173" t="n"/>
      <c r="AP47" s="173" t="n"/>
      <c r="AQ47" s="173" t="n"/>
      <c r="AR47" s="173" t="n"/>
      <c r="AS47" s="173" t="n"/>
      <c r="AT47" s="173" t="n"/>
      <c r="AU47" s="173" t="n"/>
      <c r="AV47" s="173" t="n"/>
      <c r="AW47" s="173" t="n"/>
      <c r="AX47" s="173" t="n"/>
      <c r="AY47" s="173" t="n"/>
      <c r="AZ47" s="173" t="n"/>
      <c r="BA47" s="173" t="n"/>
      <c r="BB47" s="173" t="n"/>
      <c r="BC47" s="173" t="n"/>
      <c r="BD47" s="26" t="n"/>
      <c r="BE47" s="26" t="n"/>
      <c r="BF47" s="26" t="n"/>
      <c r="BG47" s="26" t="n"/>
    </row>
    <row r="48" ht="21.75" customHeight="1" s="209">
      <c r="A48" s="227" t="inlineStr">
        <is>
          <t>📋 [실시간 우선 복습 &amp; 오답 집중 Watchlist 테이블] (02번 SWEA DB에서 보류 및 오답 체크된 문항 자동 추출)</t>
        </is>
      </c>
      <c r="BD48" s="26" t="n"/>
      <c r="BE48" s="26" t="n"/>
      <c r="BF48" s="26" t="n"/>
      <c r="BG48" s="26" t="n"/>
    </row>
    <row r="49" ht="19.5" customHeight="1" s="209">
      <c r="A49" s="228" t="inlineStr">
        <is>
          <t>순번</t>
        </is>
      </c>
      <c r="B49" s="213" t="n"/>
      <c r="C49" s="214" t="n"/>
      <c r="D49" s="228" t="inlineStr">
        <is>
          <t>문제번호</t>
        </is>
      </c>
      <c r="E49" s="213" t="n"/>
      <c r="F49" s="213" t="n"/>
      <c r="G49" s="214" t="n"/>
      <c r="H49" s="228" t="inlineStr">
        <is>
          <t>난이도</t>
        </is>
      </c>
      <c r="I49" s="213" t="n"/>
      <c r="J49" s="214" t="n"/>
      <c r="K49" s="228" t="inlineStr">
        <is>
          <t>문제 제목</t>
        </is>
      </c>
      <c r="L49" s="213" t="n"/>
      <c r="M49" s="213" t="n"/>
      <c r="N49" s="213" t="n"/>
      <c r="O49" s="213" t="n"/>
      <c r="P49" s="213" t="n"/>
      <c r="Q49" s="213" t="n"/>
      <c r="R49" s="213" t="n"/>
      <c r="S49" s="213" t="n"/>
      <c r="T49" s="213" t="n"/>
      <c r="U49" s="213" t="n"/>
      <c r="V49" s="213" t="n"/>
      <c r="W49" s="214" t="n"/>
      <c r="X49" s="260" t="inlineStr">
        <is>
          <t>알고리즘 유형 (카테고리)</t>
        </is>
      </c>
      <c r="Y49" s="213" t="n"/>
      <c r="Z49" s="213" t="n"/>
      <c r="AA49" s="213" t="n"/>
      <c r="AB49" s="213" t="n"/>
      <c r="AC49" s="214" t="n"/>
      <c r="AD49" s="261" t="inlineStr">
        <is>
          <t>1차 풀이일자</t>
        </is>
      </c>
      <c r="AE49" s="213" t="n"/>
      <c r="AF49" s="213" t="n"/>
      <c r="AG49" s="213" t="n"/>
      <c r="AH49" s="213" t="n"/>
      <c r="AI49" s="214" t="n"/>
      <c r="AJ49" s="228" t="inlineStr">
        <is>
          <t>오답 원인 분류</t>
        </is>
      </c>
      <c r="AK49" s="213" t="n"/>
      <c r="AL49" s="213" t="n"/>
      <c r="AM49" s="213" t="n"/>
      <c r="AN49" s="213" t="n"/>
      <c r="AO49" s="214" t="n"/>
      <c r="AP49" s="228" t="inlineStr">
        <is>
          <t>학습 상태</t>
        </is>
      </c>
      <c r="AQ49" s="213" t="n"/>
      <c r="AR49" s="213" t="n"/>
      <c r="AS49" s="213" t="n"/>
      <c r="AT49" s="214" t="n"/>
      <c r="AU49" s="228" t="inlineStr">
        <is>
          <t>핵심 피드백 / 풀이 로직 메모</t>
        </is>
      </c>
      <c r="AV49" s="213" t="n"/>
      <c r="AW49" s="213" t="n"/>
      <c r="AX49" s="213" t="n"/>
      <c r="AY49" s="213" t="n"/>
      <c r="AZ49" s="213" t="n"/>
      <c r="BA49" s="213" t="n"/>
      <c r="BB49" s="213" t="n"/>
      <c r="BC49" s="214" t="n"/>
      <c r="BD49" s="26" t="n"/>
      <c r="BE49" s="26" t="n"/>
      <c r="BF49" s="26" t="n"/>
      <c r="BG49" s="26" t="n"/>
    </row>
    <row r="50" ht="19.5" customHeight="1" s="209">
      <c r="A50" s="238">
        <f>IF(ISNUMBER(MATCH(1, '02_SWEA_통합_코딩테스트_DB'!$M$4:$M$1260, 0)), 1, "")</f>
        <v/>
      </c>
      <c r="B50" s="213" t="n"/>
      <c r="C50" s="214" t="n"/>
      <c r="D50" s="233">
        <f t="array" ref="D50">IF(ISNUMBER(MATCH(1, '02_SWEA_통합_코딩테스트_DB'!$M$4:$M$1260, 0)), INDEX('02_SWEA_통합_코딩테스트_DB'!$B$4:$B$1260, MATCH(1, '02_SWEA_통합_코딩테스트_DB'!$M$4:$M$1260, 0)), "")</f>
        <v/>
      </c>
      <c r="E50" s="213" t="n"/>
      <c r="F50" s="213" t="n"/>
      <c r="G50" s="214" t="n"/>
      <c r="H50" s="238">
        <f t="array" ref="H50">IF(ISNUMBER(MATCH(1, '02_SWEA_통합_코딩테스트_DB'!$M$4:$M$1260, 0)), INDEX('02_SWEA_통합_코딩테스트_DB'!$C$4:$C$1260, MATCH(1, '02_SWEA_통합_코딩테스트_DB'!$M$4:$M$1260, 0)), "")</f>
        <v/>
      </c>
      <c r="I50" s="213" t="n"/>
      <c r="J50" s="214" t="n"/>
      <c r="K50" s="239">
        <f t="array" ref="K50">IF(ISNUMBER(MATCH(1, '02_SWEA_통합_코딩테스트_DB'!$M$4:$M$1260, 0)), INDEX('02_SWEA_통합_코딩테스트_DB'!$D$4:$D$1260, MATCH(1, '02_SWEA_통합_코딩테스트_DB'!$M$4:$M$1260, 0)), "")</f>
        <v/>
      </c>
      <c r="L50" s="213" t="n"/>
      <c r="M50" s="213" t="n"/>
      <c r="N50" s="213" t="n"/>
      <c r="O50" s="213" t="n"/>
      <c r="P50" s="213" t="n"/>
      <c r="Q50" s="213" t="n"/>
      <c r="R50" s="213" t="n"/>
      <c r="S50" s="213" t="n"/>
      <c r="T50" s="213" t="n"/>
      <c r="U50" s="213" t="n"/>
      <c r="V50" s="213" t="n"/>
      <c r="W50" s="214" t="n"/>
      <c r="X50" s="238">
        <f t="array" ref="X50">IF(ISNUMBER(MATCH(1, '02_SWEA_통합_코딩테스트_DB'!$M$4:$M$1260, 0)), INDEX('02_SWEA_통합_코딩테스트_DB'!$E$4:$E$1260, MATCH(1, '02_SWEA_통합_코딩테스트_DB'!$M$4:$M$1260, 0)), "")</f>
        <v/>
      </c>
      <c r="Y50" s="213" t="n"/>
      <c r="Z50" s="213" t="n"/>
      <c r="AA50" s="213" t="n"/>
      <c r="AB50" s="213" t="n"/>
      <c r="AC50" s="214" t="n"/>
      <c r="AD50" s="262">
        <f t="array" ref="AD50">IF(ISNUMBER(MATCH(1, '02_SWEA_통합_코딩테스트_DB'!$M$4:$M$1260, 0)), INDEX('02_SWEA_통합_코딩테스트_DB'!$F$4:$F$1260, MATCH(1, '02_SWEA_통합_코딩테스트_DB'!$M$4:$M$1260, 0)), "")</f>
        <v/>
      </c>
      <c r="AE50" s="213" t="n"/>
      <c r="AF50" s="213" t="n"/>
      <c r="AG50" s="213" t="n"/>
      <c r="AH50" s="213" t="n"/>
      <c r="AI50" s="214" t="n"/>
      <c r="AJ50" s="233">
        <f t="array" ref="AJ50">IF(ISNUMBER(MATCH(1, '02_SWEA_통합_코딩테스트_DB'!$M$4:$M$1260, 0)), INDEX('02_SWEA_통합_코딩테스트_DB'!$K$4:$K$1260, MATCH(1, '02_SWEA_통합_코딩테스트_DB'!$M$4:$M$1260, 0)), "")</f>
        <v/>
      </c>
      <c r="AK50" s="213" t="n"/>
      <c r="AL50" s="213" t="n"/>
      <c r="AM50" s="213" t="n"/>
      <c r="AN50" s="213" t="n"/>
      <c r="AO50" s="214" t="n"/>
      <c r="AP50" s="263">
        <f t="array" ref="AP50">IF(ISNUMBER(MATCH(1, '02_SWEA_통합_코딩테스트_DB'!$M$4:$M$1260, 0)), INDEX('02_SWEA_통합_코딩테스트_DB'!$J$4:$J$1260, MATCH(1, '02_SWEA_통합_코딩테스트_DB'!$M$4:$M$1260, 0)), "")</f>
        <v/>
      </c>
      <c r="AQ50" s="213" t="n"/>
      <c r="AR50" s="213" t="n"/>
      <c r="AS50" s="213" t="n"/>
      <c r="AT50" s="214" t="n"/>
      <c r="AU50" s="239">
        <f t="array" ref="AU50">IF(ISNUMBER(MATCH(1, '02_SWEA_통합_코딩테스트_DB'!$M$4:$M$1260, 0)), INDEX('02_SWEA_통합_코딩테스트_DB'!$L$4:$L$1260, MATCH(1, '02_SWEA_통합_코딩테스트_DB'!$M$4:$M$1260, 0)), "")</f>
        <v/>
      </c>
      <c r="AV50" s="213" t="n"/>
      <c r="AW50" s="213" t="n"/>
      <c r="AX50" s="213" t="n"/>
      <c r="AY50" s="213" t="n"/>
      <c r="AZ50" s="213" t="n"/>
      <c r="BA50" s="213" t="n"/>
      <c r="BB50" s="213" t="n"/>
      <c r="BC50" s="214" t="n"/>
      <c r="BD50" s="26" t="n"/>
      <c r="BE50" s="26" t="n"/>
      <c r="BF50" s="26" t="n"/>
      <c r="BG50" s="26" t="n"/>
    </row>
    <row r="51" ht="19.5" customHeight="1" s="209">
      <c r="A51" s="236">
        <f>IF(ISNUMBER(MATCH(2, '02_SWEA_통합_코딩테스트_DB'!$M$4:$M$1260, 0)), 2, "")</f>
        <v/>
      </c>
      <c r="B51" s="213" t="n"/>
      <c r="C51" s="214" t="n"/>
      <c r="D51" s="229">
        <f t="array" ref="D51">IF(ISNUMBER(MATCH(2, '02_SWEA_통합_코딩테스트_DB'!$M$4:$M$1260, 0)), INDEX('02_SWEA_통합_코딩테스트_DB'!$B$4:$B$1260, MATCH(2, '02_SWEA_통합_코딩테스트_DB'!$M$4:$M$1260, 0)), "")</f>
        <v/>
      </c>
      <c r="E51" s="213" t="n"/>
      <c r="F51" s="213" t="n"/>
      <c r="G51" s="214" t="n"/>
      <c r="H51" s="236">
        <f t="array" ref="H51">IF(ISNUMBER(MATCH(2, '02_SWEA_통합_코딩테스트_DB'!$M$4:$M$1260, 0)), INDEX('02_SWEA_통합_코딩테스트_DB'!$C$4:$C$1260, MATCH(2, '02_SWEA_통합_코딩테스트_DB'!$M$4:$M$1260, 0)), "")</f>
        <v/>
      </c>
      <c r="I51" s="213" t="n"/>
      <c r="J51" s="214" t="n"/>
      <c r="K51" s="230">
        <f t="array" ref="K51">IF(ISNUMBER(MATCH(2, '02_SWEA_통합_코딩테스트_DB'!$M$4:$M$1260, 0)), INDEX('02_SWEA_통합_코딩테스트_DB'!$D$4:$D$1260, MATCH(2, '02_SWEA_통합_코딩테스트_DB'!$M$4:$M$1260, 0)), "")</f>
        <v/>
      </c>
      <c r="L51" s="213" t="n"/>
      <c r="M51" s="213" t="n"/>
      <c r="N51" s="213" t="n"/>
      <c r="O51" s="213" t="n"/>
      <c r="P51" s="213" t="n"/>
      <c r="Q51" s="213" t="n"/>
      <c r="R51" s="213" t="n"/>
      <c r="S51" s="213" t="n"/>
      <c r="T51" s="213" t="n"/>
      <c r="U51" s="213" t="n"/>
      <c r="V51" s="213" t="n"/>
      <c r="W51" s="214" t="n"/>
      <c r="X51" s="236">
        <f t="array" ref="X51">IF(ISNUMBER(MATCH(2, '02_SWEA_통합_코딩테스트_DB'!$M$4:$M$1260, 0)), INDEX('02_SWEA_통합_코딩테스트_DB'!$E$4:$E$1260, MATCH(2, '02_SWEA_통합_코딩테스트_DB'!$M$4:$M$1260, 0)), "")</f>
        <v/>
      </c>
      <c r="Y51" s="213" t="n"/>
      <c r="Z51" s="213" t="n"/>
      <c r="AA51" s="213" t="n"/>
      <c r="AB51" s="213" t="n"/>
      <c r="AC51" s="214" t="n"/>
      <c r="AD51" s="264">
        <f t="array" ref="AD51">IF(ISNUMBER(MATCH(2, '02_SWEA_통합_코딩테스트_DB'!$M$4:$M$1260, 0)), INDEX('02_SWEA_통합_코딩테스트_DB'!$F$4:$F$1260, MATCH(2, '02_SWEA_통합_코딩테스트_DB'!$M$4:$M$1260, 0)), "")</f>
        <v/>
      </c>
      <c r="AE51" s="213" t="n"/>
      <c r="AF51" s="213" t="n"/>
      <c r="AG51" s="213" t="n"/>
      <c r="AH51" s="213" t="n"/>
      <c r="AI51" s="214" t="n"/>
      <c r="AJ51" s="229">
        <f t="array" ref="AJ51">IF(ISNUMBER(MATCH(2, '02_SWEA_통합_코딩테스트_DB'!$M$4:$M$1260, 0)), INDEX('02_SWEA_통합_코딩테스트_DB'!$K$4:$K$1260, MATCH(2, '02_SWEA_통합_코딩테스트_DB'!$M$4:$M$1260, 0)), "")</f>
        <v/>
      </c>
      <c r="AK51" s="213" t="n"/>
      <c r="AL51" s="213" t="n"/>
      <c r="AM51" s="213" t="n"/>
      <c r="AN51" s="213" t="n"/>
      <c r="AO51" s="214" t="n"/>
      <c r="AP51" s="265">
        <f t="array" ref="AP51">IF(ISNUMBER(MATCH(2, '02_SWEA_통합_코딩테스트_DB'!$M$4:$M$1260, 0)), INDEX('02_SWEA_통합_코딩테스트_DB'!$J$4:$J$1260, MATCH(2, '02_SWEA_통합_코딩테스트_DB'!$M$4:$M$1260, 0)), "")</f>
        <v/>
      </c>
      <c r="AQ51" s="213" t="n"/>
      <c r="AR51" s="213" t="n"/>
      <c r="AS51" s="213" t="n"/>
      <c r="AT51" s="214" t="n"/>
      <c r="AU51" s="230">
        <f t="array" ref="AU51">IF(ISNUMBER(MATCH(2, '02_SWEA_통합_코딩테스트_DB'!$M$4:$M$1260, 0)), INDEX('02_SWEA_통합_코딩테스트_DB'!$L$4:$L$1260, MATCH(2, '02_SWEA_통합_코딩테스트_DB'!$M$4:$M$1260, 0)), "")</f>
        <v/>
      </c>
      <c r="AV51" s="213" t="n"/>
      <c r="AW51" s="213" t="n"/>
      <c r="AX51" s="213" t="n"/>
      <c r="AY51" s="213" t="n"/>
      <c r="AZ51" s="213" t="n"/>
      <c r="BA51" s="213" t="n"/>
      <c r="BB51" s="213" t="n"/>
      <c r="BC51" s="214" t="n"/>
      <c r="BD51" s="26" t="n"/>
      <c r="BE51" s="26" t="n"/>
      <c r="BF51" s="26" t="n"/>
      <c r="BG51" s="26" t="n"/>
    </row>
    <row r="52" ht="19.5" customHeight="1" s="209">
      <c r="A52" s="238">
        <f>IF(ISNUMBER(MATCH(3, '02_SWEA_통합_코딩테스트_DB'!$M$4:$M$1260, 0)), 3, "")</f>
        <v/>
      </c>
      <c r="B52" s="213" t="n"/>
      <c r="C52" s="214" t="n"/>
      <c r="D52" s="233">
        <f t="array" ref="D52">IF(ISNUMBER(MATCH(3, '02_SWEA_통합_코딩테스트_DB'!$M$4:$M$1260, 0)), INDEX('02_SWEA_통합_코딩테스트_DB'!$B$4:$B$1260, MATCH(3, '02_SWEA_통합_코딩테스트_DB'!$M$4:$M$1260, 0)), "")</f>
        <v/>
      </c>
      <c r="E52" s="213" t="n"/>
      <c r="F52" s="213" t="n"/>
      <c r="G52" s="214" t="n"/>
      <c r="H52" s="238">
        <f t="array" ref="H52">IF(ISNUMBER(MATCH(3, '02_SWEA_통합_코딩테스트_DB'!$M$4:$M$1260, 0)), INDEX('02_SWEA_통합_코딩테스트_DB'!$C$4:$C$1260, MATCH(3, '02_SWEA_통합_코딩테스트_DB'!$M$4:$M$1260, 0)), "")</f>
        <v/>
      </c>
      <c r="I52" s="213" t="n"/>
      <c r="J52" s="214" t="n"/>
      <c r="K52" s="239">
        <f t="array" ref="K52">IF(ISNUMBER(MATCH(3, '02_SWEA_통합_코딩테스트_DB'!$M$4:$M$1260, 0)), INDEX('02_SWEA_통합_코딩테스트_DB'!$D$4:$D$1260, MATCH(3, '02_SWEA_통합_코딩테스트_DB'!$M$4:$M$1260, 0)), "")</f>
        <v/>
      </c>
      <c r="L52" s="213" t="n"/>
      <c r="M52" s="213" t="n"/>
      <c r="N52" s="213" t="n"/>
      <c r="O52" s="213" t="n"/>
      <c r="P52" s="213" t="n"/>
      <c r="Q52" s="213" t="n"/>
      <c r="R52" s="213" t="n"/>
      <c r="S52" s="213" t="n"/>
      <c r="T52" s="213" t="n"/>
      <c r="U52" s="213" t="n"/>
      <c r="V52" s="213" t="n"/>
      <c r="W52" s="214" t="n"/>
      <c r="X52" s="238">
        <f t="array" ref="X52">IF(ISNUMBER(MATCH(3, '02_SWEA_통합_코딩테스트_DB'!$M$4:$M$1260, 0)), INDEX('02_SWEA_통합_코딩테스트_DB'!$E$4:$E$1260, MATCH(3, '02_SWEA_통합_코딩테스트_DB'!$M$4:$M$1260, 0)), "")</f>
        <v/>
      </c>
      <c r="Y52" s="213" t="n"/>
      <c r="Z52" s="213" t="n"/>
      <c r="AA52" s="213" t="n"/>
      <c r="AB52" s="213" t="n"/>
      <c r="AC52" s="214" t="n"/>
      <c r="AD52" s="262">
        <f t="array" ref="AD52">IF(ISNUMBER(MATCH(3, '02_SWEA_통합_코딩테스트_DB'!$M$4:$M$1260, 0)), INDEX('02_SWEA_통합_코딩테스트_DB'!$F$4:$F$1260, MATCH(3, '02_SWEA_통합_코딩테스트_DB'!$M$4:$M$1260, 0)), "")</f>
        <v/>
      </c>
      <c r="AE52" s="213" t="n"/>
      <c r="AF52" s="213" t="n"/>
      <c r="AG52" s="213" t="n"/>
      <c r="AH52" s="213" t="n"/>
      <c r="AI52" s="214" t="n"/>
      <c r="AJ52" s="233">
        <f t="array" ref="AJ52">IF(ISNUMBER(MATCH(3, '02_SWEA_통합_코딩테스트_DB'!$M$4:$M$1260, 0)), INDEX('02_SWEA_통합_코딩테스트_DB'!$K$4:$K$1260, MATCH(3, '02_SWEA_통합_코딩테스트_DB'!$M$4:$M$1260, 0)), "")</f>
        <v/>
      </c>
      <c r="AK52" s="213" t="n"/>
      <c r="AL52" s="213" t="n"/>
      <c r="AM52" s="213" t="n"/>
      <c r="AN52" s="213" t="n"/>
      <c r="AO52" s="214" t="n"/>
      <c r="AP52" s="263">
        <f t="array" ref="AP52">IF(ISNUMBER(MATCH(3, '02_SWEA_통합_코딩테스트_DB'!$M$4:$M$1260, 0)), INDEX('02_SWEA_통합_코딩테스트_DB'!$J$4:$J$1260, MATCH(3, '02_SWEA_통합_코딩테스트_DB'!$M$4:$M$1260, 0)), "")</f>
        <v/>
      </c>
      <c r="AQ52" s="213" t="n"/>
      <c r="AR52" s="213" t="n"/>
      <c r="AS52" s="213" t="n"/>
      <c r="AT52" s="214" t="n"/>
      <c r="AU52" s="239">
        <f t="array" ref="AU52">IF(ISNUMBER(MATCH(3, '02_SWEA_통합_코딩테스트_DB'!$M$4:$M$1260, 0)), INDEX('02_SWEA_통합_코딩테스트_DB'!$L$4:$L$1260, MATCH(3, '02_SWEA_통합_코딩테스트_DB'!$M$4:$M$1260, 0)), "")</f>
        <v/>
      </c>
      <c r="AV52" s="213" t="n"/>
      <c r="AW52" s="213" t="n"/>
      <c r="AX52" s="213" t="n"/>
      <c r="AY52" s="213" t="n"/>
      <c r="AZ52" s="213" t="n"/>
      <c r="BA52" s="213" t="n"/>
      <c r="BB52" s="213" t="n"/>
      <c r="BC52" s="214" t="n"/>
      <c r="BD52" s="26" t="n"/>
      <c r="BE52" s="26" t="n"/>
      <c r="BF52" s="26" t="n"/>
      <c r="BG52" s="26" t="n"/>
    </row>
    <row r="53" ht="19.5" customHeight="1" s="209">
      <c r="A53" s="236">
        <f>IF(ISNUMBER(MATCH(4, '02_SWEA_통합_코딩테스트_DB'!$M$4:$M$1260, 0)), 4, "")</f>
        <v/>
      </c>
      <c r="B53" s="213" t="n"/>
      <c r="C53" s="214" t="n"/>
      <c r="D53" s="229">
        <f t="array" ref="D53">IF(ISNUMBER(MATCH(4, '02_SWEA_통합_코딩테스트_DB'!$M$4:$M$1260, 0)), INDEX('02_SWEA_통합_코딩테스트_DB'!$B$4:$B$1260, MATCH(4, '02_SWEA_통합_코딩테스트_DB'!$M$4:$M$1260, 0)), "")</f>
        <v/>
      </c>
      <c r="E53" s="213" t="n"/>
      <c r="F53" s="213" t="n"/>
      <c r="G53" s="214" t="n"/>
      <c r="H53" s="236">
        <f t="array" ref="H53">IF(ISNUMBER(MATCH(4, '02_SWEA_통합_코딩테스트_DB'!$M$4:$M$1260, 0)), INDEX('02_SWEA_통합_코딩테스트_DB'!$C$4:$C$1260, MATCH(4, '02_SWEA_통합_코딩테스트_DB'!$M$4:$M$1260, 0)), "")</f>
        <v/>
      </c>
      <c r="I53" s="213" t="n"/>
      <c r="J53" s="214" t="n"/>
      <c r="K53" s="230">
        <f t="array" ref="K53">IF(ISNUMBER(MATCH(4, '02_SWEA_통합_코딩테스트_DB'!$M$4:$M$1260, 0)), INDEX('02_SWEA_통합_코딩테스트_DB'!$D$4:$D$1260, MATCH(4, '02_SWEA_통합_코딩테스트_DB'!$M$4:$M$1260, 0)), "")</f>
        <v/>
      </c>
      <c r="L53" s="213" t="n"/>
      <c r="M53" s="213" t="n"/>
      <c r="N53" s="213" t="n"/>
      <c r="O53" s="213" t="n"/>
      <c r="P53" s="213" t="n"/>
      <c r="Q53" s="213" t="n"/>
      <c r="R53" s="213" t="n"/>
      <c r="S53" s="213" t="n"/>
      <c r="T53" s="213" t="n"/>
      <c r="U53" s="213" t="n"/>
      <c r="V53" s="213" t="n"/>
      <c r="W53" s="214" t="n"/>
      <c r="X53" s="236">
        <f t="array" ref="X53">IF(ISNUMBER(MATCH(4, '02_SWEA_통합_코딩테스트_DB'!$M$4:$M$1260, 0)), INDEX('02_SWEA_통합_코딩테스트_DB'!$E$4:$E$1260, MATCH(4, '02_SWEA_통합_코딩테스트_DB'!$M$4:$M$1260, 0)), "")</f>
        <v/>
      </c>
      <c r="Y53" s="213" t="n"/>
      <c r="Z53" s="213" t="n"/>
      <c r="AA53" s="213" t="n"/>
      <c r="AB53" s="213" t="n"/>
      <c r="AC53" s="214" t="n"/>
      <c r="AD53" s="264">
        <f t="array" ref="AD53">IF(ISNUMBER(MATCH(4, '02_SWEA_통합_코딩테스트_DB'!$M$4:$M$1260, 0)), INDEX('02_SWEA_통합_코딩테스트_DB'!$F$4:$F$1260, MATCH(4, '02_SWEA_통합_코딩테스트_DB'!$M$4:$M$1260, 0)), "")</f>
        <v/>
      </c>
      <c r="AE53" s="213" t="n"/>
      <c r="AF53" s="213" t="n"/>
      <c r="AG53" s="213" t="n"/>
      <c r="AH53" s="213" t="n"/>
      <c r="AI53" s="214" t="n"/>
      <c r="AJ53" s="229">
        <f t="array" ref="AJ53">IF(ISNUMBER(MATCH(4, '02_SWEA_통합_코딩테스트_DB'!$M$4:$M$1260, 0)), INDEX('02_SWEA_통합_코딩테스트_DB'!$K$4:$K$1260, MATCH(4, '02_SWEA_통합_코딩테스트_DB'!$M$4:$M$1260, 0)), "")</f>
        <v/>
      </c>
      <c r="AK53" s="213" t="n"/>
      <c r="AL53" s="213" t="n"/>
      <c r="AM53" s="213" t="n"/>
      <c r="AN53" s="213" t="n"/>
      <c r="AO53" s="214" t="n"/>
      <c r="AP53" s="265">
        <f t="array" ref="AP53">IF(ISNUMBER(MATCH(4, '02_SWEA_통합_코딩테스트_DB'!$M$4:$M$1260, 0)), INDEX('02_SWEA_통합_코딩테스트_DB'!$J$4:$J$1260, MATCH(4, '02_SWEA_통합_코딩테스트_DB'!$M$4:$M$1260, 0)), "")</f>
        <v/>
      </c>
      <c r="AQ53" s="213" t="n"/>
      <c r="AR53" s="213" t="n"/>
      <c r="AS53" s="213" t="n"/>
      <c r="AT53" s="214" t="n"/>
      <c r="AU53" s="230">
        <f t="array" ref="AU53">IF(ISNUMBER(MATCH(4, '02_SWEA_통합_코딩테스트_DB'!$M$4:$M$1260, 0)), INDEX('02_SWEA_통합_코딩테스트_DB'!$L$4:$L$1260, MATCH(4, '02_SWEA_통합_코딩테스트_DB'!$M$4:$M$1260, 0)), "")</f>
        <v/>
      </c>
      <c r="AV53" s="213" t="n"/>
      <c r="AW53" s="213" t="n"/>
      <c r="AX53" s="213" t="n"/>
      <c r="AY53" s="213" t="n"/>
      <c r="AZ53" s="213" t="n"/>
      <c r="BA53" s="213" t="n"/>
      <c r="BB53" s="213" t="n"/>
      <c r="BC53" s="214" t="n"/>
      <c r="BD53" s="26" t="n"/>
      <c r="BE53" s="26" t="n"/>
      <c r="BF53" s="26" t="n"/>
      <c r="BG53" s="26" t="n"/>
    </row>
    <row r="54" ht="19.5" customHeight="1" s="209">
      <c r="A54" s="238">
        <f>IF(ISNUMBER(MATCH(5, '02_SWEA_통합_코딩테스트_DB'!$M$4:$M$1260, 0)), 5, "")</f>
        <v/>
      </c>
      <c r="B54" s="213" t="n"/>
      <c r="C54" s="214" t="n"/>
      <c r="D54" s="233">
        <f t="array" ref="D54">IF(ISNUMBER(MATCH(5, '02_SWEA_통합_코딩테스트_DB'!$M$4:$M$1260, 0)), INDEX('02_SWEA_통합_코딩테스트_DB'!$B$4:$B$1260, MATCH(5, '02_SWEA_통합_코딩테스트_DB'!$M$4:$M$1260, 0)), "")</f>
        <v/>
      </c>
      <c r="E54" s="213" t="n"/>
      <c r="F54" s="213" t="n"/>
      <c r="G54" s="214" t="n"/>
      <c r="H54" s="238">
        <f t="array" ref="H54">IF(ISNUMBER(MATCH(5, '02_SWEA_통합_코딩테스트_DB'!$M$4:$M$1260, 0)), INDEX('02_SWEA_통합_코딩테스트_DB'!$C$4:$C$1260, MATCH(5, '02_SWEA_통합_코딩테스트_DB'!$M$4:$M$1260, 0)), "")</f>
        <v/>
      </c>
      <c r="I54" s="213" t="n"/>
      <c r="J54" s="214" t="n"/>
      <c r="K54" s="239">
        <f t="array" ref="K54">IF(ISNUMBER(MATCH(5, '02_SWEA_통합_코딩테스트_DB'!$M$4:$M$1260, 0)), INDEX('02_SWEA_통합_코딩테스트_DB'!$D$4:$D$1260, MATCH(5, '02_SWEA_통합_코딩테스트_DB'!$M$4:$M$1260, 0)), "")</f>
        <v/>
      </c>
      <c r="L54" s="213" t="n"/>
      <c r="M54" s="213" t="n"/>
      <c r="N54" s="213" t="n"/>
      <c r="O54" s="213" t="n"/>
      <c r="P54" s="213" t="n"/>
      <c r="Q54" s="213" t="n"/>
      <c r="R54" s="213" t="n"/>
      <c r="S54" s="213" t="n"/>
      <c r="T54" s="213" t="n"/>
      <c r="U54" s="213" t="n"/>
      <c r="V54" s="213" t="n"/>
      <c r="W54" s="214" t="n"/>
      <c r="X54" s="238">
        <f t="array" ref="X54">IF(ISNUMBER(MATCH(5, '02_SWEA_통합_코딩테스트_DB'!$M$4:$M$1260, 0)), INDEX('02_SWEA_통합_코딩테스트_DB'!$E$4:$E$1260, MATCH(5, '02_SWEA_통합_코딩테스트_DB'!$M$4:$M$1260, 0)), "")</f>
        <v/>
      </c>
      <c r="Y54" s="213" t="n"/>
      <c r="Z54" s="213" t="n"/>
      <c r="AA54" s="213" t="n"/>
      <c r="AB54" s="213" t="n"/>
      <c r="AC54" s="214" t="n"/>
      <c r="AD54" s="262">
        <f t="array" ref="AD54">IF(ISNUMBER(MATCH(5, '02_SWEA_통합_코딩테스트_DB'!$M$4:$M$1260, 0)), INDEX('02_SWEA_통합_코딩테스트_DB'!$F$4:$F$1260, MATCH(5, '02_SWEA_통합_코딩테스트_DB'!$M$4:$M$1260, 0)), "")</f>
        <v/>
      </c>
      <c r="AE54" s="213" t="n"/>
      <c r="AF54" s="213" t="n"/>
      <c r="AG54" s="213" t="n"/>
      <c r="AH54" s="213" t="n"/>
      <c r="AI54" s="214" t="n"/>
      <c r="AJ54" s="233">
        <f t="array" ref="AJ54">IF(ISNUMBER(MATCH(5, '02_SWEA_통합_코딩테스트_DB'!$M$4:$M$1260, 0)), INDEX('02_SWEA_통합_코딩테스트_DB'!$K$4:$K$1260, MATCH(5, '02_SWEA_통합_코딩테스트_DB'!$M$4:$M$1260, 0)), "")</f>
        <v/>
      </c>
      <c r="AK54" s="213" t="n"/>
      <c r="AL54" s="213" t="n"/>
      <c r="AM54" s="213" t="n"/>
      <c r="AN54" s="213" t="n"/>
      <c r="AO54" s="214" t="n"/>
      <c r="AP54" s="263">
        <f t="array" ref="AP54">IF(ISNUMBER(MATCH(5, '02_SWEA_통합_코딩테스트_DB'!$M$4:$M$1260, 0)), INDEX('02_SWEA_통합_코딩테스트_DB'!$J$4:$J$1260, MATCH(5, '02_SWEA_통합_코딩테스트_DB'!$M$4:$M$1260, 0)), "")</f>
        <v/>
      </c>
      <c r="AQ54" s="213" t="n"/>
      <c r="AR54" s="213" t="n"/>
      <c r="AS54" s="213" t="n"/>
      <c r="AT54" s="214" t="n"/>
      <c r="AU54" s="239">
        <f t="array" ref="AU54">IF(ISNUMBER(MATCH(5, '02_SWEA_통합_코딩테스트_DB'!$M$4:$M$1260, 0)), INDEX('02_SWEA_통합_코딩테스트_DB'!$L$4:$L$1260, MATCH(5, '02_SWEA_통합_코딩테스트_DB'!$M$4:$M$1260, 0)), "")</f>
        <v/>
      </c>
      <c r="AV54" s="213" t="n"/>
      <c r="AW54" s="213" t="n"/>
      <c r="AX54" s="213" t="n"/>
      <c r="AY54" s="213" t="n"/>
      <c r="AZ54" s="213" t="n"/>
      <c r="BA54" s="213" t="n"/>
      <c r="BB54" s="213" t="n"/>
      <c r="BC54" s="214" t="n"/>
      <c r="BD54" s="26" t="n"/>
      <c r="BE54" s="26" t="n"/>
      <c r="BF54" s="26" t="n"/>
      <c r="BG54" s="26" t="n"/>
    </row>
    <row r="55" ht="19.5" customHeight="1" s="209">
      <c r="A55" s="236">
        <f>IF(ISNUMBER(MATCH(6, '02_SWEA_통합_코딩테스트_DB'!$M$4:$M$1260, 0)), 6, "")</f>
        <v/>
      </c>
      <c r="B55" s="213" t="n"/>
      <c r="C55" s="214" t="n"/>
      <c r="D55" s="229">
        <f t="array" ref="D55">IF(ISNUMBER(MATCH(6, '02_SWEA_통합_코딩테스트_DB'!$M$4:$M$1260, 0)), INDEX('02_SWEA_통합_코딩테스트_DB'!$B$4:$B$1260, MATCH(6, '02_SWEA_통합_코딩테스트_DB'!$M$4:$M$1260, 0)), "")</f>
        <v/>
      </c>
      <c r="E55" s="213" t="n"/>
      <c r="F55" s="213" t="n"/>
      <c r="G55" s="214" t="n"/>
      <c r="H55" s="236">
        <f t="array" ref="H55">IF(ISNUMBER(MATCH(6, '02_SWEA_통합_코딩테스트_DB'!$M$4:$M$1260, 0)), INDEX('02_SWEA_통합_코딩테스트_DB'!$C$4:$C$1260, MATCH(6, '02_SWEA_통합_코딩테스트_DB'!$M$4:$M$1260, 0)), "")</f>
        <v/>
      </c>
      <c r="I55" s="213" t="n"/>
      <c r="J55" s="214" t="n"/>
      <c r="K55" s="230">
        <f t="array" ref="K55">IF(ISNUMBER(MATCH(6, '02_SWEA_통합_코딩테스트_DB'!$M$4:$M$1260, 0)), INDEX('02_SWEA_통합_코딩테스트_DB'!$D$4:$D$1260, MATCH(6, '02_SWEA_통합_코딩테스트_DB'!$M$4:$M$1260, 0)), "")</f>
        <v/>
      </c>
      <c r="L55" s="213" t="n"/>
      <c r="M55" s="213" t="n"/>
      <c r="N55" s="213" t="n"/>
      <c r="O55" s="213" t="n"/>
      <c r="P55" s="213" t="n"/>
      <c r="Q55" s="213" t="n"/>
      <c r="R55" s="213" t="n"/>
      <c r="S55" s="213" t="n"/>
      <c r="T55" s="213" t="n"/>
      <c r="U55" s="213" t="n"/>
      <c r="V55" s="213" t="n"/>
      <c r="W55" s="214" t="n"/>
      <c r="X55" s="236">
        <f t="array" ref="X55">IF(ISNUMBER(MATCH(6, '02_SWEA_통합_코딩테스트_DB'!$M$4:$M$1260, 0)), INDEX('02_SWEA_통합_코딩테스트_DB'!$E$4:$E$1260, MATCH(6, '02_SWEA_통합_코딩테스트_DB'!$M$4:$M$1260, 0)), "")</f>
        <v/>
      </c>
      <c r="Y55" s="213" t="n"/>
      <c r="Z55" s="213" t="n"/>
      <c r="AA55" s="213" t="n"/>
      <c r="AB55" s="213" t="n"/>
      <c r="AC55" s="214" t="n"/>
      <c r="AD55" s="264">
        <f t="array" ref="AD55">IF(ISNUMBER(MATCH(6, '02_SWEA_통합_코딩테스트_DB'!$M$4:$M$1260, 0)), INDEX('02_SWEA_통합_코딩테스트_DB'!$F$4:$F$1260, MATCH(6, '02_SWEA_통합_코딩테스트_DB'!$M$4:$M$1260, 0)), "")</f>
        <v/>
      </c>
      <c r="AE55" s="213" t="n"/>
      <c r="AF55" s="213" t="n"/>
      <c r="AG55" s="213" t="n"/>
      <c r="AH55" s="213" t="n"/>
      <c r="AI55" s="214" t="n"/>
      <c r="AJ55" s="229">
        <f t="array" ref="AJ55">IF(ISNUMBER(MATCH(6, '02_SWEA_통합_코딩테스트_DB'!$M$4:$M$1260, 0)), INDEX('02_SWEA_통합_코딩테스트_DB'!$K$4:$K$1260, MATCH(6, '02_SWEA_통합_코딩테스트_DB'!$M$4:$M$1260, 0)), "")</f>
        <v/>
      </c>
      <c r="AK55" s="213" t="n"/>
      <c r="AL55" s="213" t="n"/>
      <c r="AM55" s="213" t="n"/>
      <c r="AN55" s="213" t="n"/>
      <c r="AO55" s="214" t="n"/>
      <c r="AP55" s="265">
        <f t="array" ref="AP55">IF(ISNUMBER(MATCH(6, '02_SWEA_통합_코딩테스트_DB'!$M$4:$M$1260, 0)), INDEX('02_SWEA_통합_코딩테스트_DB'!$J$4:$J$1260, MATCH(6, '02_SWEA_통합_코딩테스트_DB'!$M$4:$M$1260, 0)), "")</f>
        <v/>
      </c>
      <c r="AQ55" s="213" t="n"/>
      <c r="AR55" s="213" t="n"/>
      <c r="AS55" s="213" t="n"/>
      <c r="AT55" s="214" t="n"/>
      <c r="AU55" s="230">
        <f t="array" ref="AU55">IF(ISNUMBER(MATCH(6, '02_SWEA_통합_코딩테스트_DB'!$M$4:$M$1260, 0)), INDEX('02_SWEA_통합_코딩테스트_DB'!$L$4:$L$1260, MATCH(6, '02_SWEA_통합_코딩테스트_DB'!$M$4:$M$1260, 0)), "")</f>
        <v/>
      </c>
      <c r="AV55" s="213" t="n"/>
      <c r="AW55" s="213" t="n"/>
      <c r="AX55" s="213" t="n"/>
      <c r="AY55" s="213" t="n"/>
      <c r="AZ55" s="213" t="n"/>
      <c r="BA55" s="213" t="n"/>
      <c r="BB55" s="213" t="n"/>
      <c r="BC55" s="214" t="n"/>
      <c r="BD55" s="26" t="n"/>
      <c r="BE55" s="26" t="n"/>
      <c r="BF55" s="26" t="n"/>
      <c r="BG55" s="26" t="n"/>
    </row>
    <row r="56" ht="19.5" customHeight="1" s="209">
      <c r="A56" s="238">
        <f>IF(ISNUMBER(MATCH(7, '02_SWEA_통합_코딩테스트_DB'!$M$4:$M$1260, 0)), 7, "")</f>
        <v/>
      </c>
      <c r="B56" s="213" t="n"/>
      <c r="C56" s="214" t="n"/>
      <c r="D56" s="233">
        <f t="array" ref="D56">IF(ISNUMBER(MATCH(7, '02_SWEA_통합_코딩테스트_DB'!$M$4:$M$1260, 0)), INDEX('02_SWEA_통합_코딩테스트_DB'!$B$4:$B$1260, MATCH(7, '02_SWEA_통합_코딩테스트_DB'!$M$4:$M$1260, 0)), "")</f>
        <v/>
      </c>
      <c r="E56" s="213" t="n"/>
      <c r="F56" s="213" t="n"/>
      <c r="G56" s="214" t="n"/>
      <c r="H56" s="238">
        <f t="array" ref="H56">IF(ISNUMBER(MATCH(7, '02_SWEA_통합_코딩테스트_DB'!$M$4:$M$1260, 0)), INDEX('02_SWEA_통합_코딩테스트_DB'!$C$4:$C$1260, MATCH(7, '02_SWEA_통합_코딩테스트_DB'!$M$4:$M$1260, 0)), "")</f>
        <v/>
      </c>
      <c r="I56" s="213" t="n"/>
      <c r="J56" s="214" t="n"/>
      <c r="K56" s="239">
        <f t="array" ref="K56">IF(ISNUMBER(MATCH(7, '02_SWEA_통합_코딩테스트_DB'!$M$4:$M$1260, 0)), INDEX('02_SWEA_통합_코딩테스트_DB'!$D$4:$D$1260, MATCH(7, '02_SWEA_통합_코딩테스트_DB'!$M$4:$M$1260, 0)), "")</f>
        <v/>
      </c>
      <c r="L56" s="213" t="n"/>
      <c r="M56" s="213" t="n"/>
      <c r="N56" s="213" t="n"/>
      <c r="O56" s="213" t="n"/>
      <c r="P56" s="213" t="n"/>
      <c r="Q56" s="213" t="n"/>
      <c r="R56" s="213" t="n"/>
      <c r="S56" s="213" t="n"/>
      <c r="T56" s="213" t="n"/>
      <c r="U56" s="213" t="n"/>
      <c r="V56" s="213" t="n"/>
      <c r="W56" s="214" t="n"/>
      <c r="X56" s="238">
        <f t="array" ref="X56">IF(ISNUMBER(MATCH(7, '02_SWEA_통합_코딩테스트_DB'!$M$4:$M$1260, 0)), INDEX('02_SWEA_통합_코딩테스트_DB'!$E$4:$E$1260, MATCH(7, '02_SWEA_통합_코딩테스트_DB'!$M$4:$M$1260, 0)), "")</f>
        <v/>
      </c>
      <c r="Y56" s="213" t="n"/>
      <c r="Z56" s="213" t="n"/>
      <c r="AA56" s="213" t="n"/>
      <c r="AB56" s="213" t="n"/>
      <c r="AC56" s="214" t="n"/>
      <c r="AD56" s="262">
        <f t="array" ref="AD56">IF(ISNUMBER(MATCH(7, '02_SWEA_통합_코딩테스트_DB'!$M$4:$M$1260, 0)), INDEX('02_SWEA_통합_코딩테스트_DB'!$F$4:$F$1260, MATCH(7, '02_SWEA_통합_코딩테스트_DB'!$M$4:$M$1260, 0)), "")</f>
        <v/>
      </c>
      <c r="AE56" s="213" t="n"/>
      <c r="AF56" s="213" t="n"/>
      <c r="AG56" s="213" t="n"/>
      <c r="AH56" s="213" t="n"/>
      <c r="AI56" s="214" t="n"/>
      <c r="AJ56" s="233">
        <f t="array" ref="AJ56">IF(ISNUMBER(MATCH(7, '02_SWEA_통합_코딩테스트_DB'!$M$4:$M$1260, 0)), INDEX('02_SWEA_통합_코딩테스트_DB'!$K$4:$K$1260, MATCH(7, '02_SWEA_통합_코딩테스트_DB'!$M$4:$M$1260, 0)), "")</f>
        <v/>
      </c>
      <c r="AK56" s="213" t="n"/>
      <c r="AL56" s="213" t="n"/>
      <c r="AM56" s="213" t="n"/>
      <c r="AN56" s="213" t="n"/>
      <c r="AO56" s="214" t="n"/>
      <c r="AP56" s="263">
        <f t="array" ref="AP56">IF(ISNUMBER(MATCH(7, '02_SWEA_통합_코딩테스트_DB'!$M$4:$M$1260, 0)), INDEX('02_SWEA_통합_코딩테스트_DB'!$J$4:$J$1260, MATCH(7, '02_SWEA_통합_코딩테스트_DB'!$M$4:$M$1260, 0)), "")</f>
        <v/>
      </c>
      <c r="AQ56" s="213" t="n"/>
      <c r="AR56" s="213" t="n"/>
      <c r="AS56" s="213" t="n"/>
      <c r="AT56" s="214" t="n"/>
      <c r="AU56" s="239">
        <f t="array" ref="AU56">IF(ISNUMBER(MATCH(7, '02_SWEA_통합_코딩테스트_DB'!$M$4:$M$1260, 0)), INDEX('02_SWEA_통합_코딩테스트_DB'!$L$4:$L$1260, MATCH(7, '02_SWEA_통합_코딩테스트_DB'!$M$4:$M$1260, 0)), "")</f>
        <v/>
      </c>
      <c r="AV56" s="213" t="n"/>
      <c r="AW56" s="213" t="n"/>
      <c r="AX56" s="213" t="n"/>
      <c r="AY56" s="213" t="n"/>
      <c r="AZ56" s="213" t="n"/>
      <c r="BA56" s="213" t="n"/>
      <c r="BB56" s="213" t="n"/>
      <c r="BC56" s="214" t="n"/>
      <c r="BD56" s="26" t="n"/>
      <c r="BE56" s="26" t="n"/>
      <c r="BF56" s="26" t="n"/>
      <c r="BG56" s="26" t="n"/>
    </row>
    <row r="57" ht="19.5" customHeight="1" s="209">
      <c r="A57" s="236">
        <f>IF(ISNUMBER(MATCH(8, '02_SWEA_통합_코딩테스트_DB'!$M$4:$M$1260, 0)), 8, "")</f>
        <v/>
      </c>
      <c r="B57" s="213" t="n"/>
      <c r="C57" s="214" t="n"/>
      <c r="D57" s="229">
        <f t="array" ref="D57">IF(ISNUMBER(MATCH(8, '02_SWEA_통합_코딩테스트_DB'!$M$4:$M$1260, 0)), INDEX('02_SWEA_통합_코딩테스트_DB'!$B$4:$B$1260, MATCH(8, '02_SWEA_통합_코딩테스트_DB'!$M$4:$M$1260, 0)), "")</f>
        <v/>
      </c>
      <c r="E57" s="213" t="n"/>
      <c r="F57" s="213" t="n"/>
      <c r="G57" s="214" t="n"/>
      <c r="H57" s="236">
        <f t="array" ref="H57">IF(ISNUMBER(MATCH(8, '02_SWEA_통합_코딩테스트_DB'!$M$4:$M$1260, 0)), INDEX('02_SWEA_통합_코딩테스트_DB'!$C$4:$C$1260, MATCH(8, '02_SWEA_통합_코딩테스트_DB'!$M$4:$M$1260, 0)), "")</f>
        <v/>
      </c>
      <c r="I57" s="213" t="n"/>
      <c r="J57" s="214" t="n"/>
      <c r="K57" s="230">
        <f t="array" ref="K57">IF(ISNUMBER(MATCH(8, '02_SWEA_통합_코딩테스트_DB'!$M$4:$M$1260, 0)), INDEX('02_SWEA_통합_코딩테스트_DB'!$D$4:$D$1260, MATCH(8, '02_SWEA_통합_코딩테스트_DB'!$M$4:$M$1260, 0)), "")</f>
        <v/>
      </c>
      <c r="L57" s="213" t="n"/>
      <c r="M57" s="213" t="n"/>
      <c r="N57" s="213" t="n"/>
      <c r="O57" s="213" t="n"/>
      <c r="P57" s="213" t="n"/>
      <c r="Q57" s="213" t="n"/>
      <c r="R57" s="213" t="n"/>
      <c r="S57" s="213" t="n"/>
      <c r="T57" s="213" t="n"/>
      <c r="U57" s="213" t="n"/>
      <c r="V57" s="213" t="n"/>
      <c r="W57" s="214" t="n"/>
      <c r="X57" s="236">
        <f t="array" ref="X57">IF(ISNUMBER(MATCH(8, '02_SWEA_통합_코딩테스트_DB'!$M$4:$M$1260, 0)), INDEX('02_SWEA_통합_코딩테스트_DB'!$E$4:$E$1260, MATCH(8, '02_SWEA_통합_코딩테스트_DB'!$M$4:$M$1260, 0)), "")</f>
        <v/>
      </c>
      <c r="Y57" s="213" t="n"/>
      <c r="Z57" s="213" t="n"/>
      <c r="AA57" s="213" t="n"/>
      <c r="AB57" s="213" t="n"/>
      <c r="AC57" s="214" t="n"/>
      <c r="AD57" s="264">
        <f t="array" ref="AD57">IF(ISNUMBER(MATCH(8, '02_SWEA_통합_코딩테스트_DB'!$M$4:$M$1260, 0)), INDEX('02_SWEA_통합_코딩테스트_DB'!$F$4:$F$1260, MATCH(8, '02_SWEA_통합_코딩테스트_DB'!$M$4:$M$1260, 0)), "")</f>
        <v/>
      </c>
      <c r="AE57" s="213" t="n"/>
      <c r="AF57" s="213" t="n"/>
      <c r="AG57" s="213" t="n"/>
      <c r="AH57" s="213" t="n"/>
      <c r="AI57" s="214" t="n"/>
      <c r="AJ57" s="229">
        <f t="array" ref="AJ57">IF(ISNUMBER(MATCH(8, '02_SWEA_통합_코딩테스트_DB'!$M$4:$M$1260, 0)), INDEX('02_SWEA_통합_코딩테스트_DB'!$K$4:$K$1260, MATCH(8, '02_SWEA_통합_코딩테스트_DB'!$M$4:$M$1260, 0)), "")</f>
        <v/>
      </c>
      <c r="AK57" s="213" t="n"/>
      <c r="AL57" s="213" t="n"/>
      <c r="AM57" s="213" t="n"/>
      <c r="AN57" s="213" t="n"/>
      <c r="AO57" s="214" t="n"/>
      <c r="AP57" s="265">
        <f t="array" ref="AP57">IF(ISNUMBER(MATCH(8, '02_SWEA_통합_코딩테스트_DB'!$M$4:$M$1260, 0)), INDEX('02_SWEA_통합_코딩테스트_DB'!$J$4:$J$1260, MATCH(8, '02_SWEA_통합_코딩테스트_DB'!$M$4:$M$1260, 0)), "")</f>
        <v/>
      </c>
      <c r="AQ57" s="213" t="n"/>
      <c r="AR57" s="213" t="n"/>
      <c r="AS57" s="213" t="n"/>
      <c r="AT57" s="214" t="n"/>
      <c r="AU57" s="230">
        <f t="array" ref="AU57">IF(ISNUMBER(MATCH(8, '02_SWEA_통합_코딩테스트_DB'!$M$4:$M$1260, 0)), INDEX('02_SWEA_통합_코딩테스트_DB'!$L$4:$L$1260, MATCH(8, '02_SWEA_통합_코딩테스트_DB'!$M$4:$M$1260, 0)), "")</f>
        <v/>
      </c>
      <c r="AV57" s="213" t="n"/>
      <c r="AW57" s="213" t="n"/>
      <c r="AX57" s="213" t="n"/>
      <c r="AY57" s="213" t="n"/>
      <c r="AZ57" s="213" t="n"/>
      <c r="BA57" s="213" t="n"/>
      <c r="BB57" s="213" t="n"/>
      <c r="BC57" s="214" t="n"/>
      <c r="BD57" s="26" t="n"/>
      <c r="BE57" s="26" t="n"/>
      <c r="BF57" s="26" t="n"/>
      <c r="BG57" s="26" t="n"/>
    </row>
    <row r="58" ht="19.5" customHeight="1" s="209">
      <c r="A58" s="238">
        <f>IF(ISNUMBER(MATCH(9, '02_SWEA_통합_코딩테스트_DB'!$M$4:$M$1260, 0)), 9, "")</f>
        <v/>
      </c>
      <c r="B58" s="213" t="n"/>
      <c r="C58" s="214" t="n"/>
      <c r="D58" s="233">
        <f t="array" ref="D58">IF(ISNUMBER(MATCH(9, '02_SWEA_통합_코딩테스트_DB'!$M$4:$M$1260, 0)), INDEX('02_SWEA_통합_코딩테스트_DB'!$B$4:$B$1260, MATCH(9, '02_SWEA_통합_코딩테스트_DB'!$M$4:$M$1260, 0)), "")</f>
        <v/>
      </c>
      <c r="E58" s="213" t="n"/>
      <c r="F58" s="213" t="n"/>
      <c r="G58" s="214" t="n"/>
      <c r="H58" s="238">
        <f t="array" ref="H58">IF(ISNUMBER(MATCH(9, '02_SWEA_통합_코딩테스트_DB'!$M$4:$M$1260, 0)), INDEX('02_SWEA_통합_코딩테스트_DB'!$C$4:$C$1260, MATCH(9, '02_SWEA_통합_코딩테스트_DB'!$M$4:$M$1260, 0)), "")</f>
        <v/>
      </c>
      <c r="I58" s="213" t="n"/>
      <c r="J58" s="214" t="n"/>
      <c r="K58" s="239">
        <f t="array" ref="K58">IF(ISNUMBER(MATCH(9, '02_SWEA_통합_코딩테스트_DB'!$M$4:$M$1260, 0)), INDEX('02_SWEA_통합_코딩테스트_DB'!$D$4:$D$1260, MATCH(9, '02_SWEA_통합_코딩테스트_DB'!$M$4:$M$1260, 0)), "")</f>
        <v/>
      </c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4" t="n"/>
      <c r="X58" s="238">
        <f t="array" ref="X58">IF(ISNUMBER(MATCH(9, '02_SWEA_통합_코딩테스트_DB'!$M$4:$M$1260, 0)), INDEX('02_SWEA_통합_코딩테스트_DB'!$E$4:$E$1260, MATCH(9, '02_SWEA_통합_코딩테스트_DB'!$M$4:$M$1260, 0)), "")</f>
        <v/>
      </c>
      <c r="Y58" s="213" t="n"/>
      <c r="Z58" s="213" t="n"/>
      <c r="AA58" s="213" t="n"/>
      <c r="AB58" s="213" t="n"/>
      <c r="AC58" s="214" t="n"/>
      <c r="AD58" s="262">
        <f t="array" ref="AD58">IF(ISNUMBER(MATCH(9, '02_SWEA_통합_코딩테스트_DB'!$M$4:$M$1260, 0)), INDEX('02_SWEA_통합_코딩테스트_DB'!$F$4:$F$1260, MATCH(9, '02_SWEA_통합_코딩테스트_DB'!$M$4:$M$1260, 0)), "")</f>
        <v/>
      </c>
      <c r="AE58" s="213" t="n"/>
      <c r="AF58" s="213" t="n"/>
      <c r="AG58" s="213" t="n"/>
      <c r="AH58" s="213" t="n"/>
      <c r="AI58" s="214" t="n"/>
      <c r="AJ58" s="233">
        <f t="array" ref="AJ58">IF(ISNUMBER(MATCH(9, '02_SWEA_통합_코딩테스트_DB'!$M$4:$M$1260, 0)), INDEX('02_SWEA_통합_코딩테스트_DB'!$K$4:$K$1260, MATCH(9, '02_SWEA_통합_코딩테스트_DB'!$M$4:$M$1260, 0)), "")</f>
        <v/>
      </c>
      <c r="AK58" s="213" t="n"/>
      <c r="AL58" s="213" t="n"/>
      <c r="AM58" s="213" t="n"/>
      <c r="AN58" s="213" t="n"/>
      <c r="AO58" s="214" t="n"/>
      <c r="AP58" s="263">
        <f t="array" ref="AP58">IF(ISNUMBER(MATCH(9, '02_SWEA_통합_코딩테스트_DB'!$M$4:$M$1260, 0)), INDEX('02_SWEA_통합_코딩테스트_DB'!$J$4:$J$1260, MATCH(9, '02_SWEA_통합_코딩테스트_DB'!$M$4:$M$1260, 0)), "")</f>
        <v/>
      </c>
      <c r="AQ58" s="213" t="n"/>
      <c r="AR58" s="213" t="n"/>
      <c r="AS58" s="213" t="n"/>
      <c r="AT58" s="214" t="n"/>
      <c r="AU58" s="239">
        <f t="array" ref="AU58">IF(ISNUMBER(MATCH(9, '02_SWEA_통합_코딩테스트_DB'!$M$4:$M$1260, 0)), INDEX('02_SWEA_통합_코딩테스트_DB'!$L$4:$L$1260, MATCH(9, '02_SWEA_통합_코딩테스트_DB'!$M$4:$M$1260, 0)), "")</f>
        <v/>
      </c>
      <c r="AV58" s="213" t="n"/>
      <c r="AW58" s="213" t="n"/>
      <c r="AX58" s="213" t="n"/>
      <c r="AY58" s="213" t="n"/>
      <c r="AZ58" s="213" t="n"/>
      <c r="BA58" s="213" t="n"/>
      <c r="BB58" s="213" t="n"/>
      <c r="BC58" s="214" t="n"/>
      <c r="BD58" s="26" t="n"/>
      <c r="BE58" s="26" t="n"/>
      <c r="BF58" s="26" t="n"/>
      <c r="BG58" s="26" t="n"/>
    </row>
    <row r="59" ht="19.5" customHeight="1" s="209">
      <c r="A59" s="236">
        <f>IF(ISNUMBER(MATCH(10, '02_SWEA_통합_코딩테스트_DB'!$M$4:$M$1260, 0)), 10, "")</f>
        <v/>
      </c>
      <c r="B59" s="213" t="n"/>
      <c r="C59" s="214" t="n"/>
      <c r="D59" s="229">
        <f t="array" ref="D59">IF(ISNUMBER(MATCH(10, '02_SWEA_통합_코딩테스트_DB'!$M$4:$M$1260, 0)), INDEX('02_SWEA_통합_코딩테스트_DB'!$B$4:$B$1260, MATCH(10, '02_SWEA_통합_코딩테스트_DB'!$M$4:$M$1260, 0)), "")</f>
        <v/>
      </c>
      <c r="E59" s="213" t="n"/>
      <c r="F59" s="213" t="n"/>
      <c r="G59" s="214" t="n"/>
      <c r="H59" s="236">
        <f t="array" ref="H59">IF(ISNUMBER(MATCH(10, '02_SWEA_통합_코딩테스트_DB'!$M$4:$M$1260, 0)), INDEX('02_SWEA_통합_코딩테스트_DB'!$C$4:$C$1260, MATCH(10, '02_SWEA_통합_코딩테스트_DB'!$M$4:$M$1260, 0)), "")</f>
        <v/>
      </c>
      <c r="I59" s="213" t="n"/>
      <c r="J59" s="214" t="n"/>
      <c r="K59" s="230">
        <f t="array" ref="K59">IF(ISNUMBER(MATCH(10, '02_SWEA_통합_코딩테스트_DB'!$M$4:$M$1260, 0)), INDEX('02_SWEA_통합_코딩테스트_DB'!$D$4:$D$1260, MATCH(10, '02_SWEA_통합_코딩테스트_DB'!$M$4:$M$1260, 0)), "")</f>
        <v/>
      </c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4" t="n"/>
      <c r="X59" s="236">
        <f t="array" ref="X59">IF(ISNUMBER(MATCH(10, '02_SWEA_통합_코딩테스트_DB'!$M$4:$M$1260, 0)), INDEX('02_SWEA_통합_코딩테스트_DB'!$E$4:$E$1260, MATCH(10, '02_SWEA_통합_코딩테스트_DB'!$M$4:$M$1260, 0)), "")</f>
        <v/>
      </c>
      <c r="Y59" s="213" t="n"/>
      <c r="Z59" s="213" t="n"/>
      <c r="AA59" s="213" t="n"/>
      <c r="AB59" s="213" t="n"/>
      <c r="AC59" s="214" t="n"/>
      <c r="AD59" s="264">
        <f t="array" ref="AD59">IF(ISNUMBER(MATCH(10, '02_SWEA_통합_코딩테스트_DB'!$M$4:$M$1260, 0)), INDEX('02_SWEA_통합_코딩테스트_DB'!$F$4:$F$1260, MATCH(10, '02_SWEA_통합_코딩테스트_DB'!$M$4:$M$1260, 0)), "")</f>
        <v/>
      </c>
      <c r="AE59" s="213" t="n"/>
      <c r="AF59" s="213" t="n"/>
      <c r="AG59" s="213" t="n"/>
      <c r="AH59" s="213" t="n"/>
      <c r="AI59" s="214" t="n"/>
      <c r="AJ59" s="229">
        <f t="array" ref="AJ59">IF(ISNUMBER(MATCH(10, '02_SWEA_통합_코딩테스트_DB'!$M$4:$M$1260, 0)), INDEX('02_SWEA_통합_코딩테스트_DB'!$K$4:$K$1260, MATCH(10, '02_SWEA_통합_코딩테스트_DB'!$M$4:$M$1260, 0)), "")</f>
        <v/>
      </c>
      <c r="AK59" s="213" t="n"/>
      <c r="AL59" s="213" t="n"/>
      <c r="AM59" s="213" t="n"/>
      <c r="AN59" s="213" t="n"/>
      <c r="AO59" s="214" t="n"/>
      <c r="AP59" s="265">
        <f t="array" ref="AP59">IF(ISNUMBER(MATCH(10, '02_SWEA_통합_코딩테스트_DB'!$M$4:$M$1260, 0)), INDEX('02_SWEA_통합_코딩테스트_DB'!$J$4:$J$1260, MATCH(10, '02_SWEA_통합_코딩테스트_DB'!$M$4:$M$1260, 0)), "")</f>
        <v/>
      </c>
      <c r="AQ59" s="213" t="n"/>
      <c r="AR59" s="213" t="n"/>
      <c r="AS59" s="213" t="n"/>
      <c r="AT59" s="214" t="n"/>
      <c r="AU59" s="230">
        <f t="array" ref="AU59">IF(ISNUMBER(MATCH(10, '02_SWEA_통합_코딩테스트_DB'!$M$4:$M$1260, 0)), INDEX('02_SWEA_통합_코딩테스트_DB'!$L$4:$L$1260, MATCH(10, '02_SWEA_통합_코딩테스트_DB'!$M$4:$M$1260, 0)), "")</f>
        <v/>
      </c>
      <c r="AV59" s="213" t="n"/>
      <c r="AW59" s="213" t="n"/>
      <c r="AX59" s="213" t="n"/>
      <c r="AY59" s="213" t="n"/>
      <c r="AZ59" s="213" t="n"/>
      <c r="BA59" s="213" t="n"/>
      <c r="BB59" s="213" t="n"/>
      <c r="BC59" s="214" t="n"/>
      <c r="BD59" s="26" t="n"/>
      <c r="BE59" s="26" t="n"/>
      <c r="BF59" s="26" t="n"/>
      <c r="BG59" s="26" t="n"/>
    </row>
    <row r="60" ht="19.5" customHeight="1" s="209">
      <c r="A60" s="238">
        <f>IF(ISNUMBER(MATCH(11, '02_SWEA_통합_코딩테스트_DB'!$M$4:$M$1260, 0)), 11, "")</f>
        <v/>
      </c>
      <c r="B60" s="213" t="n"/>
      <c r="C60" s="214" t="n"/>
      <c r="D60" s="233">
        <f t="array" ref="D60">IF(ISNUMBER(MATCH(11, '02_SWEA_통합_코딩테스트_DB'!$M$4:$M$1260, 0)), INDEX('02_SWEA_통합_코딩테스트_DB'!$B$4:$B$1260, MATCH(11, '02_SWEA_통합_코딩테스트_DB'!$M$4:$M$1260, 0)), "")</f>
        <v/>
      </c>
      <c r="E60" s="213" t="n"/>
      <c r="F60" s="213" t="n"/>
      <c r="G60" s="214" t="n"/>
      <c r="H60" s="238">
        <f t="array" ref="H60">IF(ISNUMBER(MATCH(11, '02_SWEA_통합_코딩테스트_DB'!$M$4:$M$1260, 0)), INDEX('02_SWEA_통합_코딩테스트_DB'!$C$4:$C$1260, MATCH(11, '02_SWEA_통합_코딩테스트_DB'!$M$4:$M$1260, 0)), "")</f>
        <v/>
      </c>
      <c r="I60" s="213" t="n"/>
      <c r="J60" s="214" t="n"/>
      <c r="K60" s="239">
        <f t="array" ref="K60">IF(ISNUMBER(MATCH(11, '02_SWEA_통합_코딩테스트_DB'!$M$4:$M$1260, 0)), INDEX('02_SWEA_통합_코딩테스트_DB'!$D$4:$D$1260, MATCH(11, '02_SWEA_통합_코딩테스트_DB'!$M$4:$M$1260, 0)), "")</f>
        <v/>
      </c>
      <c r="L60" s="213" t="n"/>
      <c r="M60" s="213" t="n"/>
      <c r="N60" s="213" t="n"/>
      <c r="O60" s="213" t="n"/>
      <c r="P60" s="213" t="n"/>
      <c r="Q60" s="213" t="n"/>
      <c r="R60" s="213" t="n"/>
      <c r="S60" s="213" t="n"/>
      <c r="T60" s="213" t="n"/>
      <c r="U60" s="213" t="n"/>
      <c r="V60" s="213" t="n"/>
      <c r="W60" s="214" t="n"/>
      <c r="X60" s="238">
        <f t="array" ref="X60">IF(ISNUMBER(MATCH(11, '02_SWEA_통합_코딩테스트_DB'!$M$4:$M$1260, 0)), INDEX('02_SWEA_통합_코딩테스트_DB'!$E$4:$E$1260, MATCH(11, '02_SWEA_통합_코딩테스트_DB'!$M$4:$M$1260, 0)), "")</f>
        <v/>
      </c>
      <c r="Y60" s="213" t="n"/>
      <c r="Z60" s="213" t="n"/>
      <c r="AA60" s="213" t="n"/>
      <c r="AB60" s="213" t="n"/>
      <c r="AC60" s="214" t="n"/>
      <c r="AD60" s="262">
        <f t="array" ref="AD60">IF(ISNUMBER(MATCH(11, '02_SWEA_통합_코딩테스트_DB'!$M$4:$M$1260, 0)), INDEX('02_SWEA_통합_코딩테스트_DB'!$F$4:$F$1260, MATCH(11, '02_SWEA_통합_코딩테스트_DB'!$M$4:$M$1260, 0)), "")</f>
        <v/>
      </c>
      <c r="AE60" s="213" t="n"/>
      <c r="AF60" s="213" t="n"/>
      <c r="AG60" s="213" t="n"/>
      <c r="AH60" s="213" t="n"/>
      <c r="AI60" s="214" t="n"/>
      <c r="AJ60" s="233">
        <f t="array" ref="AJ60">IF(ISNUMBER(MATCH(11, '02_SWEA_통합_코딩테스트_DB'!$M$4:$M$1260, 0)), INDEX('02_SWEA_통합_코딩테스트_DB'!$K$4:$K$1260, MATCH(11, '02_SWEA_통합_코딩테스트_DB'!$M$4:$M$1260, 0)), "")</f>
        <v/>
      </c>
      <c r="AK60" s="213" t="n"/>
      <c r="AL60" s="213" t="n"/>
      <c r="AM60" s="213" t="n"/>
      <c r="AN60" s="213" t="n"/>
      <c r="AO60" s="214" t="n"/>
      <c r="AP60" s="263">
        <f t="array" ref="AP60">IF(ISNUMBER(MATCH(11, '02_SWEA_통합_코딩테스트_DB'!$M$4:$M$1260, 0)), INDEX('02_SWEA_통합_코딩테스트_DB'!$J$4:$J$1260, MATCH(11, '02_SWEA_통합_코딩테스트_DB'!$M$4:$M$1260, 0)), "")</f>
        <v/>
      </c>
      <c r="AQ60" s="213" t="n"/>
      <c r="AR60" s="213" t="n"/>
      <c r="AS60" s="213" t="n"/>
      <c r="AT60" s="214" t="n"/>
      <c r="AU60" s="239">
        <f t="array" ref="AU60">IF(ISNUMBER(MATCH(11, '02_SWEA_통합_코딩테스트_DB'!$M$4:$M$1260, 0)), INDEX('02_SWEA_통합_코딩테스트_DB'!$L$4:$L$1260, MATCH(11, '02_SWEA_통합_코딩테스트_DB'!$M$4:$M$1260, 0)), "")</f>
        <v/>
      </c>
      <c r="AV60" s="213" t="n"/>
      <c r="AW60" s="213" t="n"/>
      <c r="AX60" s="213" t="n"/>
      <c r="AY60" s="213" t="n"/>
      <c r="AZ60" s="213" t="n"/>
      <c r="BA60" s="213" t="n"/>
      <c r="BB60" s="213" t="n"/>
      <c r="BC60" s="214" t="n"/>
      <c r="BD60" s="26" t="n"/>
      <c r="BE60" s="26" t="n"/>
      <c r="BF60" s="26" t="n"/>
      <c r="BG60" s="26" t="n"/>
    </row>
    <row r="61" ht="19.5" customHeight="1" s="209">
      <c r="A61" s="236">
        <f>IF(ISNUMBER(MATCH(12, '02_SWEA_통합_코딩테스트_DB'!$M$4:$M$1260, 0)), 12, "")</f>
        <v/>
      </c>
      <c r="B61" s="213" t="n"/>
      <c r="C61" s="214" t="n"/>
      <c r="D61" s="229">
        <f t="array" ref="D61">IF(ISNUMBER(MATCH(12, '02_SWEA_통합_코딩테스트_DB'!$M$4:$M$1260, 0)), INDEX('02_SWEA_통합_코딩테스트_DB'!$B$4:$B$1260, MATCH(12, '02_SWEA_통합_코딩테스트_DB'!$M$4:$M$1260, 0)), "")</f>
        <v/>
      </c>
      <c r="E61" s="213" t="n"/>
      <c r="F61" s="213" t="n"/>
      <c r="G61" s="214" t="n"/>
      <c r="H61" s="236">
        <f t="array" ref="H61">IF(ISNUMBER(MATCH(12, '02_SWEA_통합_코딩테스트_DB'!$M$4:$M$1260, 0)), INDEX('02_SWEA_통합_코딩테스트_DB'!$C$4:$C$1260, MATCH(12, '02_SWEA_통합_코딩테스트_DB'!$M$4:$M$1260, 0)), "")</f>
        <v/>
      </c>
      <c r="I61" s="213" t="n"/>
      <c r="J61" s="214" t="n"/>
      <c r="K61" s="230">
        <f t="array" ref="K61">IF(ISNUMBER(MATCH(12, '02_SWEA_통합_코딩테스트_DB'!$M$4:$M$1260, 0)), INDEX('02_SWEA_통합_코딩테스트_DB'!$D$4:$D$1260, MATCH(12, '02_SWEA_통합_코딩테스트_DB'!$M$4:$M$1260, 0)), "")</f>
        <v/>
      </c>
      <c r="L61" s="213" t="n"/>
      <c r="M61" s="213" t="n"/>
      <c r="N61" s="213" t="n"/>
      <c r="O61" s="213" t="n"/>
      <c r="P61" s="213" t="n"/>
      <c r="Q61" s="213" t="n"/>
      <c r="R61" s="213" t="n"/>
      <c r="S61" s="213" t="n"/>
      <c r="T61" s="213" t="n"/>
      <c r="U61" s="213" t="n"/>
      <c r="V61" s="213" t="n"/>
      <c r="W61" s="214" t="n"/>
      <c r="X61" s="236">
        <f t="array" ref="X61">IF(ISNUMBER(MATCH(12, '02_SWEA_통합_코딩테스트_DB'!$M$4:$M$1260, 0)), INDEX('02_SWEA_통합_코딩테스트_DB'!$E$4:$E$1260, MATCH(12, '02_SWEA_통합_코딩테스트_DB'!$M$4:$M$1260, 0)), "")</f>
        <v/>
      </c>
      <c r="Y61" s="213" t="n"/>
      <c r="Z61" s="213" t="n"/>
      <c r="AA61" s="213" t="n"/>
      <c r="AB61" s="213" t="n"/>
      <c r="AC61" s="214" t="n"/>
      <c r="AD61" s="264">
        <f t="array" ref="AD61">IF(ISNUMBER(MATCH(12, '02_SWEA_통합_코딩테스트_DB'!$M$4:$M$1260, 0)), INDEX('02_SWEA_통합_코딩테스트_DB'!$F$4:$F$1260, MATCH(12, '02_SWEA_통합_코딩테스트_DB'!$M$4:$M$1260, 0)), "")</f>
        <v/>
      </c>
      <c r="AE61" s="213" t="n"/>
      <c r="AF61" s="213" t="n"/>
      <c r="AG61" s="213" t="n"/>
      <c r="AH61" s="213" t="n"/>
      <c r="AI61" s="214" t="n"/>
      <c r="AJ61" s="229">
        <f t="array" ref="AJ61">IF(ISNUMBER(MATCH(12, '02_SWEA_통합_코딩테스트_DB'!$M$4:$M$1260, 0)), INDEX('02_SWEA_통합_코딩테스트_DB'!$K$4:$K$1260, MATCH(12, '02_SWEA_통합_코딩테스트_DB'!$M$4:$M$1260, 0)), "")</f>
        <v/>
      </c>
      <c r="AK61" s="213" t="n"/>
      <c r="AL61" s="213" t="n"/>
      <c r="AM61" s="213" t="n"/>
      <c r="AN61" s="213" t="n"/>
      <c r="AO61" s="214" t="n"/>
      <c r="AP61" s="265">
        <f t="array" ref="AP61">IF(ISNUMBER(MATCH(12, '02_SWEA_통합_코딩테스트_DB'!$M$4:$M$1260, 0)), INDEX('02_SWEA_통합_코딩테스트_DB'!$J$4:$J$1260, MATCH(12, '02_SWEA_통합_코딩테스트_DB'!$M$4:$M$1260, 0)), "")</f>
        <v/>
      </c>
      <c r="AQ61" s="213" t="n"/>
      <c r="AR61" s="213" t="n"/>
      <c r="AS61" s="213" t="n"/>
      <c r="AT61" s="214" t="n"/>
      <c r="AU61" s="230">
        <f t="array" ref="AU61">IF(ISNUMBER(MATCH(12, '02_SWEA_통합_코딩테스트_DB'!$M$4:$M$1260, 0)), INDEX('02_SWEA_통합_코딩테스트_DB'!$L$4:$L$1260, MATCH(12, '02_SWEA_통합_코딩테스트_DB'!$M$4:$M$1260, 0)), "")</f>
        <v/>
      </c>
      <c r="AV61" s="213" t="n"/>
      <c r="AW61" s="213" t="n"/>
      <c r="AX61" s="213" t="n"/>
      <c r="AY61" s="213" t="n"/>
      <c r="AZ61" s="213" t="n"/>
      <c r="BA61" s="213" t="n"/>
      <c r="BB61" s="213" t="n"/>
      <c r="BC61" s="214" t="n"/>
      <c r="BD61" s="26" t="n"/>
      <c r="BE61" s="26" t="n"/>
      <c r="BF61" s="26" t="n"/>
      <c r="BG61" s="26" t="n"/>
    </row>
    <row r="62" ht="19.5" customHeight="1" s="209">
      <c r="A62" s="173" t="n"/>
      <c r="B62" s="173" t="n"/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3" t="n"/>
      <c r="S62" s="173" t="n"/>
      <c r="T62" s="173" t="n"/>
      <c r="U62" s="173" t="n"/>
      <c r="V62" s="173" t="n"/>
      <c r="W62" s="173" t="n"/>
      <c r="X62" s="173" t="n"/>
      <c r="Y62" s="173" t="n"/>
      <c r="Z62" s="173" t="n"/>
      <c r="AA62" s="173" t="n"/>
      <c r="AB62" s="173" t="n"/>
      <c r="AC62" s="173" t="n"/>
      <c r="AD62" s="207" t="n"/>
      <c r="AE62" s="173" t="n"/>
      <c r="AF62" s="173" t="n"/>
      <c r="AG62" s="173" t="n"/>
      <c r="AH62" s="173" t="n"/>
      <c r="AI62" s="173" t="n"/>
      <c r="AJ62" s="173" t="n"/>
      <c r="AK62" s="173" t="n"/>
      <c r="AL62" s="173" t="n"/>
      <c r="AM62" s="173" t="n"/>
      <c r="AN62" s="173" t="n"/>
      <c r="AO62" s="173" t="n"/>
      <c r="AP62" s="173" t="n"/>
      <c r="AQ62" s="173" t="n"/>
      <c r="AR62" s="173" t="n"/>
      <c r="AS62" s="173" t="n"/>
      <c r="AT62" s="173" t="n"/>
      <c r="AU62" s="173" t="n"/>
      <c r="AV62" s="173" t="n"/>
      <c r="AW62" s="173" t="n"/>
      <c r="AX62" s="173" t="n"/>
      <c r="AY62" s="173" t="n"/>
      <c r="AZ62" s="173" t="n"/>
      <c r="BA62" s="173" t="n"/>
      <c r="BB62" s="173" t="n"/>
      <c r="BC62" s="173" t="n"/>
      <c r="BD62" s="26" t="n"/>
      <c r="BE62" s="26" t="n"/>
      <c r="BF62" s="26" t="n"/>
      <c r="BG62" s="26" t="n"/>
    </row>
    <row r="63" ht="19.5" customHeight="1" s="209">
      <c r="A63" s="173" t="n"/>
      <c r="B63" s="173" t="n"/>
      <c r="C63" s="173" t="n"/>
      <c r="D63" s="173" t="n"/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3" t="n"/>
      <c r="R63" s="173" t="n"/>
      <c r="S63" s="173" t="n"/>
      <c r="T63" s="173" t="n"/>
      <c r="U63" s="173" t="n"/>
      <c r="V63" s="173" t="n"/>
      <c r="W63" s="173" t="n"/>
      <c r="X63" s="173" t="n"/>
      <c r="Y63" s="173" t="n"/>
      <c r="Z63" s="173" t="n"/>
      <c r="AA63" s="173" t="n"/>
      <c r="AB63" s="173" t="n"/>
      <c r="AC63" s="173" t="n"/>
      <c r="AD63" s="207" t="n"/>
      <c r="AE63" s="173" t="n"/>
      <c r="AF63" s="173" t="n"/>
      <c r="AG63" s="173" t="n"/>
      <c r="AH63" s="173" t="n"/>
      <c r="AI63" s="173" t="n"/>
      <c r="AJ63" s="173" t="n"/>
      <c r="AK63" s="173" t="n"/>
      <c r="AL63" s="173" t="n"/>
      <c r="AM63" s="173" t="n"/>
      <c r="AN63" s="173" t="n"/>
      <c r="AO63" s="173" t="n"/>
      <c r="AP63" s="173" t="n"/>
      <c r="AQ63" s="173" t="n"/>
      <c r="AR63" s="173" t="n"/>
      <c r="AS63" s="173" t="n"/>
      <c r="AT63" s="173" t="n"/>
      <c r="AU63" s="173" t="n"/>
      <c r="AV63" s="173" t="n"/>
      <c r="AW63" s="173" t="n"/>
      <c r="AX63" s="173" t="n"/>
      <c r="AY63" s="173" t="n"/>
      <c r="AZ63" s="173" t="n"/>
      <c r="BA63" s="173" t="n"/>
      <c r="BB63" s="173" t="n"/>
      <c r="BC63" s="173" t="n"/>
      <c r="BD63" s="26" t="n"/>
      <c r="BE63" s="26" t="n"/>
      <c r="BF63" s="26" t="n"/>
      <c r="BG63" s="26" t="n"/>
    </row>
    <row r="64" ht="19.5" customHeight="1" s="209">
      <c r="A64" s="173" t="n"/>
      <c r="B64" s="173" t="n"/>
      <c r="C64" s="173" t="n"/>
      <c r="D64" s="173" t="n"/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  <c r="AA64" s="173" t="n"/>
      <c r="AB64" s="173" t="n"/>
      <c r="AC64" s="173" t="n"/>
      <c r="AD64" s="173" t="n"/>
      <c r="AE64" s="173" t="n"/>
      <c r="AF64" s="173" t="n"/>
      <c r="AG64" s="173" t="n"/>
      <c r="AH64" s="173" t="n"/>
      <c r="AI64" s="173" t="n"/>
      <c r="AJ64" s="173" t="n"/>
      <c r="AK64" s="173" t="n"/>
      <c r="AL64" s="173" t="n"/>
      <c r="AM64" s="173" t="n"/>
      <c r="AN64" s="173" t="n"/>
      <c r="AO64" s="173" t="n"/>
      <c r="AP64" s="173" t="n"/>
      <c r="AQ64" s="173" t="n"/>
      <c r="AR64" s="173" t="n"/>
      <c r="AS64" s="173" t="n"/>
      <c r="AT64" s="173" t="n"/>
      <c r="AU64" s="173" t="n"/>
      <c r="AV64" s="173" t="n"/>
      <c r="AW64" s="173" t="n"/>
      <c r="AX64" s="173" t="n"/>
      <c r="AY64" s="173" t="n"/>
      <c r="AZ64" s="173" t="n"/>
      <c r="BA64" s="173" t="n"/>
      <c r="BB64" s="173" t="n"/>
      <c r="BC64" s="173" t="n"/>
      <c r="BD64" s="26" t="n"/>
      <c r="BE64" s="26" t="n"/>
      <c r="BF64" s="26" t="n"/>
      <c r="BG64" s="26" t="n"/>
    </row>
    <row r="65" ht="12" customHeight="1" s="209">
      <c r="A65" s="173" t="n"/>
      <c r="B65" s="173" t="n"/>
      <c r="C65" s="173" t="n"/>
      <c r="D65" s="173" t="n"/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3" t="n"/>
      <c r="S65" s="173" t="n"/>
      <c r="T65" s="173" t="n"/>
      <c r="U65" s="173" t="n"/>
      <c r="V65" s="173" t="n"/>
      <c r="W65" s="173" t="n"/>
      <c r="X65" s="173" t="n"/>
      <c r="Y65" s="173" t="n"/>
      <c r="Z65" s="173" t="n"/>
      <c r="AA65" s="173" t="n"/>
      <c r="AB65" s="173" t="n"/>
      <c r="AC65" s="173" t="n"/>
      <c r="AD65" s="173" t="n"/>
      <c r="AE65" s="173" t="n"/>
      <c r="AF65" s="173" t="n"/>
      <c r="AG65" s="173" t="n"/>
      <c r="AH65" s="173" t="n"/>
      <c r="AI65" s="173" t="n"/>
      <c r="AJ65" s="173" t="n"/>
      <c r="AK65" s="173" t="n"/>
      <c r="AL65" s="173" t="n"/>
      <c r="AM65" s="173" t="n"/>
      <c r="AN65" s="173" t="n"/>
      <c r="AO65" s="173" t="n"/>
      <c r="AP65" s="173" t="n"/>
      <c r="AQ65" s="173" t="n"/>
      <c r="AR65" s="173" t="n"/>
      <c r="AS65" s="173" t="n"/>
      <c r="AT65" s="173" t="n"/>
      <c r="AU65" s="173" t="n"/>
      <c r="AV65" s="173" t="n"/>
      <c r="AW65" s="173" t="n"/>
      <c r="AX65" s="173" t="n"/>
      <c r="AY65" s="173" t="n"/>
      <c r="AZ65" s="173" t="n"/>
      <c r="BA65" s="173" t="n"/>
      <c r="BB65" s="173" t="n"/>
      <c r="BC65" s="173" t="n"/>
      <c r="BD65" s="26" t="n"/>
      <c r="BE65" s="26" t="n"/>
      <c r="BF65" s="26" t="n"/>
      <c r="BG65" s="26" t="n"/>
    </row>
    <row r="66" ht="24" customHeight="1" s="209">
      <c r="A66" s="208" t="n"/>
      <c r="B66" s="208" t="n"/>
      <c r="C66" s="208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6" t="n"/>
      <c r="BE66" s="26" t="n"/>
      <c r="BF66" s="26" t="n"/>
      <c r="BG66" s="26" t="n"/>
    </row>
    <row r="67" ht="24" customHeight="1" s="209">
      <c r="A67" s="208" t="n"/>
      <c r="B67" s="208" t="n"/>
      <c r="C67" s="208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6" t="n"/>
      <c r="BE67" s="26" t="n"/>
      <c r="BF67" s="26" t="n"/>
      <c r="BG67" s="26" t="n"/>
    </row>
    <row r="68" ht="21" customHeight="1" s="209">
      <c r="A68" s="208" t="n"/>
      <c r="B68" s="208" t="n"/>
      <c r="C68" s="208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6" t="n"/>
      <c r="BE68" s="26" t="n"/>
      <c r="BF68" s="26" t="n"/>
      <c r="BG68" s="26" t="n"/>
    </row>
    <row r="69" ht="21" customHeight="1" s="209">
      <c r="A69" s="208" t="n"/>
      <c r="B69" s="208" t="n"/>
      <c r="C69" s="208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6" t="n"/>
      <c r="BE69" s="26" t="n"/>
      <c r="BF69" s="26" t="n"/>
      <c r="BG69" s="26" t="n"/>
    </row>
    <row r="70" ht="21" customHeight="1" s="209">
      <c r="A70" s="208" t="n"/>
      <c r="B70" s="208" t="n"/>
      <c r="C70" s="208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6" t="n"/>
      <c r="BE70" s="26" t="n"/>
      <c r="BF70" s="26" t="n"/>
      <c r="BG70" s="26" t="n"/>
    </row>
    <row r="71" ht="21" customHeight="1" s="209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6" t="n"/>
      <c r="BE71" s="26" t="n"/>
      <c r="BF71" s="26" t="n"/>
      <c r="BG71" s="26" t="n"/>
    </row>
    <row r="72" ht="21" customHeight="1" s="209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6" t="n"/>
      <c r="BE72" s="26" t="n"/>
      <c r="BF72" s="26" t="n"/>
      <c r="BG72" s="26" t="n"/>
    </row>
    <row r="73" ht="21" customHeight="1" s="209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6" t="n"/>
      <c r="BE73" s="26" t="n"/>
      <c r="BF73" s="26" t="n"/>
      <c r="BG73" s="26" t="n"/>
    </row>
    <row r="74" ht="21" customHeight="1" s="209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6" t="n"/>
      <c r="BE74" s="26" t="n"/>
      <c r="BF74" s="26" t="n"/>
      <c r="BG74" s="26" t="n"/>
    </row>
    <row r="75" ht="21" customHeight="1" s="209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6" t="n"/>
      <c r="AP75" s="26" t="n"/>
      <c r="AQ75" s="26" t="n"/>
      <c r="AR75" s="26" t="n"/>
      <c r="AS75" s="26" t="n"/>
      <c r="AT75" s="26" t="n"/>
      <c r="AU75" s="26" t="n"/>
      <c r="AV75" s="26" t="n"/>
      <c r="AW75" s="26" t="n"/>
      <c r="AX75" s="26" t="n"/>
      <c r="AY75" s="26" t="n"/>
      <c r="AZ75" s="26" t="n"/>
      <c r="BA75" s="26" t="n"/>
      <c r="BB75" s="26" t="n"/>
      <c r="BC75" s="26" t="n"/>
      <c r="BD75" s="26" t="n"/>
      <c r="BE75" s="26" t="n"/>
      <c r="BF75" s="26" t="n"/>
      <c r="BG75" s="26" t="n"/>
    </row>
    <row r="76" ht="21" customHeight="1" s="209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6" t="n"/>
      <c r="AP76" s="26" t="n"/>
      <c r="AQ76" s="26" t="n"/>
      <c r="AR76" s="26" t="n"/>
      <c r="AS76" s="26" t="n"/>
      <c r="AT76" s="26" t="n"/>
      <c r="AU76" s="26" t="n"/>
      <c r="AV76" s="26" t="n"/>
      <c r="AW76" s="26" t="n"/>
      <c r="AX76" s="26" t="n"/>
      <c r="AY76" s="26" t="n"/>
      <c r="AZ76" s="26" t="n"/>
      <c r="BA76" s="26" t="n"/>
      <c r="BB76" s="26" t="n"/>
      <c r="BC76" s="26" t="n"/>
      <c r="BD76" s="26" t="n"/>
      <c r="BE76" s="26" t="n"/>
      <c r="BF76" s="26" t="n"/>
      <c r="BG76" s="26" t="n"/>
    </row>
    <row r="77" ht="21" customHeight="1" s="209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6" t="n"/>
      <c r="AP77" s="26" t="n"/>
      <c r="AQ77" s="26" t="n"/>
      <c r="AR77" s="26" t="n"/>
      <c r="AS77" s="26" t="n"/>
      <c r="AT77" s="26" t="n"/>
      <c r="AU77" s="26" t="n"/>
      <c r="AV77" s="26" t="n"/>
      <c r="AW77" s="26" t="n"/>
      <c r="AX77" s="26" t="n"/>
      <c r="AY77" s="26" t="n"/>
      <c r="AZ77" s="26" t="n"/>
      <c r="BA77" s="26" t="n"/>
      <c r="BB77" s="26" t="n"/>
      <c r="BC77" s="26" t="n"/>
      <c r="BD77" s="26" t="n"/>
      <c r="BE77" s="26" t="n"/>
      <c r="BF77" s="26" t="n"/>
      <c r="BG77" s="26" t="n"/>
    </row>
    <row r="78" ht="12" customHeight="1" s="209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6" t="n"/>
      <c r="AP78" s="26" t="n"/>
      <c r="AQ78" s="26" t="n"/>
      <c r="AR78" s="26" t="n"/>
      <c r="AS78" s="26" t="n"/>
      <c r="AT78" s="26" t="n"/>
      <c r="AU78" s="26" t="n"/>
      <c r="AV78" s="26" t="n"/>
      <c r="AW78" s="26" t="n"/>
      <c r="AX78" s="26" t="n"/>
      <c r="AY78" s="26" t="n"/>
      <c r="AZ78" s="26" t="n"/>
      <c r="BA78" s="26" t="n"/>
      <c r="BB78" s="26" t="n"/>
      <c r="BC78" s="26" t="n"/>
      <c r="BD78" s="26" t="n"/>
      <c r="BE78" s="26" t="n"/>
      <c r="BF78" s="26" t="n"/>
      <c r="BG78" s="26" t="n"/>
    </row>
    <row r="79" ht="24" customHeight="1" s="20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6" t="n"/>
      <c r="AP79" s="26" t="n"/>
      <c r="AQ79" s="26" t="n"/>
      <c r="AR79" s="26" t="n"/>
      <c r="AS79" s="26" t="n"/>
      <c r="AT79" s="26" t="n"/>
      <c r="AU79" s="26" t="n"/>
      <c r="AV79" s="26" t="n"/>
      <c r="AW79" s="26" t="n"/>
      <c r="AX79" s="26" t="n"/>
      <c r="AY79" s="26" t="n"/>
      <c r="AZ79" s="26" t="n"/>
      <c r="BA79" s="26" t="n"/>
      <c r="BB79" s="26" t="n"/>
      <c r="BC79" s="26" t="n"/>
      <c r="BD79" s="26" t="n"/>
      <c r="BE79" s="26" t="n"/>
      <c r="BF79" s="26" t="n"/>
      <c r="BG79" s="26" t="n"/>
    </row>
    <row r="80" ht="24" customHeight="1" s="209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6" t="n"/>
      <c r="AP80" s="26" t="n"/>
      <c r="AQ80" s="26" t="n"/>
      <c r="AR80" s="26" t="n"/>
      <c r="AS80" s="26" t="n"/>
      <c r="AT80" s="26" t="n"/>
      <c r="AU80" s="26" t="n"/>
      <c r="AV80" s="26" t="n"/>
      <c r="AW80" s="26" t="n"/>
      <c r="AX80" s="26" t="n"/>
      <c r="AY80" s="26" t="n"/>
      <c r="AZ80" s="26" t="n"/>
      <c r="BA80" s="26" t="n"/>
      <c r="BB80" s="26" t="n"/>
      <c r="BC80" s="26" t="n"/>
      <c r="BD80" s="26" t="n"/>
      <c r="BE80" s="26" t="n"/>
      <c r="BF80" s="26" t="n"/>
      <c r="BG80" s="26" t="n"/>
    </row>
    <row r="81" ht="21.75" customHeight="1" s="209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6" t="n"/>
      <c r="AP81" s="26" t="n"/>
      <c r="AQ81" s="26" t="n"/>
      <c r="AR81" s="26" t="n"/>
      <c r="AS81" s="26" t="n"/>
      <c r="AT81" s="26" t="n"/>
      <c r="AU81" s="26" t="n"/>
      <c r="AV81" s="26" t="n"/>
      <c r="AW81" s="26" t="n"/>
      <c r="AX81" s="26" t="n"/>
      <c r="AY81" s="26" t="n"/>
      <c r="AZ81" s="26" t="n"/>
      <c r="BA81" s="26" t="n"/>
      <c r="BB81" s="26" t="n"/>
      <c r="BC81" s="26" t="n"/>
      <c r="BD81" s="26" t="n"/>
      <c r="BE81" s="26" t="n"/>
      <c r="BF81" s="26" t="n"/>
      <c r="BG81" s="26" t="n"/>
    </row>
    <row r="82" ht="21.75" customHeight="1" s="209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6" t="n"/>
      <c r="AP82" s="26" t="n"/>
      <c r="AQ82" s="26" t="n"/>
      <c r="AR82" s="26" t="n"/>
      <c r="AS82" s="26" t="n"/>
      <c r="AT82" s="26" t="n"/>
      <c r="AU82" s="26" t="n"/>
      <c r="AV82" s="26" t="n"/>
      <c r="AW82" s="26" t="n"/>
      <c r="AX82" s="26" t="n"/>
      <c r="AY82" s="26" t="n"/>
      <c r="AZ82" s="26" t="n"/>
      <c r="BA82" s="26" t="n"/>
      <c r="BB82" s="26" t="n"/>
      <c r="BC82" s="26" t="n"/>
      <c r="BD82" s="26" t="n"/>
      <c r="BE82" s="26" t="n"/>
      <c r="BF82" s="26" t="n"/>
      <c r="BG82" s="26" t="n"/>
    </row>
    <row r="83" ht="21.75" customHeight="1" s="209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6" t="n"/>
      <c r="AP83" s="26" t="n"/>
      <c r="AQ83" s="26" t="n"/>
      <c r="AR83" s="26" t="n"/>
      <c r="AS83" s="26" t="n"/>
      <c r="AT83" s="26" t="n"/>
      <c r="AU83" s="26" t="n"/>
      <c r="AV83" s="26" t="n"/>
      <c r="AW83" s="26" t="n"/>
      <c r="AX83" s="26" t="n"/>
      <c r="AY83" s="26" t="n"/>
      <c r="AZ83" s="26" t="n"/>
      <c r="BA83" s="26" t="n"/>
      <c r="BB83" s="26" t="n"/>
      <c r="BC83" s="26" t="n"/>
      <c r="BD83" s="26" t="n"/>
      <c r="BE83" s="26" t="n"/>
      <c r="BF83" s="26" t="n"/>
      <c r="BG83" s="26" t="n"/>
    </row>
    <row r="84" ht="21.75" customHeight="1" s="209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  <c r="AN84" s="26" t="n"/>
      <c r="AO84" s="26" t="n"/>
      <c r="AP84" s="26" t="n"/>
      <c r="AQ84" s="26" t="n"/>
      <c r="AR84" s="26" t="n"/>
      <c r="AS84" s="26" t="n"/>
      <c r="AT84" s="26" t="n"/>
      <c r="AU84" s="26" t="n"/>
      <c r="AV84" s="26" t="n"/>
      <c r="AW84" s="26" t="n"/>
      <c r="AX84" s="26" t="n"/>
      <c r="AY84" s="26" t="n"/>
      <c r="AZ84" s="26" t="n"/>
      <c r="BA84" s="26" t="n"/>
      <c r="BB84" s="26" t="n"/>
      <c r="BC84" s="26" t="n"/>
      <c r="BD84" s="26" t="n"/>
      <c r="BE84" s="26" t="n"/>
      <c r="BF84" s="26" t="n"/>
      <c r="BG84" s="26" t="n"/>
    </row>
    <row r="85" ht="21.75" customHeight="1" s="209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6" t="n"/>
      <c r="AP85" s="26" t="n"/>
      <c r="AQ85" s="26" t="n"/>
      <c r="AR85" s="26" t="n"/>
      <c r="AS85" s="26" t="n"/>
      <c r="AT85" s="26" t="n"/>
      <c r="AU85" s="26" t="n"/>
      <c r="AV85" s="26" t="n"/>
      <c r="AW85" s="26" t="n"/>
      <c r="AX85" s="26" t="n"/>
      <c r="AY85" s="26" t="n"/>
      <c r="AZ85" s="26" t="n"/>
      <c r="BA85" s="26" t="n"/>
      <c r="BB85" s="26" t="n"/>
      <c r="BC85" s="26" t="n"/>
      <c r="BD85" s="26" t="n"/>
      <c r="BE85" s="26" t="n"/>
      <c r="BF85" s="26" t="n"/>
      <c r="BG85" s="26" t="n"/>
    </row>
    <row r="86" ht="21.75" customHeight="1" s="209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  <c r="AP86" s="26" t="n"/>
      <c r="AQ86" s="26" t="n"/>
      <c r="AR86" s="26" t="n"/>
      <c r="AS86" s="26" t="n"/>
      <c r="AT86" s="26" t="n"/>
      <c r="AU86" s="26" t="n"/>
      <c r="AV86" s="26" t="n"/>
      <c r="AW86" s="26" t="n"/>
      <c r="AX86" s="26" t="n"/>
      <c r="AY86" s="26" t="n"/>
      <c r="AZ86" s="26" t="n"/>
      <c r="BA86" s="26" t="n"/>
      <c r="BB86" s="26" t="n"/>
      <c r="BC86" s="26" t="n"/>
      <c r="BD86" s="26" t="n"/>
      <c r="BE86" s="26" t="n"/>
      <c r="BF86" s="26" t="n"/>
      <c r="BG86" s="26" t="n"/>
    </row>
    <row r="87" ht="21.75" customHeight="1" s="209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  <c r="AP87" s="26" t="n"/>
      <c r="AQ87" s="26" t="n"/>
      <c r="AR87" s="26" t="n"/>
      <c r="AS87" s="26" t="n"/>
      <c r="AT87" s="26" t="n"/>
      <c r="AU87" s="26" t="n"/>
      <c r="AV87" s="26" t="n"/>
      <c r="AW87" s="26" t="n"/>
      <c r="AX87" s="26" t="n"/>
      <c r="AY87" s="26" t="n"/>
      <c r="AZ87" s="26" t="n"/>
      <c r="BA87" s="26" t="n"/>
      <c r="BB87" s="26" t="n"/>
      <c r="BC87" s="26" t="n"/>
      <c r="BD87" s="26" t="n"/>
      <c r="BE87" s="26" t="n"/>
      <c r="BF87" s="26" t="n"/>
      <c r="BG87" s="26" t="n"/>
    </row>
    <row r="88" ht="21.75" customHeight="1" s="209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  <c r="AP88" s="26" t="n"/>
      <c r="AQ88" s="26" t="n"/>
      <c r="AR88" s="26" t="n"/>
      <c r="AS88" s="26" t="n"/>
      <c r="AT88" s="26" t="n"/>
      <c r="AU88" s="26" t="n"/>
      <c r="AV88" s="26" t="n"/>
      <c r="AW88" s="26" t="n"/>
      <c r="AX88" s="26" t="n"/>
      <c r="AY88" s="26" t="n"/>
      <c r="AZ88" s="26" t="n"/>
      <c r="BA88" s="26" t="n"/>
      <c r="BB88" s="26" t="n"/>
      <c r="BC88" s="26" t="n"/>
      <c r="BD88" s="26" t="n"/>
      <c r="BE88" s="26" t="n"/>
      <c r="BF88" s="26" t="n"/>
      <c r="BG88" s="26" t="n"/>
    </row>
    <row r="89" ht="21.75" customHeight="1" s="20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</row>
    <row r="90" ht="21.75" customHeight="1" s="209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  <c r="AP90" s="26" t="n"/>
      <c r="AQ90" s="26" t="n"/>
      <c r="AR90" s="26" t="n"/>
      <c r="AS90" s="26" t="n"/>
      <c r="AT90" s="26" t="n"/>
      <c r="AU90" s="26" t="n"/>
      <c r="AV90" s="26" t="n"/>
      <c r="AW90" s="26" t="n"/>
      <c r="AX90" s="26" t="n"/>
      <c r="AY90" s="26" t="n"/>
      <c r="AZ90" s="26" t="n"/>
      <c r="BA90" s="26" t="n"/>
      <c r="BB90" s="26" t="n"/>
      <c r="BC90" s="26" t="n"/>
      <c r="BD90" s="26" t="n"/>
      <c r="BE90" s="26" t="n"/>
      <c r="BF90" s="26" t="n"/>
      <c r="BG90" s="26" t="n"/>
    </row>
    <row r="91" ht="21.75" customHeight="1" s="209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  <c r="AP91" s="26" t="n"/>
      <c r="AQ91" s="26" t="n"/>
      <c r="AR91" s="26" t="n"/>
      <c r="AS91" s="26" t="n"/>
      <c r="AT91" s="26" t="n"/>
      <c r="AU91" s="26" t="n"/>
      <c r="AV91" s="26" t="n"/>
      <c r="AW91" s="26" t="n"/>
      <c r="AX91" s="26" t="n"/>
      <c r="AY91" s="26" t="n"/>
      <c r="AZ91" s="26" t="n"/>
      <c r="BA91" s="26" t="n"/>
      <c r="BB91" s="26" t="n"/>
      <c r="BC91" s="26" t="n"/>
      <c r="BD91" s="26" t="n"/>
      <c r="BE91" s="26" t="n"/>
      <c r="BF91" s="26" t="n"/>
      <c r="BG91" s="26" t="n"/>
    </row>
    <row r="92" ht="15.75" customHeight="1" s="209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6" t="n"/>
      <c r="AP92" s="26" t="n"/>
      <c r="AQ92" s="26" t="n"/>
      <c r="AR92" s="26" t="n"/>
      <c r="AS92" s="26" t="n"/>
      <c r="AT92" s="26" t="n"/>
      <c r="AU92" s="26" t="n"/>
      <c r="AV92" s="26" t="n"/>
      <c r="AW92" s="26" t="n"/>
      <c r="AX92" s="26" t="n"/>
      <c r="AY92" s="26" t="n"/>
      <c r="AZ92" s="26" t="n"/>
      <c r="BA92" s="26" t="n"/>
      <c r="BB92" s="26" t="n"/>
      <c r="BC92" s="26" t="n"/>
      <c r="BD92" s="26" t="n"/>
      <c r="BE92" s="26" t="n"/>
      <c r="BF92" s="26" t="n"/>
      <c r="BG92" s="26" t="n"/>
    </row>
    <row r="93" ht="15.75" customHeight="1" s="209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6" t="n"/>
      <c r="AP93" s="26" t="n"/>
      <c r="AQ93" s="26" t="n"/>
      <c r="AR93" s="26" t="n"/>
      <c r="AS93" s="26" t="n"/>
      <c r="AT93" s="26" t="n"/>
      <c r="AU93" s="26" t="n"/>
      <c r="AV93" s="26" t="n"/>
      <c r="AW93" s="26" t="n"/>
      <c r="AX93" s="26" t="n"/>
      <c r="AY93" s="26" t="n"/>
      <c r="AZ93" s="26" t="n"/>
      <c r="BA93" s="26" t="n"/>
      <c r="BB93" s="26" t="n"/>
      <c r="BC93" s="26" t="n"/>
      <c r="BD93" s="26" t="n"/>
      <c r="BE93" s="26" t="n"/>
      <c r="BF93" s="26" t="n"/>
      <c r="BG93" s="26" t="n"/>
    </row>
    <row r="94" ht="15.75" customHeight="1" s="209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  <c r="AP94" s="26" t="n"/>
      <c r="AQ94" s="26" t="n"/>
      <c r="AR94" s="26" t="n"/>
      <c r="AS94" s="26" t="n"/>
      <c r="AT94" s="26" t="n"/>
      <c r="AU94" s="26" t="n"/>
      <c r="AV94" s="26" t="n"/>
      <c r="AW94" s="26" t="n"/>
      <c r="AX94" s="26" t="n"/>
      <c r="AY94" s="26" t="n"/>
      <c r="AZ94" s="26" t="n"/>
      <c r="BA94" s="26" t="n"/>
      <c r="BB94" s="26" t="n"/>
      <c r="BC94" s="26" t="n"/>
      <c r="BD94" s="26" t="n"/>
      <c r="BE94" s="26" t="n"/>
      <c r="BF94" s="26" t="n"/>
      <c r="BG94" s="26" t="n"/>
    </row>
    <row r="95" ht="15.75" customHeight="1" s="209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  <c r="AP95" s="26" t="n"/>
      <c r="AQ95" s="26" t="n"/>
      <c r="AR95" s="26" t="n"/>
      <c r="AS95" s="26" t="n"/>
      <c r="AT95" s="26" t="n"/>
      <c r="AU95" s="26" t="n"/>
      <c r="AV95" s="26" t="n"/>
      <c r="AW95" s="26" t="n"/>
      <c r="AX95" s="26" t="n"/>
      <c r="AY95" s="26" t="n"/>
      <c r="AZ95" s="26" t="n"/>
      <c r="BA95" s="26" t="n"/>
      <c r="BB95" s="26" t="n"/>
      <c r="BC95" s="26" t="n"/>
      <c r="BD95" s="26" t="n"/>
      <c r="BE95" s="26" t="n"/>
      <c r="BF95" s="26" t="n"/>
      <c r="BG95" s="26" t="n"/>
    </row>
    <row r="96" ht="15.75" customHeight="1" s="209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  <c r="AP96" s="26" t="n"/>
      <c r="AQ96" s="26" t="n"/>
      <c r="AR96" s="26" t="n"/>
      <c r="AS96" s="26" t="n"/>
      <c r="AT96" s="26" t="n"/>
      <c r="AU96" s="26" t="n"/>
      <c r="AV96" s="26" t="n"/>
      <c r="AW96" s="26" t="n"/>
      <c r="AX96" s="26" t="n"/>
      <c r="AY96" s="26" t="n"/>
      <c r="AZ96" s="26" t="n"/>
      <c r="BA96" s="26" t="n"/>
      <c r="BB96" s="26" t="n"/>
      <c r="BC96" s="26" t="n"/>
      <c r="BD96" s="26" t="n"/>
      <c r="BE96" s="26" t="n"/>
      <c r="BF96" s="26" t="n"/>
      <c r="BG96" s="26" t="n"/>
    </row>
    <row r="97" ht="15.75" customHeight="1" s="209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  <c r="AP97" s="26" t="n"/>
      <c r="AQ97" s="26" t="n"/>
      <c r="AR97" s="26" t="n"/>
      <c r="AS97" s="26" t="n"/>
      <c r="AT97" s="26" t="n"/>
      <c r="AU97" s="26" t="n"/>
      <c r="AV97" s="26" t="n"/>
      <c r="AW97" s="26" t="n"/>
      <c r="AX97" s="26" t="n"/>
      <c r="AY97" s="26" t="n"/>
      <c r="AZ97" s="26" t="n"/>
      <c r="BA97" s="26" t="n"/>
      <c r="BB97" s="26" t="n"/>
      <c r="BC97" s="26" t="n"/>
      <c r="BD97" s="26" t="n"/>
      <c r="BE97" s="26" t="n"/>
      <c r="BF97" s="26" t="n"/>
      <c r="BG97" s="26" t="n"/>
    </row>
    <row r="98" ht="15.75" customHeight="1" s="209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</row>
    <row r="99" ht="15.75" customHeight="1" s="20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  <c r="AP99" s="26" t="n"/>
      <c r="AQ99" s="26" t="n"/>
      <c r="AR99" s="26" t="n"/>
      <c r="AS99" s="26" t="n"/>
      <c r="AT99" s="26" t="n"/>
      <c r="AU99" s="26" t="n"/>
      <c r="AV99" s="26" t="n"/>
      <c r="AW99" s="26" t="n"/>
      <c r="AX99" s="26" t="n"/>
      <c r="AY99" s="26" t="n"/>
      <c r="AZ99" s="26" t="n"/>
      <c r="BA99" s="26" t="n"/>
      <c r="BB99" s="26" t="n"/>
      <c r="BC99" s="26" t="n"/>
      <c r="BD99" s="26" t="n"/>
      <c r="BE99" s="26" t="n"/>
      <c r="BF99" s="26" t="n"/>
      <c r="BG99" s="26" t="n"/>
    </row>
    <row r="100" ht="15.75" customHeight="1" s="209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</row>
  </sheetData>
  <mergeCells count="284">
    <mergeCell ref="AK44:AN44"/>
    <mergeCell ref="A42:P42"/>
    <mergeCell ref="AQ5:BC5"/>
    <mergeCell ref="AP56:AT56"/>
    <mergeCell ref="A15:B15"/>
    <mergeCell ref="X26:AA26"/>
    <mergeCell ref="AE42:AJ42"/>
    <mergeCell ref="AK46:AN46"/>
    <mergeCell ref="X35:AA35"/>
    <mergeCell ref="AK40:AN40"/>
    <mergeCell ref="AB27:AD27"/>
    <mergeCell ref="AQ4:BC4"/>
    <mergeCell ref="AB36:AD36"/>
    <mergeCell ref="X49:AC49"/>
    <mergeCell ref="D55:G55"/>
    <mergeCell ref="G36:W36"/>
    <mergeCell ref="AE44:AJ44"/>
    <mergeCell ref="AH34:AJ34"/>
    <mergeCell ref="X55:AC55"/>
    <mergeCell ref="A57:C57"/>
    <mergeCell ref="AO46:AR46"/>
    <mergeCell ref="AD57:AI57"/>
    <mergeCell ref="AQ6:BC6"/>
    <mergeCell ref="AM22:BC22"/>
    <mergeCell ref="A8:BC8"/>
    <mergeCell ref="AK37:BC37"/>
    <mergeCell ref="X27:AA27"/>
    <mergeCell ref="AK27:BC27"/>
    <mergeCell ref="D59:G59"/>
    <mergeCell ref="AH27:AJ27"/>
    <mergeCell ref="AD49:AI49"/>
    <mergeCell ref="AK36:BC36"/>
    <mergeCell ref="A32:F32"/>
    <mergeCell ref="AH36:AJ36"/>
    <mergeCell ref="D60:G60"/>
    <mergeCell ref="AK42:AN42"/>
    <mergeCell ref="K49:W49"/>
    <mergeCell ref="AU57:BC57"/>
    <mergeCell ref="G28:W28"/>
    <mergeCell ref="A29:F29"/>
    <mergeCell ref="G37:W37"/>
    <mergeCell ref="AS40:BC40"/>
    <mergeCell ref="A52:C52"/>
    <mergeCell ref="AU53:BC53"/>
    <mergeCell ref="AP60:AT60"/>
    <mergeCell ref="AB37:AD37"/>
    <mergeCell ref="AU50:BC50"/>
    <mergeCell ref="AC4:AP4"/>
    <mergeCell ref="Q40:AD40"/>
    <mergeCell ref="AK43:AN43"/>
    <mergeCell ref="AK28:BC28"/>
    <mergeCell ref="G30:W30"/>
    <mergeCell ref="AH28:AJ28"/>
    <mergeCell ref="A31:F31"/>
    <mergeCell ref="AE26:AG26"/>
    <mergeCell ref="A39:BC39"/>
    <mergeCell ref="A48:BC48"/>
    <mergeCell ref="AJ60:AO60"/>
    <mergeCell ref="A17:B17"/>
    <mergeCell ref="AU52:BC52"/>
    <mergeCell ref="X37:AA37"/>
    <mergeCell ref="AU61:BC61"/>
    <mergeCell ref="AK30:BC30"/>
    <mergeCell ref="A1:BC1"/>
    <mergeCell ref="A46:P46"/>
    <mergeCell ref="A49:C49"/>
    <mergeCell ref="AJ50:AO50"/>
    <mergeCell ref="AE41:AJ41"/>
    <mergeCell ref="X52:AC52"/>
    <mergeCell ref="H58:J58"/>
    <mergeCell ref="AJ52:AO52"/>
    <mergeCell ref="A9:B9"/>
    <mergeCell ref="AM21:BC21"/>
    <mergeCell ref="G32:W32"/>
    <mergeCell ref="X29:AA29"/>
    <mergeCell ref="K59:W59"/>
    <mergeCell ref="AE43:AJ43"/>
    <mergeCell ref="H51:J51"/>
    <mergeCell ref="D56:G56"/>
    <mergeCell ref="H60:J60"/>
    <mergeCell ref="D58:G58"/>
    <mergeCell ref="AS45:BC45"/>
    <mergeCell ref="A11:B11"/>
    <mergeCell ref="K61:W61"/>
    <mergeCell ref="A27:F27"/>
    <mergeCell ref="AS42:BC42"/>
    <mergeCell ref="X53:AC53"/>
    <mergeCell ref="K53:W53"/>
    <mergeCell ref="A55:C55"/>
    <mergeCell ref="D51:G51"/>
    <mergeCell ref="G27:W27"/>
    <mergeCell ref="Q42:AD42"/>
    <mergeCell ref="AE29:AG29"/>
    <mergeCell ref="A33:F33"/>
    <mergeCell ref="AS44:BC44"/>
    <mergeCell ref="AJ53:AO53"/>
    <mergeCell ref="D50:G50"/>
    <mergeCell ref="AU54:BC54"/>
    <mergeCell ref="H57:J57"/>
    <mergeCell ref="AP51:AT51"/>
    <mergeCell ref="AD54:AI54"/>
    <mergeCell ref="AK32:BC32"/>
    <mergeCell ref="O5:AB5"/>
    <mergeCell ref="AH26:AJ26"/>
    <mergeCell ref="A35:F35"/>
    <mergeCell ref="AJ55:AO55"/>
    <mergeCell ref="AC5:AP5"/>
    <mergeCell ref="AE37:AG37"/>
    <mergeCell ref="AP50:AT50"/>
    <mergeCell ref="X54:AC54"/>
    <mergeCell ref="AU56:BC56"/>
    <mergeCell ref="O4:AB4"/>
    <mergeCell ref="A28:F28"/>
    <mergeCell ref="AB34:AD34"/>
    <mergeCell ref="AB28:AD28"/>
    <mergeCell ref="G34:W34"/>
    <mergeCell ref="I21:V21"/>
    <mergeCell ref="A45:P45"/>
    <mergeCell ref="AJ54:AO54"/>
    <mergeCell ref="A58:C58"/>
    <mergeCell ref="AE45:AJ45"/>
    <mergeCell ref="X56:AC56"/>
    <mergeCell ref="AD58:AI58"/>
    <mergeCell ref="K51:W51"/>
    <mergeCell ref="A5:N5"/>
    <mergeCell ref="A30:F30"/>
    <mergeCell ref="Q46:AD46"/>
    <mergeCell ref="AP49:AT49"/>
    <mergeCell ref="AB30:AD30"/>
    <mergeCell ref="I23:V23"/>
    <mergeCell ref="A22:H22"/>
    <mergeCell ref="X28:AA28"/>
    <mergeCell ref="X34:AA34"/>
    <mergeCell ref="A51:C51"/>
    <mergeCell ref="A60:C60"/>
    <mergeCell ref="AJ56:AO56"/>
    <mergeCell ref="K50:W50"/>
    <mergeCell ref="D61:G61"/>
    <mergeCell ref="AB29:AD29"/>
    <mergeCell ref="A4:N4"/>
    <mergeCell ref="AU58:BC58"/>
    <mergeCell ref="D53:G53"/>
    <mergeCell ref="G29:W29"/>
    <mergeCell ref="A10:B10"/>
    <mergeCell ref="W22:AL22"/>
    <mergeCell ref="AE46:AJ46"/>
    <mergeCell ref="K56:W56"/>
    <mergeCell ref="X30:AA30"/>
    <mergeCell ref="Q45:AD45"/>
    <mergeCell ref="X57:AC57"/>
    <mergeCell ref="K58:W58"/>
    <mergeCell ref="AD59:AI59"/>
    <mergeCell ref="K52:W52"/>
    <mergeCell ref="H59:J59"/>
    <mergeCell ref="Q41:AD41"/>
    <mergeCell ref="AU60:BC60"/>
    <mergeCell ref="W21:AL21"/>
    <mergeCell ref="AK29:BC29"/>
    <mergeCell ref="G31:W31"/>
    <mergeCell ref="AH29:AJ29"/>
    <mergeCell ref="AD60:AI60"/>
    <mergeCell ref="AP53:AT53"/>
    <mergeCell ref="AE33:AG33"/>
    <mergeCell ref="AO41:AR41"/>
    <mergeCell ref="H52:J52"/>
    <mergeCell ref="AU59:BC59"/>
    <mergeCell ref="H61:J61"/>
    <mergeCell ref="Q43:AD43"/>
    <mergeCell ref="AK31:BC31"/>
    <mergeCell ref="AH31:AJ31"/>
    <mergeCell ref="A26:F26"/>
    <mergeCell ref="A50:C50"/>
    <mergeCell ref="A43:P43"/>
    <mergeCell ref="AM23:BC23"/>
    <mergeCell ref="X31:AA31"/>
    <mergeCell ref="AU55:BC55"/>
    <mergeCell ref="AO40:AR40"/>
    <mergeCell ref="AP54:AT54"/>
    <mergeCell ref="A6:N6"/>
    <mergeCell ref="AE28:AG28"/>
    <mergeCell ref="A40:P40"/>
    <mergeCell ref="AP55:AT55"/>
    <mergeCell ref="AD61:AI61"/>
    <mergeCell ref="AH30:AJ30"/>
    <mergeCell ref="AS46:BC46"/>
    <mergeCell ref="AE30:AG30"/>
    <mergeCell ref="I22:V22"/>
    <mergeCell ref="X32:AA32"/>
    <mergeCell ref="A12:B12"/>
    <mergeCell ref="X59:AC59"/>
    <mergeCell ref="K54:W54"/>
    <mergeCell ref="AB33:AD33"/>
    <mergeCell ref="D52:G52"/>
    <mergeCell ref="K55:W55"/>
    <mergeCell ref="G33:W33"/>
    <mergeCell ref="A14:B14"/>
    <mergeCell ref="A34:F34"/>
    <mergeCell ref="AD56:AI56"/>
    <mergeCell ref="D49:G49"/>
    <mergeCell ref="A59:C59"/>
    <mergeCell ref="Q44:AD44"/>
    <mergeCell ref="H53:J53"/>
    <mergeCell ref="AJ51:AO51"/>
    <mergeCell ref="AK33:BC33"/>
    <mergeCell ref="G35:W35"/>
    <mergeCell ref="AE32:AG32"/>
    <mergeCell ref="AH33:AJ33"/>
    <mergeCell ref="A36:F36"/>
    <mergeCell ref="H50:J50"/>
    <mergeCell ref="AU51:BC51"/>
    <mergeCell ref="AO45:AR45"/>
    <mergeCell ref="A61:C61"/>
    <mergeCell ref="AD51:AI51"/>
    <mergeCell ref="H55:J55"/>
    <mergeCell ref="AC6:AP6"/>
    <mergeCell ref="AO42:AR42"/>
    <mergeCell ref="AJ58:AO58"/>
    <mergeCell ref="AK26:BC26"/>
    <mergeCell ref="AK35:BC35"/>
    <mergeCell ref="A25:BC25"/>
    <mergeCell ref="AH35:AJ35"/>
    <mergeCell ref="A54:C54"/>
    <mergeCell ref="AP57:AT57"/>
    <mergeCell ref="H49:J49"/>
    <mergeCell ref="AK41:AN41"/>
    <mergeCell ref="AK34:BC34"/>
    <mergeCell ref="AO44:AR44"/>
    <mergeCell ref="A18:BC18"/>
    <mergeCell ref="A37:F37"/>
    <mergeCell ref="AB31:AD31"/>
    <mergeCell ref="AJ57:AO57"/>
    <mergeCell ref="A56:C56"/>
    <mergeCell ref="AU49:BC49"/>
    <mergeCell ref="A2:BC2"/>
    <mergeCell ref="O6:AB6"/>
    <mergeCell ref="AP58:AT58"/>
    <mergeCell ref="AS41:BC41"/>
    <mergeCell ref="AP52:AT52"/>
    <mergeCell ref="D54:G54"/>
    <mergeCell ref="K57:W57"/>
    <mergeCell ref="A16:B16"/>
    <mergeCell ref="X36:AA36"/>
    <mergeCell ref="W23:AL23"/>
    <mergeCell ref="X58:AC58"/>
    <mergeCell ref="A44:P44"/>
    <mergeCell ref="AJ49:AO49"/>
    <mergeCell ref="AS43:BC43"/>
    <mergeCell ref="X50:AC50"/>
    <mergeCell ref="A20:BC20"/>
    <mergeCell ref="AE40:AJ40"/>
    <mergeCell ref="X51:AC51"/>
    <mergeCell ref="A53:C53"/>
    <mergeCell ref="AE34:AG34"/>
    <mergeCell ref="X60:AC60"/>
    <mergeCell ref="AD53:AI53"/>
    <mergeCell ref="AD50:AI50"/>
    <mergeCell ref="A21:H21"/>
    <mergeCell ref="AE27:AG27"/>
    <mergeCell ref="AH32:AJ32"/>
    <mergeCell ref="AP59:AT59"/>
    <mergeCell ref="AE36:AG36"/>
    <mergeCell ref="AH37:AJ37"/>
    <mergeCell ref="AD55:AI55"/>
    <mergeCell ref="AD52:AI52"/>
    <mergeCell ref="K60:W60"/>
    <mergeCell ref="A23:H23"/>
    <mergeCell ref="D57:G57"/>
    <mergeCell ref="A41:P41"/>
    <mergeCell ref="AJ59:AO59"/>
    <mergeCell ref="AP61:AT61"/>
    <mergeCell ref="H54:J54"/>
    <mergeCell ref="AE35:AG35"/>
    <mergeCell ref="AK45:AN45"/>
    <mergeCell ref="G26:W26"/>
    <mergeCell ref="AO43:AR43"/>
    <mergeCell ref="X61:AC61"/>
    <mergeCell ref="AB32:AD32"/>
    <mergeCell ref="AB26:AD26"/>
    <mergeCell ref="AE31:AG31"/>
    <mergeCell ref="A13:B13"/>
    <mergeCell ref="AB35:AD35"/>
    <mergeCell ref="AJ61:AO61"/>
    <mergeCell ref="X33:AA33"/>
    <mergeCell ref="H56:J56"/>
  </mergeCells>
  <conditionalFormatting sqref="C11:BC17">
    <cfRule type="cellIs" priority="1" operator="equal" dxfId="18">
      <formula>0</formula>
    </cfRule>
    <cfRule type="cellIs" priority="2" operator="between" dxfId="19">
      <formula>1</formula>
      <formula>2</formula>
    </cfRule>
    <cfRule type="cellIs" priority="3" operator="between" dxfId="20">
      <formula>3</formula>
      <formula>4</formula>
    </cfRule>
    <cfRule type="cellIs" priority="4" operator="between" dxfId="21">
      <formula>5</formula>
      <formula>6</formula>
    </cfRule>
    <cfRule type="cellIs" priority="5" operator="greaterThanOrEqual" dxfId="22">
      <formula>7</formula>
    </cfRule>
  </conditionalFormatting>
  <conditionalFormatting sqref="AP50:AP61">
    <cfRule type="cellIs" priority="6" operator="equal" dxfId="12">
      <formula>"복습대기(AI도움)"</formula>
    </cfRule>
    <cfRule type="cellIs" priority="7" operator="equal" dxfId="13">
      <formula>"복습대기(간당간당)"</formula>
    </cfRule>
    <cfRule type="cellIs" priority="8" operator="equal" dxfId="14">
      <formula>"복습대기"</formula>
    </cfRule>
    <cfRule type="cellIs" priority="9" operator="equal" dxfId="14">
      <formula>"보류(나중에 풀기)"</formula>
    </cfRule>
    <cfRule type="cellIs" priority="10" operator="equal" dxfId="15">
      <formula>"복습1"</formula>
    </cfRule>
    <cfRule type="cellIs" priority="11" operator="equal" dxfId="16">
      <formula>"복습2"</formula>
    </cfRule>
    <cfRule type="cellIs" priority="12" operator="equal" dxfId="17">
      <formula>"복습3(마스터)"</formula>
    </cfRule>
  </conditionalFormatting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00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" customHeight="1"/>
  <cols>
    <col width="18" customWidth="1" style="209" min="1" max="1"/>
    <col width="24" customWidth="1" style="209" min="2" max="2"/>
    <col width="13" customWidth="1" style="209" min="3" max="4"/>
    <col width="14" customWidth="1" style="209" min="5" max="5"/>
    <col width="5" customWidth="1" style="209" min="6" max="58"/>
  </cols>
  <sheetData>
    <row r="1" ht="31.5" customHeight="1" s="209">
      <c r="A1" s="266" t="inlineStr">
        <is>
          <t>📅 2026-2027+ 삼성 코딩테스트 &amp; 정보보안기사 &amp; 어학 &amp; 빅데이터분석기사 5대 핵심 로드맵 간트차트</t>
        </is>
      </c>
      <c r="B1" s="267" t="n"/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7" t="n"/>
      <c r="Q1" s="267" t="n"/>
      <c r="R1" s="267" t="n"/>
      <c r="S1" s="267" t="n"/>
      <c r="T1" s="267" t="n"/>
      <c r="U1" s="267" t="n"/>
      <c r="V1" s="267" t="n"/>
      <c r="W1" s="267" t="n"/>
      <c r="X1" s="267" t="n"/>
      <c r="Y1" s="267" t="n"/>
      <c r="Z1" s="267" t="n"/>
      <c r="AA1" s="267" t="n"/>
      <c r="AB1" s="267" t="n"/>
      <c r="AC1" s="267" t="n"/>
      <c r="AD1" s="267" t="n"/>
      <c r="AE1" s="267" t="n"/>
      <c r="AF1" s="267" t="n"/>
      <c r="AG1" s="267" t="n"/>
      <c r="AH1" s="267" t="n"/>
      <c r="AI1" s="267" t="n"/>
      <c r="AJ1" s="267" t="n"/>
      <c r="AK1" s="267" t="n"/>
      <c r="AL1" s="267" t="n"/>
      <c r="AM1" s="267" t="n"/>
      <c r="AN1" s="267" t="n"/>
      <c r="AO1" s="267" t="n"/>
      <c r="AP1" s="267" t="n"/>
      <c r="AQ1" s="267" t="n"/>
      <c r="AR1" s="267" t="n"/>
      <c r="AS1" s="267" t="n"/>
      <c r="AT1" s="267" t="n"/>
      <c r="AU1" s="267" t="n"/>
      <c r="AV1" s="267" t="n"/>
      <c r="AW1" s="267" t="n"/>
      <c r="AX1" s="267" t="n"/>
      <c r="AY1" s="267" t="n"/>
      <c r="AZ1" s="267" t="n"/>
      <c r="BA1" s="267" t="n"/>
      <c r="BB1" s="267" t="n"/>
      <c r="BC1" s="267" t="n"/>
      <c r="BD1" s="267" t="n"/>
      <c r="BE1" s="268" t="n"/>
      <c r="BF1" s="7" t="n"/>
    </row>
    <row r="2" ht="21.75" customHeight="1" s="209">
      <c r="A2" s="269" t="inlineStr">
        <is>
          <t>🎯 [4대 핵심 정예 스펙 간트차트] 삼성 코딩테스트(B형 3월) | 정보보안기사(필기 2월/실기 4월) | 토익스피킹(4월) | 토익 850+(5월)</t>
        </is>
      </c>
      <c r="B2" s="267" t="n"/>
      <c r="C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  <c r="AA2" s="267" t="n"/>
      <c r="AB2" s="267" t="n"/>
      <c r="AC2" s="267" t="n"/>
      <c r="AD2" s="267" t="n"/>
      <c r="AE2" s="267" t="n"/>
      <c r="AF2" s="267" t="n"/>
      <c r="AG2" s="267" t="n"/>
      <c r="AH2" s="267" t="n"/>
      <c r="AI2" s="267" t="n"/>
      <c r="AJ2" s="267" t="n"/>
      <c r="AK2" s="267" t="n"/>
      <c r="AL2" s="267" t="n"/>
      <c r="AM2" s="267" t="n"/>
      <c r="AN2" s="267" t="n"/>
      <c r="AO2" s="267" t="n"/>
      <c r="AP2" s="267" t="n"/>
      <c r="AQ2" s="267" t="n"/>
      <c r="AR2" s="267" t="n"/>
      <c r="AS2" s="267" t="n"/>
      <c r="AT2" s="267" t="n"/>
      <c r="AU2" s="267" t="n"/>
      <c r="AV2" s="267" t="n"/>
      <c r="AW2" s="267" t="n"/>
      <c r="AX2" s="267" t="n"/>
      <c r="AY2" s="267" t="n"/>
      <c r="AZ2" s="267" t="n"/>
      <c r="BA2" s="267" t="n"/>
      <c r="BB2" s="267" t="n"/>
      <c r="BC2" s="267" t="n"/>
      <c r="BD2" s="267" t="n"/>
      <c r="BE2" s="268" t="n"/>
      <c r="BF2" s="7" t="n"/>
    </row>
    <row r="3" ht="25.5" customHeight="1" s="209">
      <c r="A3" s="14" t="inlineStr">
        <is>
          <t>⚙️ 간트 제어</t>
        </is>
      </c>
      <c r="B3" s="16" t="inlineStr">
        <is>
          <t>📍 수험 시작 기준일자:</t>
        </is>
      </c>
      <c r="C3" s="19">
        <f>DATE(2026, 8, 25)</f>
        <v/>
      </c>
      <c r="D3" s="270" t="inlineStr">
        <is>
          <t>💡 [W03 주차 진행 중] 8월 25일 수험 시작 기준 52주간 실시간 동적 간트차트 매트릭스</t>
        </is>
      </c>
      <c r="E3" s="268" t="n"/>
      <c r="F3" s="147" t="inlineStr">
        <is>
          <t>📅 52주 연간 통합 타임라인 로드맵 (52 Weeks Gantt View)</t>
        </is>
      </c>
      <c r="BF3" s="7" t="n"/>
    </row>
    <row r="4" ht="19.5" customHeight="1" s="209">
      <c r="A4" s="35" t="inlineStr">
        <is>
          <t>트랙 구분</t>
        </is>
      </c>
      <c r="B4" s="35" t="inlineStr">
        <is>
          <t>로드맵 핵심 목표</t>
        </is>
      </c>
      <c r="C4" s="35" t="inlineStr">
        <is>
          <t>시작일자</t>
        </is>
      </c>
      <c r="D4" s="35" t="inlineStr">
        <is>
          <t>종료일자</t>
        </is>
      </c>
      <c r="E4" s="35" t="inlineStr">
        <is>
          <t>소요 기간</t>
        </is>
      </c>
      <c r="F4" s="35">
        <f>TEXT(F6, "yy.mm")</f>
        <v/>
      </c>
      <c r="G4" s="35">
        <f>TEXT(G6, "yy.mm")</f>
        <v/>
      </c>
      <c r="H4" s="35">
        <f>TEXT(H6, "yy.mm")</f>
        <v/>
      </c>
      <c r="I4" s="35">
        <f>TEXT(I6, "yy.mm")</f>
        <v/>
      </c>
      <c r="J4" s="35">
        <f>TEXT(J6, "yy.mm")</f>
        <v/>
      </c>
      <c r="K4" s="35">
        <f>TEXT(K6, "yy.mm")</f>
        <v/>
      </c>
      <c r="L4" s="35">
        <f>TEXT(L6, "yy.mm")</f>
        <v/>
      </c>
      <c r="M4" s="35">
        <f>TEXT(M6, "yy.mm")</f>
        <v/>
      </c>
      <c r="N4" s="35">
        <f>TEXT(N6, "yy.mm")</f>
        <v/>
      </c>
      <c r="O4" s="35">
        <f>TEXT(O6, "yy.mm")</f>
        <v/>
      </c>
      <c r="P4" s="35">
        <f>TEXT(P6, "yy.mm")</f>
        <v/>
      </c>
      <c r="Q4" s="35">
        <f>TEXT(Q6, "yy.mm")</f>
        <v/>
      </c>
      <c r="R4" s="35">
        <f>TEXT(R6, "yy.mm")</f>
        <v/>
      </c>
      <c r="S4" s="35">
        <f>TEXT(S6, "yy.mm")</f>
        <v/>
      </c>
      <c r="T4" s="35">
        <f>TEXT(T6, "yy.mm")</f>
        <v/>
      </c>
      <c r="U4" s="35">
        <f>TEXT(U6, "yy.mm")</f>
        <v/>
      </c>
      <c r="V4" s="35">
        <f>TEXT(V6, "yy.mm")</f>
        <v/>
      </c>
      <c r="W4" s="35">
        <f>TEXT(W6, "yy.mm")</f>
        <v/>
      </c>
      <c r="X4" s="35">
        <f>TEXT(X6, "yy.mm")</f>
        <v/>
      </c>
      <c r="Y4" s="35">
        <f>TEXT(Y6, "yy.mm")</f>
        <v/>
      </c>
      <c r="Z4" s="35">
        <f>TEXT(Z6, "yy.mm")</f>
        <v/>
      </c>
      <c r="AA4" s="35">
        <f>TEXT(AA6, "yy.mm")</f>
        <v/>
      </c>
      <c r="AB4" s="35">
        <f>TEXT(AB6, "yy.mm")</f>
        <v/>
      </c>
      <c r="AC4" s="35">
        <f>TEXT(AC6, "yy.mm")</f>
        <v/>
      </c>
      <c r="AD4" s="35">
        <f>TEXT(AD6, "yy.mm")</f>
        <v/>
      </c>
      <c r="AE4" s="35">
        <f>TEXT(AE6, "yy.mm")</f>
        <v/>
      </c>
      <c r="AF4" s="35">
        <f>TEXT(AF6, "yy.mm")</f>
        <v/>
      </c>
      <c r="AG4" s="35">
        <f>TEXT(AG6, "yy.mm")</f>
        <v/>
      </c>
      <c r="AH4" s="35">
        <f>TEXT(AH6, "yy.mm")</f>
        <v/>
      </c>
      <c r="AI4" s="35">
        <f>TEXT(AI6, "yy.mm")</f>
        <v/>
      </c>
      <c r="AJ4" s="35">
        <f>TEXT(AJ6, "yy.mm")</f>
        <v/>
      </c>
      <c r="AK4" s="35">
        <f>TEXT(AK6, "yy.mm")</f>
        <v/>
      </c>
      <c r="AL4" s="35">
        <f>TEXT(AL6, "yy.mm")</f>
        <v/>
      </c>
      <c r="AM4" s="35">
        <f>TEXT(AM6, "yy.mm")</f>
        <v/>
      </c>
      <c r="AN4" s="35">
        <f>TEXT(AN6, "yy.mm")</f>
        <v/>
      </c>
      <c r="AO4" s="35">
        <f>TEXT(AO6, "yy.mm")</f>
        <v/>
      </c>
      <c r="AP4" s="35">
        <f>TEXT(AP6, "yy.mm")</f>
        <v/>
      </c>
      <c r="AQ4" s="35">
        <f>TEXT(AQ6, "yy.mm")</f>
        <v/>
      </c>
      <c r="AR4" s="35">
        <f>TEXT(AR6, "yy.mm")</f>
        <v/>
      </c>
      <c r="AS4" s="35">
        <f>TEXT(AS6, "yy.mm")</f>
        <v/>
      </c>
      <c r="AT4" s="35">
        <f>TEXT(AT6, "yy.mm")</f>
        <v/>
      </c>
      <c r="AU4" s="35">
        <f>TEXT(AU6, "yy.mm")</f>
        <v/>
      </c>
      <c r="AV4" s="35">
        <f>TEXT(AV6, "yy.mm")</f>
        <v/>
      </c>
      <c r="AW4" s="35">
        <f>TEXT(AW6, "yy.mm")</f>
        <v/>
      </c>
      <c r="AX4" s="35">
        <f>TEXT(AX6, "yy.mm")</f>
        <v/>
      </c>
      <c r="AY4" s="35">
        <f>TEXT(AY6, "yy.mm")</f>
        <v/>
      </c>
      <c r="AZ4" s="35">
        <f>TEXT(AZ6, "yy.mm")</f>
        <v/>
      </c>
      <c r="BA4" s="35">
        <f>TEXT(BA6, "yy.mm")</f>
        <v/>
      </c>
      <c r="BB4" s="35">
        <f>TEXT(BB6, "yy.mm")</f>
        <v/>
      </c>
      <c r="BC4" s="35">
        <f>TEXT(BC6, "yy.mm")</f>
        <v/>
      </c>
      <c r="BD4" s="35">
        <f>TEXT(BD6, "yy.mm")</f>
        <v/>
      </c>
      <c r="BE4" s="35">
        <f>TEXT(BE6, "yy.mm")</f>
        <v/>
      </c>
      <c r="BF4" s="44" t="n"/>
    </row>
    <row r="5" ht="21.75" customHeight="1" s="209">
      <c r="A5" s="271" t="n"/>
      <c r="B5" s="271" t="n"/>
      <c r="C5" s="271" t="n"/>
      <c r="D5" s="271" t="n"/>
      <c r="E5" s="271" t="n"/>
      <c r="F5" s="35">
        <f>IF(AND(F$6&lt;=TODAY(), TODAY()&lt;=F$6+6), "📍오늘", "W01")</f>
        <v/>
      </c>
      <c r="G5" s="35">
        <f>IF(AND(G$6&lt;=TODAY(), TODAY()&lt;=G$6+6), "📍오늘", "W02")</f>
        <v/>
      </c>
      <c r="H5" s="35">
        <f>IF(AND(H$6&lt;=TODAY(), TODAY()&lt;=H$6+6), "📍오늘", "W03")</f>
        <v/>
      </c>
      <c r="I5" s="35">
        <f>B14</f>
        <v/>
      </c>
      <c r="J5" s="35">
        <f>IF(AND(J$6&lt;=TODAY(), TODAY()&lt;=J$6+6), "📍오늘", "W05")</f>
        <v/>
      </c>
      <c r="K5" s="35">
        <f>IF(AND(K$6&lt;=TODAY(), TODAY()&lt;=K$6+6), "📍오늘", "W06")</f>
        <v/>
      </c>
      <c r="L5" s="35">
        <f>IF(AND(L$6&lt;=TODAY(), TODAY()&lt;=L$6+6), "📍오늘", "W07")</f>
        <v/>
      </c>
      <c r="M5" s="35">
        <f>IF(AND(M$6&lt;=TODAY(), TODAY()&lt;=M$6+6), "📍오늘", "W08")</f>
        <v/>
      </c>
      <c r="N5" s="35">
        <f>IF(AND(N$6&lt;=TODAY(), TODAY()&lt;=N$6+6), "📍오늘", "W09")</f>
        <v/>
      </c>
      <c r="O5" s="35">
        <f>IF(AND(O$6&lt;=TODAY(), TODAY()&lt;=O$6+6), "📍오늘", "W10")</f>
        <v/>
      </c>
      <c r="P5" s="35">
        <f>IF(AND(P$6&lt;=TODAY(), TODAY()&lt;=P$6+6), "📍오늘", "W11")</f>
        <v/>
      </c>
      <c r="Q5" s="35">
        <f>IF(AND(Q$6&lt;=TODAY(), TODAY()&lt;=Q$6+6), "📍오늘", "W12")</f>
        <v/>
      </c>
      <c r="R5" s="35">
        <f>IF(AND(R$6&lt;=TODAY(), TODAY()&lt;=R$6+6), "📍오늘", "W13")</f>
        <v/>
      </c>
      <c r="S5" s="35">
        <f>IF(AND(S$6&lt;=TODAY(), TODAY()&lt;=S$6+6), "📍오늘", "W14")</f>
        <v/>
      </c>
      <c r="T5" s="35">
        <f>IF(AND(T$6&lt;=TODAY(), TODAY()&lt;=T$6+6), "📍오늘", "W15")</f>
        <v/>
      </c>
      <c r="U5" s="35">
        <f>IF(AND(U$6&lt;=TODAY(), TODAY()&lt;=U$6+6), "📍오늘", "W16")</f>
        <v/>
      </c>
      <c r="V5" s="35">
        <f>IF(AND(V$6&lt;=TODAY(), TODAY()&lt;=V$6+6), "📍오늘", "W17")</f>
        <v/>
      </c>
      <c r="W5" s="35">
        <f>IF(AND(W$6&lt;=TODAY(), TODAY()&lt;=W$6+6), "📍오늘", "W18")</f>
        <v/>
      </c>
      <c r="X5" s="35">
        <f>IF(AND(X$6&lt;=TODAY(), TODAY()&lt;=X$6+6), "📍오늘", "W19")</f>
        <v/>
      </c>
      <c r="Y5" s="35">
        <f>IF(AND(Y$6&lt;=TODAY(), TODAY()&lt;=Y$6+6), "📍오늘", "W20")</f>
        <v/>
      </c>
      <c r="Z5" s="35">
        <f>IF(AND(Z$6&lt;=TODAY(), TODAY()&lt;=Z$6+6), "📍오늘", "W21")</f>
        <v/>
      </c>
      <c r="AA5" s="35">
        <f>IF(AND(AA$6&lt;=TODAY(), TODAY()&lt;=AA$6+6), "📍오늘", "W22")</f>
        <v/>
      </c>
      <c r="AB5" s="35">
        <f>IF(AND(AB$6&lt;=TODAY(), TODAY()&lt;=AB$6+6), "📍오늘", "W23")</f>
        <v/>
      </c>
      <c r="AC5" s="35">
        <f>IF(AND(AC$6&lt;=TODAY(), TODAY()&lt;=AC$6+6), "📍오늘", "W24")</f>
        <v/>
      </c>
      <c r="AD5" s="35">
        <f>IF(AND(AD$6&lt;=TODAY(), TODAY()&lt;=AD$6+6), "📍오늘", "W25")</f>
        <v/>
      </c>
      <c r="AE5" s="35">
        <f>IF(AND(AE$6&lt;=TODAY(), TODAY()&lt;=AE$6+6), "📍오늘", "W26")</f>
        <v/>
      </c>
      <c r="AF5" s="35">
        <f>IF(AND(AF$6&lt;=TODAY(), TODAY()&lt;=AF$6+6), "📍오늘", "W27")</f>
        <v/>
      </c>
      <c r="AG5" s="35">
        <f>IF(AND(AG$6&lt;=TODAY(), TODAY()&lt;=AG$6+6), "📍오늘", "W28")</f>
        <v/>
      </c>
      <c r="AH5" s="35">
        <f>IF(AND(AH$6&lt;=TODAY(), TODAY()&lt;=AH$6+6), "📍오늘", "W29")</f>
        <v/>
      </c>
      <c r="AI5" s="35">
        <f>IF(AND(AI$6&lt;=TODAY(), TODAY()&lt;=AI$6+6), "📍오늘", "W30")</f>
        <v/>
      </c>
      <c r="AJ5" s="35">
        <f>IF(AND(AJ$6&lt;=TODAY(), TODAY()&lt;=AJ$6+6), "📍오늘", "W31")</f>
        <v/>
      </c>
      <c r="AK5" s="35">
        <f>IF(AND(AK$6&lt;=TODAY(), TODAY()&lt;=AK$6+6), "📍오늘", "W32")</f>
        <v/>
      </c>
      <c r="AL5" s="35">
        <f>IF(AND(AL$6&lt;=TODAY(), TODAY()&lt;=AL$6+6), "📍오늘", "W33")</f>
        <v/>
      </c>
      <c r="AM5" s="35">
        <f>IF(AND(AM$6&lt;=TODAY(), TODAY()&lt;=AM$6+6), "📍오늘", "W34")</f>
        <v/>
      </c>
      <c r="AN5" s="35">
        <f>IF(AND(AN$6&lt;=TODAY(), TODAY()&lt;=AN$6+6), "📍오늘", "W35")</f>
        <v/>
      </c>
      <c r="AO5" s="35">
        <f>IF(AND(AO$6&lt;=TODAY(), TODAY()&lt;=AO$6+6), "📍오늘", "W36")</f>
        <v/>
      </c>
      <c r="AP5" s="35">
        <f>IF(AND(AP$6&lt;=TODAY(), TODAY()&lt;=AP$6+6), "📍오늘", "W37")</f>
        <v/>
      </c>
      <c r="AQ5" s="35">
        <f>IF(AND(AQ$6&lt;=TODAY(), TODAY()&lt;=AQ$6+6), "📍오늘", "W38")</f>
        <v/>
      </c>
      <c r="AR5" s="35">
        <f>IF(AND(AR$6&lt;=TODAY(), TODAY()&lt;=AR$6+6), "📍오늘", "W39")</f>
        <v/>
      </c>
      <c r="AS5" s="35">
        <f>IF(AND(AS$6&lt;=TODAY(), TODAY()&lt;=AS$6+6), "📍오늘", "W40")</f>
        <v/>
      </c>
      <c r="AT5" s="35">
        <f>IF(AND(AT$6&lt;=TODAY(), TODAY()&lt;=AT$6+6), "📍오늘", "W41")</f>
        <v/>
      </c>
      <c r="AU5" s="35">
        <f>IF(AND(AU$6&lt;=TODAY(), TODAY()&lt;=AU$6+6), "📍오늘", "W42")</f>
        <v/>
      </c>
      <c r="AV5" s="35">
        <f>IF(AND(AV$6&lt;=TODAY(), TODAY()&lt;=AV$6+6), "📍오늘", "W43")</f>
        <v/>
      </c>
      <c r="AW5" s="35">
        <f>IF(AND(AW$6&lt;=TODAY(), TODAY()&lt;=AW$6+6), "📍오늘", "W44")</f>
        <v/>
      </c>
      <c r="AX5" s="35">
        <f>IF(AND(AX$6&lt;=TODAY(), TODAY()&lt;=AX$6+6), "📍오늘", "W45")</f>
        <v/>
      </c>
      <c r="AY5" s="35">
        <f>IF(AND(AY$6&lt;=TODAY(), TODAY()&lt;=AY$6+6), "📍오늘", "W46")</f>
        <v/>
      </c>
      <c r="AZ5" s="35">
        <f>IF(AND(AZ$6&lt;=TODAY(), TODAY()&lt;=AZ$6+6), "📍오늘", "W47")</f>
        <v/>
      </c>
      <c r="BA5" s="35">
        <f>IF(AND(BA$6&lt;=TODAY(), TODAY()&lt;=BA$6+6), "📍오늘", "W48")</f>
        <v/>
      </c>
      <c r="BB5" s="35">
        <f>IF(AND(BB$6&lt;=TODAY(), TODAY()&lt;=BB$6+6), "📍오늘", "W49")</f>
        <v/>
      </c>
      <c r="BC5" s="35">
        <f>IF(AND(BC$6&lt;=TODAY(), TODAY()&lt;=BC$6+6), "📍오늘", "W50")</f>
        <v/>
      </c>
      <c r="BD5" s="35">
        <f>IF(AND(BD$6&lt;=TODAY(), TODAY()&lt;=BD$6+6), "📍오늘", "W51")</f>
        <v/>
      </c>
      <c r="BE5" s="35">
        <f>IF(AND(BE$6&lt;=TODAY(), TODAY()&lt;=BE$6+6), "📍오늘", "W52")</f>
        <v/>
      </c>
      <c r="BF5" s="67" t="n"/>
    </row>
    <row r="6" hidden="1" s="209">
      <c r="A6" s="272" t="inlineStr">
        <is>
          <t>📅 52주 타임라인 기준일 (Timeline Reference)</t>
        </is>
      </c>
      <c r="B6" s="267" t="n"/>
      <c r="C6" s="267" t="n"/>
      <c r="D6" s="267" t="n"/>
      <c r="E6" s="268" t="n"/>
      <c r="F6" s="69">
        <f>$C$3-WEEKDAY($C$3,2)+1</f>
        <v/>
      </c>
      <c r="G6" s="70">
        <f>F6+7</f>
        <v/>
      </c>
      <c r="H6" s="70">
        <f>G6+7</f>
        <v/>
      </c>
      <c r="I6" s="70">
        <f>H6+7</f>
        <v/>
      </c>
      <c r="J6" s="70">
        <f>I6+7</f>
        <v/>
      </c>
      <c r="K6" s="70">
        <f>J6+7</f>
        <v/>
      </c>
      <c r="L6" s="70">
        <f>K6+7</f>
        <v/>
      </c>
      <c r="M6" s="70">
        <f>L6+7</f>
        <v/>
      </c>
      <c r="N6" s="70">
        <f>M6+7</f>
        <v/>
      </c>
      <c r="O6" s="70">
        <f>N6+7</f>
        <v/>
      </c>
      <c r="P6" s="70">
        <f>O6+7</f>
        <v/>
      </c>
      <c r="Q6" s="70">
        <f>P6+7</f>
        <v/>
      </c>
      <c r="R6" s="70">
        <f>Q6+7</f>
        <v/>
      </c>
      <c r="S6" s="70">
        <f>R6+7</f>
        <v/>
      </c>
      <c r="T6" s="70">
        <f>S6+7</f>
        <v/>
      </c>
      <c r="U6" s="70">
        <f>T6+7</f>
        <v/>
      </c>
      <c r="V6" s="70">
        <f>U6+7</f>
        <v/>
      </c>
      <c r="W6" s="70">
        <f>V6+7</f>
        <v/>
      </c>
      <c r="X6" s="70">
        <f>W6+7</f>
        <v/>
      </c>
      <c r="Y6" s="70">
        <f>X6+7</f>
        <v/>
      </c>
      <c r="Z6" s="70">
        <f>Y6+7</f>
        <v/>
      </c>
      <c r="AA6" s="70">
        <f>Z6+7</f>
        <v/>
      </c>
      <c r="AB6" s="70">
        <f>AA6+7</f>
        <v/>
      </c>
      <c r="AC6" s="70">
        <f>AB6+7</f>
        <v/>
      </c>
      <c r="AD6" s="70">
        <f>AC6+7</f>
        <v/>
      </c>
      <c r="AE6" s="70">
        <f>AD6+7</f>
        <v/>
      </c>
      <c r="AF6" s="70">
        <f>AE6+7</f>
        <v/>
      </c>
      <c r="AG6" s="70">
        <f>AF6+7</f>
        <v/>
      </c>
      <c r="AH6" s="70">
        <f>AG6+7</f>
        <v/>
      </c>
      <c r="AI6" s="70">
        <f>AH6+7</f>
        <v/>
      </c>
      <c r="AJ6" s="70">
        <f>AI6+7</f>
        <v/>
      </c>
      <c r="AK6" s="70">
        <f>AJ6+7</f>
        <v/>
      </c>
      <c r="AL6" s="70">
        <f>AK6+7</f>
        <v/>
      </c>
      <c r="AM6" s="70">
        <f>AL6+7</f>
        <v/>
      </c>
      <c r="AN6" s="70">
        <f>AM6+7</f>
        <v/>
      </c>
      <c r="AO6" s="70">
        <f>AN6+7</f>
        <v/>
      </c>
      <c r="AP6" s="70">
        <f>AO6+7</f>
        <v/>
      </c>
      <c r="AQ6" s="70">
        <f>AP6+7</f>
        <v/>
      </c>
      <c r="AR6" s="70">
        <f>AQ6+7</f>
        <v/>
      </c>
      <c r="AS6" s="70">
        <f>AR6+7</f>
        <v/>
      </c>
      <c r="AT6" s="70">
        <f>AS6+7</f>
        <v/>
      </c>
      <c r="AU6" s="70">
        <f>AT6+7</f>
        <v/>
      </c>
      <c r="AV6" s="70">
        <f>AU6+7</f>
        <v/>
      </c>
      <c r="AW6" s="70">
        <f>AV6+7</f>
        <v/>
      </c>
      <c r="AX6" s="70">
        <f>AW6+7</f>
        <v/>
      </c>
      <c r="AY6" s="70">
        <f>AX6+7</f>
        <v/>
      </c>
      <c r="AZ6" s="70">
        <f>AY6+7</f>
        <v/>
      </c>
      <c r="BA6" s="70">
        <f>AZ6+7</f>
        <v/>
      </c>
      <c r="BB6" s="70">
        <f>BA6+7</f>
        <v/>
      </c>
      <c r="BC6" s="70">
        <f>BB6+7</f>
        <v/>
      </c>
      <c r="BD6" s="70">
        <f>BC6+7</f>
        <v/>
      </c>
      <c r="BE6" s="70">
        <f>BD6+7</f>
        <v/>
      </c>
      <c r="BF6" s="70" t="n"/>
    </row>
    <row r="7" ht="24" customHeight="1" s="209">
      <c r="A7" s="71" t="inlineStr">
        <is>
          <t>🏆 삼성 코딩테스트</t>
        </is>
      </c>
      <c r="B7" s="72" t="inlineStr">
        <is>
          <t>삼성 B형(Pro) 조기 취득</t>
        </is>
      </c>
      <c r="C7" s="73" t="inlineStr">
        <is>
          <t>삼성 B형(Pro) 2월 중순 조기 취득 (A형 11월 ➡️ B형 2월 14일 종결)</t>
        </is>
      </c>
      <c r="D7" s="74" t="inlineStr">
        <is>
          <t>2026.08.25</t>
        </is>
      </c>
      <c r="E7" s="74" t="inlineStr">
        <is>
          <t>2027.02.14</t>
        </is>
      </c>
      <c r="F7" s="75" t="inlineStr">
        <is>
          <t>25주</t>
        </is>
      </c>
      <c r="G7" s="77">
        <f>IF(AND(G$6&lt;=DATE(YEAR($C$3)+1,2,14), DATE(YEAR($C$3)+1,2,14)&lt;=G$6+6), "★B형", IF(AND(G$6&lt;=DATE(YEAR($C$3),11,15), DATE(YEAR($C$3),11,15)&lt;=G$6+6), "★A형", IF(AND(G$6&lt;=DATE(YEAR($C$3)+1,2,14), G$6+6&gt;=DATE(YEAR($C$3),11,16)), "B형", IF(AND(G$6&lt;=DATE(YEAR($C$3),11,15), G$6+6&gt;=DATE(YEAR($C$3),8,25)), "A형", ""))))</f>
        <v/>
      </c>
      <c r="H7" s="77">
        <f>IF(AND(H$6&lt;=DATE(YEAR($C$3)+1,2,14), DATE(YEAR($C$3)+1,2,14)&lt;=H$6+6), "★B형", IF(AND(H$6&lt;=DATE(YEAR($C$3),11,15), DATE(YEAR($C$3),11,15)&lt;=H$6+6), "★A형", IF(AND(H$6&lt;=DATE(YEAR($C$3)+1,2,14), H$6+6&gt;=DATE(YEAR($C$3),11,16)), "B형", IF(AND(H$6&lt;=DATE(YEAR($C$3),11,15), H$6+6&gt;=DATE(YEAR($C$3),8,25)), "A형", ""))))</f>
        <v/>
      </c>
      <c r="I7" s="78">
        <f>IF(AND(I$6&lt;=DATE(YEAR($C$3)+1,2,14), DATE(YEAR($C$3)+1,2,14)&lt;=I$6+6), "★B형", IF(AND(I$6&lt;=DATE(YEAR($C$3),11,15), DATE(YEAR($C$3),11,15)&lt;=I$6+6), "★A형", IF(AND(I$6&lt;=DATE(YEAR($C$3)+1,2,14), I$6+6&gt;=DATE(YEAR($C$3),11,16)), "B형", IF(AND(I$6&lt;=DATE(YEAR($C$3),11,15), I$6+6&gt;=DATE(YEAR($C$3),8,25)), "A형", ""))))</f>
        <v/>
      </c>
      <c r="J7" s="77">
        <f>IF(AND(J$6&lt;=DATE(YEAR($C$3)+1,2,14), DATE(YEAR($C$3)+1,2,14)&lt;=J$6+6), "★B형", IF(AND(J$6&lt;=DATE(YEAR($C$3),11,15), DATE(YEAR($C$3),11,15)&lt;=J$6+6), "★A형", IF(AND(J$6&lt;=DATE(YEAR($C$3)+1,2,14), J$6+6&gt;=DATE(YEAR($C$3),11,16)), "B형", IF(AND(J$6&lt;=DATE(YEAR($C$3),11,15), J$6+6&gt;=DATE(YEAR($C$3),8,25)), "A형", ""))))</f>
        <v/>
      </c>
      <c r="K7" s="77">
        <f>IF(AND(K$6&lt;=DATE(YEAR($C$3)+1,2,14), DATE(YEAR($C$3)+1,2,14)&lt;=K$6+6), "★B형", IF(AND(K$6&lt;=DATE(YEAR($C$3),11,15), DATE(YEAR($C$3),11,15)&lt;=K$6+6), "★A형", IF(AND(K$6&lt;=DATE(YEAR($C$3)+1,2,14), K$6+6&gt;=DATE(YEAR($C$3),11,16)), "B형", IF(AND(K$6&lt;=DATE(YEAR($C$3),11,15), K$6+6&gt;=DATE(YEAR($C$3),8,25)), "A형", ""))))</f>
        <v/>
      </c>
      <c r="L7" s="77">
        <f>IF(AND(L$6&lt;=DATE(YEAR($C$3)+1,2,14), DATE(YEAR($C$3)+1,2,14)&lt;=L$6+6), "★B형", IF(AND(L$6&lt;=DATE(YEAR($C$3),11,15), DATE(YEAR($C$3),11,15)&lt;=L$6+6), "★A형", IF(AND(L$6&lt;=DATE(YEAR($C$3)+1,2,14), L$6+6&gt;=DATE(YEAR($C$3),11,16)), "B형", IF(AND(L$6&lt;=DATE(YEAR($C$3),11,15), L$6+6&gt;=DATE(YEAR($C$3),8,25)), "A형", ""))))</f>
        <v/>
      </c>
      <c r="M7" s="77">
        <f>IF(AND(M$6&lt;=DATE(YEAR($C$3)+1,2,14), DATE(YEAR($C$3)+1,2,14)&lt;=M$6+6), "★B형", IF(AND(M$6&lt;=DATE(YEAR($C$3),11,15), DATE(YEAR($C$3),11,15)&lt;=M$6+6), "★A형", IF(AND(M$6&lt;=DATE(YEAR($C$3)+1,2,14), M$6+6&gt;=DATE(YEAR($C$3),11,16)), "B형", IF(AND(M$6&lt;=DATE(YEAR($C$3),11,15), M$6+6&gt;=DATE(YEAR($C$3),8,25)), "A형", ""))))</f>
        <v/>
      </c>
      <c r="N7" s="77">
        <f>IF(AND(N$6&lt;=DATE(YEAR($C$3)+1,2,14), DATE(YEAR($C$3)+1,2,14)&lt;=N$6+6), "★B형", IF(AND(N$6&lt;=DATE(YEAR($C$3),11,15), DATE(YEAR($C$3),11,15)&lt;=N$6+6), "★A형", IF(AND(N$6&lt;=DATE(YEAR($C$3)+1,2,14), N$6+6&gt;=DATE(YEAR($C$3),11,16)), "B형", IF(AND(N$6&lt;=DATE(YEAR($C$3),11,15), N$6+6&gt;=DATE(YEAR($C$3),8,25)), "A형", ""))))</f>
        <v/>
      </c>
      <c r="O7" s="77">
        <f>IF(AND(O$6&lt;=DATE(YEAR($C$3)+1,2,14), DATE(YEAR($C$3)+1,2,14)&lt;=O$6+6), "★B형", IF(AND(O$6&lt;=DATE(YEAR($C$3),11,15), DATE(YEAR($C$3),11,15)&lt;=O$6+6), "★A형", IF(AND(O$6&lt;=DATE(YEAR($C$3)+1,2,14), O$6+6&gt;=DATE(YEAR($C$3),11,16)), "B형", IF(AND(O$6&lt;=DATE(YEAR($C$3),11,15), O$6+6&gt;=DATE(YEAR($C$3),8,25)), "A형", ""))))</f>
        <v/>
      </c>
      <c r="P7" s="77">
        <f>IF(AND(P$6&lt;=DATE(YEAR($C$3)+1,2,14), DATE(YEAR($C$3)+1,2,14)&lt;=P$6+6), "★B형", IF(AND(P$6&lt;=DATE(YEAR($C$3),11,15), DATE(YEAR($C$3),11,15)&lt;=P$6+6), "★A형", IF(AND(P$6&lt;=DATE(YEAR($C$3)+1,2,14), P$6+6&gt;=DATE(YEAR($C$3),11,16)), "B형", IF(AND(P$6&lt;=DATE(YEAR($C$3),11,15), P$6+6&gt;=DATE(YEAR($C$3),8,25)), "A형", ""))))</f>
        <v/>
      </c>
      <c r="Q7" s="77">
        <f>IF(AND(Q$6&lt;=DATE(YEAR($C$3)+1,2,14), DATE(YEAR($C$3)+1,2,14)&lt;=Q$6+6), "★B형", IF(AND(Q$6&lt;=DATE(YEAR($C$3),11,15), DATE(YEAR($C$3),11,15)&lt;=Q$6+6), "★A형", IF(AND(Q$6&lt;=DATE(YEAR($C$3)+1,2,14), Q$6+6&gt;=DATE(YEAR($C$3),11,16)), "B형", IF(AND(Q$6&lt;=DATE(YEAR($C$3),11,15), Q$6+6&gt;=DATE(YEAR($C$3),8,25)), "A형", ""))))</f>
        <v/>
      </c>
      <c r="R7" s="77">
        <f>IF(AND(R$6&lt;=DATE(YEAR($C$3)+1,2,14), DATE(YEAR($C$3)+1,2,14)&lt;=R$6+6), "★B형", IF(AND(R$6&lt;=DATE(YEAR($C$3),11,15), DATE(YEAR($C$3),11,15)&lt;=R$6+6), "★A형", IF(AND(R$6&lt;=DATE(YEAR($C$3)+1,2,14), R$6+6&gt;=DATE(YEAR($C$3),11,16)), "B형", IF(AND(R$6&lt;=DATE(YEAR($C$3),11,15), R$6+6&gt;=DATE(YEAR($C$3),8,25)), "A형", ""))))</f>
        <v/>
      </c>
      <c r="S7" s="77">
        <f>IF(AND(S$6&lt;=DATE(YEAR($C$3)+1,2,14), DATE(YEAR($C$3)+1,2,14)&lt;=S$6+6), "★B형", IF(AND(S$6&lt;=DATE(YEAR($C$3),11,15), DATE(YEAR($C$3),11,15)&lt;=S$6+6), "★A형", IF(AND(S$6&lt;=DATE(YEAR($C$3)+1,2,14), S$6+6&gt;=DATE(YEAR($C$3),11,16)), "B형", IF(AND(S$6&lt;=DATE(YEAR($C$3),11,15), S$6+6&gt;=DATE(YEAR($C$3),8,25)), "A형", ""))))</f>
        <v/>
      </c>
      <c r="T7" s="77">
        <f>IF(AND(T$6&lt;=DATE(YEAR($C$3)+1,2,14), DATE(YEAR($C$3)+1,2,14)&lt;=T$6+6), "★B형", IF(AND(T$6&lt;=DATE(YEAR($C$3),11,15), DATE(YEAR($C$3),11,15)&lt;=T$6+6), "★A형", IF(AND(T$6&lt;=DATE(YEAR($C$3)+1,2,14), T$6+6&gt;=DATE(YEAR($C$3),11,16)), "B형", IF(AND(T$6&lt;=DATE(YEAR($C$3),11,15), T$6+6&gt;=DATE(YEAR($C$3),8,25)), "A형", ""))))</f>
        <v/>
      </c>
      <c r="U7" s="77">
        <f>IF(AND(U$6&lt;=DATE(YEAR($C$3)+1,2,14), DATE(YEAR($C$3)+1,2,14)&lt;=U$6+6), "★B형", IF(AND(U$6&lt;=DATE(YEAR($C$3),11,15), DATE(YEAR($C$3),11,15)&lt;=U$6+6), "★A형", IF(AND(U$6&lt;=DATE(YEAR($C$3)+1,2,14), U$6+6&gt;=DATE(YEAR($C$3),11,16)), "B형", IF(AND(U$6&lt;=DATE(YEAR($C$3),11,15), U$6+6&gt;=DATE(YEAR($C$3),8,25)), "A형", ""))))</f>
        <v/>
      </c>
      <c r="V7" s="77">
        <f>IF(AND(V$6&lt;=DATE(YEAR($C$3)+1,2,14), DATE(YEAR($C$3)+1,2,14)&lt;=V$6+6), "★B형", IF(AND(V$6&lt;=DATE(YEAR($C$3),11,15), DATE(YEAR($C$3),11,15)&lt;=V$6+6), "★A형", IF(AND(V$6&lt;=DATE(YEAR($C$3)+1,2,14), V$6+6&gt;=DATE(YEAR($C$3),11,16)), "B형", IF(AND(V$6&lt;=DATE(YEAR($C$3),11,15), V$6+6&gt;=DATE(YEAR($C$3),8,25)), "A형", ""))))</f>
        <v/>
      </c>
      <c r="W7" s="77">
        <f>IF(AND(W$6&lt;=DATE(YEAR($C$3)+1,2,14), DATE(YEAR($C$3)+1,2,14)&lt;=W$6+6), "★B형", IF(AND(W$6&lt;=DATE(YEAR($C$3),11,15), DATE(YEAR($C$3),11,15)&lt;=W$6+6), "★A형", IF(AND(W$6&lt;=DATE(YEAR($C$3)+1,2,14), W$6+6&gt;=DATE(YEAR($C$3),11,16)), "B형", IF(AND(W$6&lt;=DATE(YEAR($C$3),11,15), W$6+6&gt;=DATE(YEAR($C$3),8,25)), "A형", ""))))</f>
        <v/>
      </c>
      <c r="X7" s="77">
        <f>IF(AND(X$6&lt;=DATE(YEAR($C$3)+1,2,14), DATE(YEAR($C$3)+1,2,14)&lt;=X$6+6), "★B형", IF(AND(X$6&lt;=DATE(YEAR($C$3),11,15), DATE(YEAR($C$3),11,15)&lt;=X$6+6), "★A형", IF(AND(X$6&lt;=DATE(YEAR($C$3)+1,2,14), X$6+6&gt;=DATE(YEAR($C$3),11,16)), "B형", IF(AND(X$6&lt;=DATE(YEAR($C$3),11,15), X$6+6&gt;=DATE(YEAR($C$3),8,25)), "A형", ""))))</f>
        <v/>
      </c>
      <c r="Y7" s="77">
        <f>IF(AND(Y$6&lt;=DATE(YEAR($C$3)+1,2,14), DATE(YEAR($C$3)+1,2,14)&lt;=Y$6+6), "★B형", IF(AND(Y$6&lt;=DATE(YEAR($C$3),11,15), DATE(YEAR($C$3),11,15)&lt;=Y$6+6), "★A형", IF(AND(Y$6&lt;=DATE(YEAR($C$3)+1,2,14), Y$6+6&gt;=DATE(YEAR($C$3),11,16)), "B형", IF(AND(Y$6&lt;=DATE(YEAR($C$3),11,15), Y$6+6&gt;=DATE(YEAR($C$3),8,25)), "A형", ""))))</f>
        <v/>
      </c>
      <c r="Z7" s="77">
        <f>IF(AND(Z$6&lt;=DATE(YEAR($C$3)+1,2,14), DATE(YEAR($C$3)+1,2,14)&lt;=Z$6+6), "★B형", IF(AND(Z$6&lt;=DATE(YEAR($C$3),11,15), DATE(YEAR($C$3),11,15)&lt;=Z$6+6), "★A형", IF(AND(Z$6&lt;=DATE(YEAR($C$3)+1,2,14), Z$6+6&gt;=DATE(YEAR($C$3),11,16)), "B형", IF(AND(Z$6&lt;=DATE(YEAR($C$3),11,15), Z$6+6&gt;=DATE(YEAR($C$3),8,25)), "A형", ""))))</f>
        <v/>
      </c>
      <c r="AA7" s="77">
        <f>IF(AND(AA$6&lt;=DATE(YEAR($C$3)+1,2,14), DATE(YEAR($C$3)+1,2,14)&lt;=AA$6+6), "★B형", IF(AND(AA$6&lt;=DATE(YEAR($C$3),11,15), DATE(YEAR($C$3),11,15)&lt;=AA$6+6), "★A형", IF(AND(AA$6&lt;=DATE(YEAR($C$3)+1,2,14), AA$6+6&gt;=DATE(YEAR($C$3),11,16)), "B형", IF(AND(AA$6&lt;=DATE(YEAR($C$3),11,15), AA$6+6&gt;=DATE(YEAR($C$3),8,25)), "A형", ""))))</f>
        <v/>
      </c>
      <c r="AB7" s="77">
        <f>IF(AND(AB$6&lt;=DATE(YEAR($C$3)+1,2,14), DATE(YEAR($C$3)+1,2,14)&lt;=AB$6+6), "★B형", IF(AND(AB$6&lt;=DATE(YEAR($C$3),11,15), DATE(YEAR($C$3),11,15)&lt;=AB$6+6), "★A형", IF(AND(AB$6&lt;=DATE(YEAR($C$3)+1,2,14), AB$6+6&gt;=DATE(YEAR($C$3),11,16)), "B형", IF(AND(AB$6&lt;=DATE(YEAR($C$3),11,15), AB$6+6&gt;=DATE(YEAR($C$3),8,25)), "A형", ""))))</f>
        <v/>
      </c>
      <c r="AC7" s="77">
        <f>IF(AND(AC$6&lt;=DATE(YEAR($C$3)+1,2,14), DATE(YEAR($C$3)+1,2,14)&lt;=AC$6+6), "★B형", IF(AND(AC$6&lt;=DATE(YEAR($C$3),11,15), DATE(YEAR($C$3),11,15)&lt;=AC$6+6), "★A형", IF(AND(AC$6&lt;=DATE(YEAR($C$3)+1,2,14), AC$6+6&gt;=DATE(YEAR($C$3),11,16)), "B형", IF(AND(AC$6&lt;=DATE(YEAR($C$3),11,15), AC$6+6&gt;=DATE(YEAR($C$3),8,25)), "A형", ""))))</f>
        <v/>
      </c>
      <c r="AD7" s="77">
        <f>IF(AND(AD$6&lt;=DATE(YEAR($C$3)+1,2,14), DATE(YEAR($C$3)+1,2,14)&lt;=AD$6+6), "★B형", IF(AND(AD$6&lt;=DATE(YEAR($C$3),11,15), DATE(YEAR($C$3),11,15)&lt;=AD$6+6), "★A형", IF(AND(AD$6&lt;=DATE(YEAR($C$3)+1,2,14), AD$6+6&gt;=DATE(YEAR($C$3),11,16)), "B형", IF(AND(AD$6&lt;=DATE(YEAR($C$3),11,15), AD$6+6&gt;=DATE(YEAR($C$3),8,25)), "A형", ""))))</f>
        <v/>
      </c>
      <c r="AE7" s="77">
        <f>IF(AND(AE$6&lt;=DATE(YEAR($C$3)+1,2,14), DATE(YEAR($C$3)+1,2,14)&lt;=AE$6+6), "★B형", IF(AND(AE$6&lt;=DATE(YEAR($C$3),11,15), DATE(YEAR($C$3),11,15)&lt;=AE$6+6), "★A형", IF(AND(AE$6&lt;=DATE(YEAR($C$3)+1,2,14), AE$6+6&gt;=DATE(YEAR($C$3),11,16)), "B형", IF(AND(AE$6&lt;=DATE(YEAR($C$3),11,15), AE$6+6&gt;=DATE(YEAR($C$3),8,25)), "A형", ""))))</f>
        <v/>
      </c>
      <c r="AF7" s="77">
        <f>IF(AND(AF$6&lt;=DATE(YEAR($C$3)+1,2,14), DATE(YEAR($C$3)+1,2,14)&lt;=AF$6+6), "★B형", IF(AND(AF$6&lt;=DATE(YEAR($C$3),11,15), DATE(YEAR($C$3),11,15)&lt;=AF$6+6), "★A형", IF(AND(AF$6&lt;=DATE(YEAR($C$3)+1,2,14), AF$6+6&gt;=DATE(YEAR($C$3),11,16)), "B형", IF(AND(AF$6&lt;=DATE(YEAR($C$3),11,15), AF$6+6&gt;=DATE(YEAR($C$3),8,25)), "A형", ""))))</f>
        <v/>
      </c>
      <c r="AG7" s="77">
        <f>IF(AND(AG$6&lt;=DATE(YEAR($C$3)+1,2,14), DATE(YEAR($C$3)+1,2,14)&lt;=AG$6+6), "★B형", IF(AND(AG$6&lt;=DATE(YEAR($C$3),11,15), DATE(YEAR($C$3),11,15)&lt;=AG$6+6), "★A형", IF(AND(AG$6&lt;=DATE(YEAR($C$3)+1,2,14), AG$6+6&gt;=DATE(YEAR($C$3),11,16)), "B형", IF(AND(AG$6&lt;=DATE(YEAR($C$3),11,15), AG$6+6&gt;=DATE(YEAR($C$3),8,25)), "A형", ""))))</f>
        <v/>
      </c>
      <c r="AH7" s="77">
        <f>IF(AND(AH$6&lt;=DATE(YEAR($C$3)+1,2,14), DATE(YEAR($C$3)+1,2,14)&lt;=AH$6+6), "★B형", IF(AND(AH$6&lt;=DATE(YEAR($C$3),11,15), DATE(YEAR($C$3),11,15)&lt;=AH$6+6), "★A형", IF(AND(AH$6&lt;=DATE(YEAR($C$3)+1,2,14), AH$6+6&gt;=DATE(YEAR($C$3),11,16)), "B형", IF(AND(AH$6&lt;=DATE(YEAR($C$3),11,15), AH$6+6&gt;=DATE(YEAR($C$3),8,25)), "A형", ""))))</f>
        <v/>
      </c>
      <c r="AI7" s="77">
        <f>IF(AND(AI$6&lt;=DATE(YEAR($C$3)+1,2,14), DATE(YEAR($C$3)+1,2,14)&lt;=AI$6+6), "★B형", IF(AND(AI$6&lt;=DATE(YEAR($C$3),11,15), DATE(YEAR($C$3),11,15)&lt;=AI$6+6), "★A형", IF(AND(AI$6&lt;=DATE(YEAR($C$3)+1,2,14), AI$6+6&gt;=DATE(YEAR($C$3),11,16)), "B형", IF(AND(AI$6&lt;=DATE(YEAR($C$3),11,15), AI$6+6&gt;=DATE(YEAR($C$3),8,25)), "A형", ""))))</f>
        <v/>
      </c>
      <c r="AJ7" s="77">
        <f>IF(AND(AJ$6&lt;=DATE(YEAR($C$3)+1,2,14), DATE(YEAR($C$3)+1,2,14)&lt;=AJ$6+6), "★B형", IF(AND(AJ$6&lt;=DATE(YEAR($C$3),11,15), DATE(YEAR($C$3),11,15)&lt;=AJ$6+6), "★A형", IF(AND(AJ$6&lt;=DATE(YEAR($C$3)+1,2,14), AJ$6+6&gt;=DATE(YEAR($C$3),11,16)), "B형", IF(AND(AJ$6&lt;=DATE(YEAR($C$3),11,15), AJ$6+6&gt;=DATE(YEAR($C$3),8,25)), "A형", ""))))</f>
        <v/>
      </c>
      <c r="AK7" s="77">
        <f>IF(AND(AK$6&lt;=DATE(YEAR($C$3)+1,2,14), DATE(YEAR($C$3)+1,2,14)&lt;=AK$6+6), "★B형", IF(AND(AK$6&lt;=DATE(YEAR($C$3),11,15), DATE(YEAR($C$3),11,15)&lt;=AK$6+6), "★A형", IF(AND(AK$6&lt;=DATE(YEAR($C$3)+1,2,14), AK$6+6&gt;=DATE(YEAR($C$3),11,16)), "B형", IF(AND(AK$6&lt;=DATE(YEAR($C$3),11,15), AK$6+6&gt;=DATE(YEAR($C$3),8,25)), "A형", ""))))</f>
        <v/>
      </c>
      <c r="AL7" s="77">
        <f>IF(AND(AL$6&lt;=DATE(YEAR($C$3)+1,2,14), DATE(YEAR($C$3)+1,2,14)&lt;=AL$6+6), "★B형", IF(AND(AL$6&lt;=DATE(YEAR($C$3),11,15), DATE(YEAR($C$3),11,15)&lt;=AL$6+6), "★A형", IF(AND(AL$6&lt;=DATE(YEAR($C$3)+1,2,14), AL$6+6&gt;=DATE(YEAR($C$3),11,16)), "B형", IF(AND(AL$6&lt;=DATE(YEAR($C$3),11,15), AL$6+6&gt;=DATE(YEAR($C$3),8,25)), "A형", ""))))</f>
        <v/>
      </c>
      <c r="AM7" s="77">
        <f>IF(AND(AM$6&lt;=DATE(YEAR($C$3)+1,2,14), DATE(YEAR($C$3)+1,2,14)&lt;=AM$6+6), "★B형", IF(AND(AM$6&lt;=DATE(YEAR($C$3),11,15), DATE(YEAR($C$3),11,15)&lt;=AM$6+6), "★A형", IF(AND(AM$6&lt;=DATE(YEAR($C$3)+1,2,14), AM$6+6&gt;=DATE(YEAR($C$3),11,16)), "B형", IF(AND(AM$6&lt;=DATE(YEAR($C$3),11,15), AM$6+6&gt;=DATE(YEAR($C$3),8,25)), "A형", ""))))</f>
        <v/>
      </c>
      <c r="AN7" s="77">
        <f>IF(AND(AN$6&lt;=DATE(YEAR($C$3)+1,2,14), DATE(YEAR($C$3)+1,2,14)&lt;=AN$6+6), "★B형", IF(AND(AN$6&lt;=DATE(YEAR($C$3),11,15), DATE(YEAR($C$3),11,15)&lt;=AN$6+6), "★A형", IF(AND(AN$6&lt;=DATE(YEAR($C$3)+1,2,14), AN$6+6&gt;=DATE(YEAR($C$3),11,16)), "B형", IF(AND(AN$6&lt;=DATE(YEAR($C$3),11,15), AN$6+6&gt;=DATE(YEAR($C$3),8,25)), "A형", ""))))</f>
        <v/>
      </c>
      <c r="AO7" s="77">
        <f>IF(AND(AO$6&lt;=DATE(YEAR($C$3)+1,2,14), DATE(YEAR($C$3)+1,2,14)&lt;=AO$6+6), "★B형", IF(AND(AO$6&lt;=DATE(YEAR($C$3),11,15), DATE(YEAR($C$3),11,15)&lt;=AO$6+6), "★A형", IF(AND(AO$6&lt;=DATE(YEAR($C$3)+1,2,14), AO$6+6&gt;=DATE(YEAR($C$3),11,16)), "B형", IF(AND(AO$6&lt;=DATE(YEAR($C$3),11,15), AO$6+6&gt;=DATE(YEAR($C$3),8,25)), "A형", ""))))</f>
        <v/>
      </c>
      <c r="AP7" s="77">
        <f>IF(AND(AP$6&lt;=DATE(YEAR($C$3)+1,2,14), DATE(YEAR($C$3)+1,2,14)&lt;=AP$6+6), "★B형", IF(AND(AP$6&lt;=DATE(YEAR($C$3),11,15), DATE(YEAR($C$3),11,15)&lt;=AP$6+6), "★A형", IF(AND(AP$6&lt;=DATE(YEAR($C$3)+1,2,14), AP$6+6&gt;=DATE(YEAR($C$3),11,16)), "B형", IF(AND(AP$6&lt;=DATE(YEAR($C$3),11,15), AP$6+6&gt;=DATE(YEAR($C$3),8,25)), "A형", ""))))</f>
        <v/>
      </c>
      <c r="AQ7" s="77">
        <f>IF(AND(AQ$6&lt;=DATE(YEAR($C$3)+1,2,14), DATE(YEAR($C$3)+1,2,14)&lt;=AQ$6+6), "★B형", IF(AND(AQ$6&lt;=DATE(YEAR($C$3),11,15), DATE(YEAR($C$3),11,15)&lt;=AQ$6+6), "★A형", IF(AND(AQ$6&lt;=DATE(YEAR($C$3)+1,2,14), AQ$6+6&gt;=DATE(YEAR($C$3),11,16)), "B형", IF(AND(AQ$6&lt;=DATE(YEAR($C$3),11,15), AQ$6+6&gt;=DATE(YEAR($C$3),8,25)), "A형", ""))))</f>
        <v/>
      </c>
      <c r="AR7" s="77">
        <f>IF(AND(AR$6&lt;=DATE(YEAR($C$3)+1,2,14), DATE(YEAR($C$3)+1,2,14)&lt;=AR$6+6), "★B형", IF(AND(AR$6&lt;=DATE(YEAR($C$3),11,15), DATE(YEAR($C$3),11,15)&lt;=AR$6+6), "★A형", IF(AND(AR$6&lt;=DATE(YEAR($C$3)+1,2,14), AR$6+6&gt;=DATE(YEAR($C$3),11,16)), "B형", IF(AND(AR$6&lt;=DATE(YEAR($C$3),11,15), AR$6+6&gt;=DATE(YEAR($C$3),8,25)), "A형", ""))))</f>
        <v/>
      </c>
      <c r="AS7" s="77">
        <f>IF(AND(AS$6&lt;=DATE(YEAR($C$3)+1,2,14), DATE(YEAR($C$3)+1,2,14)&lt;=AS$6+6), "★B형", IF(AND(AS$6&lt;=DATE(YEAR($C$3),11,15), DATE(YEAR($C$3),11,15)&lt;=AS$6+6), "★A형", IF(AND(AS$6&lt;=DATE(YEAR($C$3)+1,2,14), AS$6+6&gt;=DATE(YEAR($C$3),11,16)), "B형", IF(AND(AS$6&lt;=DATE(YEAR($C$3),11,15), AS$6+6&gt;=DATE(YEAR($C$3),8,25)), "A형", ""))))</f>
        <v/>
      </c>
      <c r="AT7" s="77">
        <f>IF(AND(AT$6&lt;=DATE(YEAR($C$3)+1,2,14), DATE(YEAR($C$3)+1,2,14)&lt;=AT$6+6), "★B형", IF(AND(AT$6&lt;=DATE(YEAR($C$3),11,15), DATE(YEAR($C$3),11,15)&lt;=AT$6+6), "★A형", IF(AND(AT$6&lt;=DATE(YEAR($C$3)+1,2,14), AT$6+6&gt;=DATE(YEAR($C$3),11,16)), "B형", IF(AND(AT$6&lt;=DATE(YEAR($C$3),11,15), AT$6+6&gt;=DATE(YEAR($C$3),8,25)), "A형", ""))))</f>
        <v/>
      </c>
      <c r="AU7" s="77">
        <f>IF(AND(AU$6&lt;=DATE(YEAR($C$3)+1,2,14), DATE(YEAR($C$3)+1,2,14)&lt;=AU$6+6), "★B형", IF(AND(AU$6&lt;=DATE(YEAR($C$3),11,15), DATE(YEAR($C$3),11,15)&lt;=AU$6+6), "★A형", IF(AND(AU$6&lt;=DATE(YEAR($C$3)+1,2,14), AU$6+6&gt;=DATE(YEAR($C$3),11,16)), "B형", IF(AND(AU$6&lt;=DATE(YEAR($C$3),11,15), AU$6+6&gt;=DATE(YEAR($C$3),8,25)), "A형", ""))))</f>
        <v/>
      </c>
      <c r="AV7" s="77">
        <f>IF(AND(AV$6&lt;=DATE(YEAR($C$3)+1,2,14), DATE(YEAR($C$3)+1,2,14)&lt;=AV$6+6), "★B형", IF(AND(AV$6&lt;=DATE(YEAR($C$3),11,15), DATE(YEAR($C$3),11,15)&lt;=AV$6+6), "★A형", IF(AND(AV$6&lt;=DATE(YEAR($C$3)+1,2,14), AV$6+6&gt;=DATE(YEAR($C$3),11,16)), "B형", IF(AND(AV$6&lt;=DATE(YEAR($C$3),11,15), AV$6+6&gt;=DATE(YEAR($C$3),8,25)), "A형", ""))))</f>
        <v/>
      </c>
      <c r="AW7" s="77">
        <f>IF(AND(AW$6&lt;=DATE(YEAR($C$3)+1,2,14), DATE(YEAR($C$3)+1,2,14)&lt;=AW$6+6), "★B형", IF(AND(AW$6&lt;=DATE(YEAR($C$3),11,15), DATE(YEAR($C$3),11,15)&lt;=AW$6+6), "★A형", IF(AND(AW$6&lt;=DATE(YEAR($C$3)+1,2,14), AW$6+6&gt;=DATE(YEAR($C$3),11,16)), "B형", IF(AND(AW$6&lt;=DATE(YEAR($C$3),11,15), AW$6+6&gt;=DATE(YEAR($C$3),8,25)), "A형", ""))))</f>
        <v/>
      </c>
      <c r="AX7" s="77">
        <f>IF(AND(AX$6&lt;=DATE(YEAR($C$3)+1,2,14), DATE(YEAR($C$3)+1,2,14)&lt;=AX$6+6), "★B형", IF(AND(AX$6&lt;=DATE(YEAR($C$3),11,15), DATE(YEAR($C$3),11,15)&lt;=AX$6+6), "★A형", IF(AND(AX$6&lt;=DATE(YEAR($C$3)+1,2,14), AX$6+6&gt;=DATE(YEAR($C$3),11,16)), "B형", IF(AND(AX$6&lt;=DATE(YEAR($C$3),11,15), AX$6+6&gt;=DATE(YEAR($C$3),8,25)), "A형", ""))))</f>
        <v/>
      </c>
      <c r="AY7" s="77">
        <f>IF(AND(AY$6&lt;=DATE(YEAR($C$3)+1,2,14), DATE(YEAR($C$3)+1,2,14)&lt;=AY$6+6), "★B형", IF(AND(AY$6&lt;=DATE(YEAR($C$3),11,15), DATE(YEAR($C$3),11,15)&lt;=AY$6+6), "★A형", IF(AND(AY$6&lt;=DATE(YEAR($C$3)+1,2,14), AY$6+6&gt;=DATE(YEAR($C$3),11,16)), "B형", IF(AND(AY$6&lt;=DATE(YEAR($C$3),11,15), AY$6+6&gt;=DATE(YEAR($C$3),8,25)), "A형", ""))))</f>
        <v/>
      </c>
      <c r="AZ7" s="77">
        <f>IF(AND(AZ$6&lt;=DATE(YEAR($C$3)+1,2,14), DATE(YEAR($C$3)+1,2,14)&lt;=AZ$6+6), "★B형", IF(AND(AZ$6&lt;=DATE(YEAR($C$3),11,15), DATE(YEAR($C$3),11,15)&lt;=AZ$6+6), "★A형", IF(AND(AZ$6&lt;=DATE(YEAR($C$3)+1,2,14), AZ$6+6&gt;=DATE(YEAR($C$3),11,16)), "B형", IF(AND(AZ$6&lt;=DATE(YEAR($C$3),11,15), AZ$6+6&gt;=DATE(YEAR($C$3),8,25)), "A형", ""))))</f>
        <v/>
      </c>
      <c r="BA7" s="77">
        <f>IF(AND(BA$6&lt;=DATE(YEAR($C$3)+1,2,14), DATE(YEAR($C$3)+1,2,14)&lt;=BA$6+6), "★B형", IF(AND(BA$6&lt;=DATE(YEAR($C$3),11,15), DATE(YEAR($C$3),11,15)&lt;=BA$6+6), "★A형", IF(AND(BA$6&lt;=DATE(YEAR($C$3)+1,2,14), BA$6+6&gt;=DATE(YEAR($C$3),11,16)), "B형", IF(AND(BA$6&lt;=DATE(YEAR($C$3),11,15), BA$6+6&gt;=DATE(YEAR($C$3),8,25)), "A형", ""))))</f>
        <v/>
      </c>
      <c r="BB7" s="77">
        <f>IF(AND(BB$6&lt;=DATE(YEAR($C$3)+1,2,14), DATE(YEAR($C$3)+1,2,14)&lt;=BB$6+6), "★B형", IF(AND(BB$6&lt;=DATE(YEAR($C$3),11,15), DATE(YEAR($C$3),11,15)&lt;=BB$6+6), "★A형", IF(AND(BB$6&lt;=DATE(YEAR($C$3)+1,2,14), BB$6+6&gt;=DATE(YEAR($C$3),11,16)), "B형", IF(AND(BB$6&lt;=DATE(YEAR($C$3),11,15), BB$6+6&gt;=DATE(YEAR($C$3),8,25)), "A형", ""))))</f>
        <v/>
      </c>
      <c r="BC7" s="77">
        <f>IF(AND(BC$6&lt;=DATE(YEAR($C$3)+1,2,14), DATE(YEAR($C$3)+1,2,14)&lt;=BC$6+6), "★B형", IF(AND(BC$6&lt;=DATE(YEAR($C$3),11,15), DATE(YEAR($C$3),11,15)&lt;=BC$6+6), "★A형", IF(AND(BC$6&lt;=DATE(YEAR($C$3)+1,2,14), BC$6+6&gt;=DATE(YEAR($C$3),11,16)), "B형", IF(AND(BC$6&lt;=DATE(YEAR($C$3),11,15), BC$6+6&gt;=DATE(YEAR($C$3),8,25)), "A형", ""))))</f>
        <v/>
      </c>
      <c r="BD7" s="77">
        <f>IF(AND(BD$6&lt;=DATE(YEAR($C$3)+1,2,14), DATE(YEAR($C$3)+1,2,14)&lt;=BD$6+6), "★B형", IF(AND(BD$6&lt;=DATE(YEAR($C$3),11,15), DATE(YEAR($C$3),11,15)&lt;=BD$6+6), "★A형", IF(AND(BD$6&lt;=DATE(YEAR($C$3)+1,2,14), BD$6+6&gt;=DATE(YEAR($C$3),11,16)), "B형", IF(AND(BD$6&lt;=DATE(YEAR($C$3),11,15), BD$6+6&gt;=DATE(YEAR($C$3),8,25)), "A형", ""))))</f>
        <v/>
      </c>
      <c r="BE7" s="77">
        <f>IF(AND(BE$6&lt;=DATE(YEAR($C$3)+1,2,14), DATE(YEAR($C$3)+1,2,14)&lt;=BE$6+6), "★B형", IF(AND(BE$6&lt;=DATE(YEAR($C$3),11,15), DATE(YEAR($C$3),11,15)&lt;=BE$6+6), "★A형", IF(AND(BE$6&lt;=DATE(YEAR($C$3)+1,2,14), BE$6+6&gt;=DATE(YEAR($C$3),11,16)), "B형", IF(AND(BE$6&lt;=DATE(YEAR($C$3),11,15), BE$6+6&gt;=DATE(YEAR($C$3),8,25)), "A형", ""))))</f>
        <v/>
      </c>
      <c r="BF7" s="63">
        <f>IF(AND(BF$6&lt;=DATE(YEAR($C$3)+1,2,14), DATE(YEAR($C$3)+1,2,14)&lt;=BF$6+6), "★B형", IF(AND(BF$6&lt;=DATE(YEAR($C$3),11,15), DATE(YEAR($C$3),11,15)&lt;=BF$6+6), "★A형", IF(AND(BF$6&lt;=DATE(YEAR($C$3)+1,2,14), BF$6+6&gt;=DATE(YEAR($C$3),11,16)), "B형", IF(AND(BF$6&lt;=DATE(YEAR($C$3),11,15), BF$6+6&gt;=DATE(YEAR($C$3),8,25)), "A형", ""))))</f>
        <v/>
      </c>
    </row>
    <row r="8" ht="24" customHeight="1" s="209">
      <c r="A8" s="79" t="inlineStr">
        <is>
          <t>🛡️ 정보보안기사</t>
        </is>
      </c>
      <c r="B8" s="80" t="inlineStr">
        <is>
          <t>정보보안기사 동차 합격 (평일 화·목 개념정독 + 주말 토·일 기출1200제 ➡️ 2027.02.15 CBT ➡️ 4월 실기)</t>
        </is>
      </c>
      <c r="C8" s="73">
        <f>DATE(YEAR($C$3), 9, 7)</f>
        <v/>
      </c>
      <c r="D8" s="74">
        <f>DATE(YEAR($C$3)+1, 4, 10)</f>
        <v/>
      </c>
      <c r="E8" s="74">
        <f>INT((D8-C8)/7)+1 &amp; "주 (" &amp; (D8-C8+1) &amp; "일)"</f>
        <v/>
      </c>
      <c r="F8" s="81">
        <f>IF(AND(F$6&lt;=DATE(YEAR($C$3)+1,4,10), DATE(YEAR($C$3)+1,4,10)&lt;=F$6+6), "★실기", IF(AND(F$6&lt;=DATE(YEAR($C$3)+1,2,15), DATE(YEAR($C$3)+1,2,15)&lt;=F$6+6), "★필기", IF(AND(F$6&lt;=DATE(YEAR($C$3)+1,4,10), F$6+6&gt;=DATE(YEAR($C$3)+1,2,16)), "실기", IF(AND(F$6&lt;=DATE(YEAR($C$3)+1,2,15), F$6+6&gt;=DATE(YEAR($C$3),9,7)), "필기", ""))))</f>
        <v/>
      </c>
      <c r="G8" s="82">
        <f>IF(AND(G$6&lt;=DATE(YEAR($C$3)+1,4,10), DATE(YEAR($C$3)+1,4,10)&lt;=G$6+6), "★실기", IF(AND(G$6&lt;=DATE(YEAR($C$3)+1,2,15), DATE(YEAR($C$3)+1,2,15)&lt;=G$6+6), "★필기", IF(AND(G$6&lt;=DATE(YEAR($C$3)+1,4,10), G$6+6&gt;=DATE(YEAR($C$3)+1,2,16)), "실기", IF(AND(G$6&lt;=DATE(YEAR($C$3)+1,2,15), G$6+6&gt;=DATE(YEAR($C$3),9,7)), "필기", ""))))</f>
        <v/>
      </c>
      <c r="H8" s="82">
        <f>IF(AND(H$6&lt;=DATE(YEAR($C$3)+1,4,10), DATE(YEAR($C$3)+1,4,10)&lt;=H$6+6), "★실기", IF(AND(H$6&lt;=DATE(YEAR($C$3)+1,2,15), DATE(YEAR($C$3)+1,2,15)&lt;=H$6+6), "★필기", IF(AND(H$6&lt;=DATE(YEAR($C$3)+1,4,10), H$6+6&gt;=DATE(YEAR($C$3)+1,2,16)), "실기", IF(AND(H$6&lt;=DATE(YEAR($C$3)+1,2,15), H$6+6&gt;=DATE(YEAR($C$3),9,7)), "필기", ""))))</f>
        <v/>
      </c>
      <c r="I8" s="82">
        <f>IF(AND(I$6&lt;=DATE(YEAR($C$3)+1,4,10), DATE(YEAR($C$3)+1,4,10)&lt;=I$6+6), "★실기", IF(AND(I$6&lt;=DATE(YEAR($C$3)+1,2,15), DATE(YEAR($C$3)+1,2,15)&lt;=I$6+6), "★필기", IF(AND(I$6&lt;=DATE(YEAR($C$3)+1,4,10), I$6+6&gt;=DATE(YEAR($C$3)+1,2,16)), "실기", IF(AND(I$6&lt;=DATE(YEAR($C$3)+1,2,15), I$6+6&gt;=DATE(YEAR($C$3),9,7)), "필기", ""))))</f>
        <v/>
      </c>
      <c r="J8" s="82">
        <f>IF(AND(J$6&lt;=DATE(YEAR($C$3)+1,4,10), DATE(YEAR($C$3)+1,4,10)&lt;=J$6+6), "★실기", IF(AND(J$6&lt;=DATE(YEAR($C$3)+1,2,15), DATE(YEAR($C$3)+1,2,15)&lt;=J$6+6), "★필기", IF(AND(J$6&lt;=DATE(YEAR($C$3)+1,4,10), J$6+6&gt;=DATE(YEAR($C$3)+1,2,16)), "실기", IF(AND(J$6&lt;=DATE(YEAR($C$3)+1,2,15), J$6+6&gt;=DATE(YEAR($C$3),9,7)), "필기", ""))))</f>
        <v/>
      </c>
      <c r="K8" s="82">
        <f>IF(AND(K$6&lt;=DATE(YEAR($C$3)+1,4,10), DATE(YEAR($C$3)+1,4,10)&lt;=K$6+6), "★실기", IF(AND(K$6&lt;=DATE(YEAR($C$3)+1,2,15), DATE(YEAR($C$3)+1,2,15)&lt;=K$6+6), "★필기", IF(AND(K$6&lt;=DATE(YEAR($C$3)+1,4,10), K$6+6&gt;=DATE(YEAR($C$3)+1,2,16)), "실기", IF(AND(K$6&lt;=DATE(YEAR($C$3)+1,2,15), K$6+6&gt;=DATE(YEAR($C$3),9,7)), "필기", ""))))</f>
        <v/>
      </c>
      <c r="L8" s="82">
        <f>IF(AND(L$6&lt;=DATE(YEAR($C$3)+1,4,10), DATE(YEAR($C$3)+1,4,10)&lt;=L$6+6), "★실기", IF(AND(L$6&lt;=DATE(YEAR($C$3)+1,2,15), DATE(YEAR($C$3)+1,2,15)&lt;=L$6+6), "★필기", IF(AND(L$6&lt;=DATE(YEAR($C$3)+1,4,10), L$6+6&gt;=DATE(YEAR($C$3)+1,2,16)), "실기", IF(AND(L$6&lt;=DATE(YEAR($C$3)+1,2,15), L$6+6&gt;=DATE(YEAR($C$3),9,7)), "필기", ""))))</f>
        <v/>
      </c>
      <c r="M8" s="82">
        <f>IF(AND(M$6&lt;=DATE(YEAR($C$3)+1,4,10), DATE(YEAR($C$3)+1,4,10)&lt;=M$6+6), "★실기", IF(AND(M$6&lt;=DATE(YEAR($C$3)+1,2,15), DATE(YEAR($C$3)+1,2,15)&lt;=M$6+6), "★필기", IF(AND(M$6&lt;=DATE(YEAR($C$3)+1,4,10), M$6+6&gt;=DATE(YEAR($C$3)+1,2,16)), "실기", IF(AND(M$6&lt;=DATE(YEAR($C$3)+1,2,15), M$6+6&gt;=DATE(YEAR($C$3),9,7)), "필기", ""))))</f>
        <v/>
      </c>
      <c r="N8" s="82">
        <f>IF(AND(N$6&lt;=DATE(YEAR($C$3)+1,4,10), DATE(YEAR($C$3)+1,4,10)&lt;=N$6+6), "★실기", IF(AND(N$6&lt;=DATE(YEAR($C$3)+1,2,15), DATE(YEAR($C$3)+1,2,15)&lt;=N$6+6), "★필기", IF(AND(N$6&lt;=DATE(YEAR($C$3)+1,4,10), N$6+6&gt;=DATE(YEAR($C$3)+1,2,16)), "실기", IF(AND(N$6&lt;=DATE(YEAR($C$3)+1,2,15), N$6+6&gt;=DATE(YEAR($C$3),9,7)), "필기", ""))))</f>
        <v/>
      </c>
      <c r="O8" s="82">
        <f>IF(AND(O$6&lt;=DATE(YEAR($C$3)+1,4,10), DATE(YEAR($C$3)+1,4,10)&lt;=O$6+6), "★실기", IF(AND(O$6&lt;=DATE(YEAR($C$3)+1,2,15), DATE(YEAR($C$3)+1,2,15)&lt;=O$6+6), "★필기", IF(AND(O$6&lt;=DATE(YEAR($C$3)+1,4,10), O$6+6&gt;=DATE(YEAR($C$3)+1,2,16)), "실기", IF(AND(O$6&lt;=DATE(YEAR($C$3)+1,2,15), O$6+6&gt;=DATE(YEAR($C$3),9,7)), "필기", ""))))</f>
        <v/>
      </c>
      <c r="P8" s="82">
        <f>IF(AND(P$6&lt;=DATE(YEAR($C$3)+1,4,10), DATE(YEAR($C$3)+1,4,10)&lt;=P$6+6), "★실기", IF(AND(P$6&lt;=DATE(YEAR($C$3)+1,2,15), DATE(YEAR($C$3)+1,2,15)&lt;=P$6+6), "★필기", IF(AND(P$6&lt;=DATE(YEAR($C$3)+1,4,10), P$6+6&gt;=DATE(YEAR($C$3)+1,2,16)), "실기", IF(AND(P$6&lt;=DATE(YEAR($C$3)+1,2,15), P$6+6&gt;=DATE(YEAR($C$3),9,7)), "필기", ""))))</f>
        <v/>
      </c>
      <c r="Q8" s="82">
        <f>IF(AND(Q$6&lt;=DATE(YEAR($C$3)+1,4,10), DATE(YEAR($C$3)+1,4,10)&lt;=Q$6+6), "★실기", IF(AND(Q$6&lt;=DATE(YEAR($C$3)+1,2,15), DATE(YEAR($C$3)+1,2,15)&lt;=Q$6+6), "★필기", IF(AND(Q$6&lt;=DATE(YEAR($C$3)+1,4,10), Q$6+6&gt;=DATE(YEAR($C$3)+1,2,16)), "실기", IF(AND(Q$6&lt;=DATE(YEAR($C$3)+1,2,15), Q$6+6&gt;=DATE(YEAR($C$3),9,7)), "필기", ""))))</f>
        <v/>
      </c>
      <c r="R8" s="82">
        <f>IF(AND(R$6&lt;=DATE(YEAR($C$3)+1,4,10), DATE(YEAR($C$3)+1,4,10)&lt;=R$6+6), "★실기", IF(AND(R$6&lt;=DATE(YEAR($C$3)+1,2,15), DATE(YEAR($C$3)+1,2,15)&lt;=R$6+6), "★필기", IF(AND(R$6&lt;=DATE(YEAR($C$3)+1,4,10), R$6+6&gt;=DATE(YEAR($C$3)+1,2,16)), "실기", IF(AND(R$6&lt;=DATE(YEAR($C$3)+1,2,15), R$6+6&gt;=DATE(YEAR($C$3),9,7)), "필기", ""))))</f>
        <v/>
      </c>
      <c r="S8" s="82">
        <f>IF(AND(S$6&lt;=DATE(YEAR($C$3)+1,4,10), DATE(YEAR($C$3)+1,4,10)&lt;=S$6+6), "★실기", IF(AND(S$6&lt;=DATE(YEAR($C$3)+1,2,15), DATE(YEAR($C$3)+1,2,15)&lt;=S$6+6), "★필기", IF(AND(S$6&lt;=DATE(YEAR($C$3)+1,4,10), S$6+6&gt;=DATE(YEAR($C$3)+1,2,16)), "실기", IF(AND(S$6&lt;=DATE(YEAR($C$3)+1,2,15), S$6+6&gt;=DATE(YEAR($C$3),9,7)), "필기", ""))))</f>
        <v/>
      </c>
      <c r="T8" s="82">
        <f>IF(AND(T$6&lt;=DATE(YEAR($C$3)+1,4,10), DATE(YEAR($C$3)+1,4,10)&lt;=T$6+6), "★실기", IF(AND(T$6&lt;=DATE(YEAR($C$3)+1,2,15), DATE(YEAR($C$3)+1,2,15)&lt;=T$6+6), "★필기", IF(AND(T$6&lt;=DATE(YEAR($C$3)+1,4,10), T$6+6&gt;=DATE(YEAR($C$3)+1,2,16)), "실기", IF(AND(T$6&lt;=DATE(YEAR($C$3)+1,2,15), T$6+6&gt;=DATE(YEAR($C$3),9,7)), "필기", ""))))</f>
        <v/>
      </c>
      <c r="U8" s="82">
        <f>IF(AND(U$6&lt;=DATE(YEAR($C$3)+1,4,10), DATE(YEAR($C$3)+1,4,10)&lt;=U$6+6), "★실기", IF(AND(U$6&lt;=DATE(YEAR($C$3)+1,2,15), DATE(YEAR($C$3)+1,2,15)&lt;=U$6+6), "★필기", IF(AND(U$6&lt;=DATE(YEAR($C$3)+1,4,10), U$6+6&gt;=DATE(YEAR($C$3)+1,2,16)), "실기", IF(AND(U$6&lt;=DATE(YEAR($C$3)+1,2,15), U$6+6&gt;=DATE(YEAR($C$3),9,7)), "필기", ""))))</f>
        <v/>
      </c>
      <c r="V8" s="82">
        <f>IF(AND(V$6&lt;=DATE(YEAR($C$3)+1,4,10), DATE(YEAR($C$3)+1,4,10)&lt;=V$6+6), "★실기", IF(AND(V$6&lt;=DATE(YEAR($C$3)+1,2,15), DATE(YEAR($C$3)+1,2,15)&lt;=V$6+6), "★필기", IF(AND(V$6&lt;=DATE(YEAR($C$3)+1,4,10), V$6+6&gt;=DATE(YEAR($C$3)+1,2,16)), "실기", IF(AND(V$6&lt;=DATE(YEAR($C$3)+1,2,15), V$6+6&gt;=DATE(YEAR($C$3),9,7)), "필기", ""))))</f>
        <v/>
      </c>
      <c r="W8" s="82">
        <f>IF(AND(W$6&lt;=DATE(YEAR($C$3)+1,4,10), DATE(YEAR($C$3)+1,4,10)&lt;=W$6+6), "★실기", IF(AND(W$6&lt;=DATE(YEAR($C$3)+1,2,15), DATE(YEAR($C$3)+1,2,15)&lt;=W$6+6), "★필기", IF(AND(W$6&lt;=DATE(YEAR($C$3)+1,4,10), W$6+6&gt;=DATE(YEAR($C$3)+1,2,16)), "실기", IF(AND(W$6&lt;=DATE(YEAR($C$3)+1,2,15), W$6+6&gt;=DATE(YEAR($C$3),9,7)), "필기", ""))))</f>
        <v/>
      </c>
      <c r="X8" s="82">
        <f>IF(AND(X$6&lt;=DATE(YEAR($C$3)+1,4,10), DATE(YEAR($C$3)+1,4,10)&lt;=X$6+6), "★실기", IF(AND(X$6&lt;=DATE(YEAR($C$3)+1,2,15), DATE(YEAR($C$3)+1,2,15)&lt;=X$6+6), "★필기", IF(AND(X$6&lt;=DATE(YEAR($C$3)+1,4,10), X$6+6&gt;=DATE(YEAR($C$3)+1,2,16)), "실기", IF(AND(X$6&lt;=DATE(YEAR($C$3)+1,2,15), X$6+6&gt;=DATE(YEAR($C$3),9,7)), "필기", ""))))</f>
        <v/>
      </c>
      <c r="Y8" s="82">
        <f>IF(AND(Y$6&lt;=DATE(YEAR($C$3)+1,4,10), DATE(YEAR($C$3)+1,4,10)&lt;=Y$6+6), "★실기", IF(AND(Y$6&lt;=DATE(YEAR($C$3)+1,2,15), DATE(YEAR($C$3)+1,2,15)&lt;=Y$6+6), "★필기", IF(AND(Y$6&lt;=DATE(YEAR($C$3)+1,4,10), Y$6+6&gt;=DATE(YEAR($C$3)+1,2,16)), "실기", IF(AND(Y$6&lt;=DATE(YEAR($C$3)+1,2,15), Y$6+6&gt;=DATE(YEAR($C$3),9,7)), "필기", ""))))</f>
        <v/>
      </c>
      <c r="Z8" s="82">
        <f>IF(AND(Z$6&lt;=DATE(YEAR($C$3)+1,4,10), DATE(YEAR($C$3)+1,4,10)&lt;=Z$6+6), "★실기", IF(AND(Z$6&lt;=DATE(YEAR($C$3)+1,2,15), DATE(YEAR($C$3)+1,2,15)&lt;=Z$6+6), "★필기", IF(AND(Z$6&lt;=DATE(YEAR($C$3)+1,4,10), Z$6+6&gt;=DATE(YEAR($C$3)+1,2,16)), "실기", IF(AND(Z$6&lt;=DATE(YEAR($C$3)+1,2,15), Z$6+6&gt;=DATE(YEAR($C$3),9,7)), "필기", ""))))</f>
        <v/>
      </c>
      <c r="AA8" s="82">
        <f>IF(AND(AA$6&lt;=DATE(YEAR($C$3)+1,4,10), DATE(YEAR($C$3)+1,4,10)&lt;=AA$6+6), "★실기", IF(AND(AA$6&lt;=DATE(YEAR($C$3)+1,2,15), DATE(YEAR($C$3)+1,2,15)&lt;=AA$6+6), "★필기", IF(AND(AA$6&lt;=DATE(YEAR($C$3)+1,4,10), AA$6+6&gt;=DATE(YEAR($C$3)+1,2,16)), "실기", IF(AND(AA$6&lt;=DATE(YEAR($C$3)+1,2,15), AA$6+6&gt;=DATE(YEAR($C$3),9,7)), "필기", ""))))</f>
        <v/>
      </c>
      <c r="AB8" s="82">
        <f>IF(AND(AB$6&lt;=DATE(YEAR($C$3)+1,4,10), DATE(YEAR($C$3)+1,4,10)&lt;=AB$6+6), "★실기", IF(AND(AB$6&lt;=DATE(YEAR($C$3)+1,2,15), DATE(YEAR($C$3)+1,2,15)&lt;=AB$6+6), "★필기", IF(AND(AB$6&lt;=DATE(YEAR($C$3)+1,4,10), AB$6+6&gt;=DATE(YEAR($C$3)+1,2,16)), "실기", IF(AND(AB$6&lt;=DATE(YEAR($C$3)+1,2,15), AB$6+6&gt;=DATE(YEAR($C$3),9,7)), "필기", ""))))</f>
        <v/>
      </c>
      <c r="AC8" s="82">
        <f>IF(AND(AC$6&lt;=DATE(YEAR($C$3)+1,4,10), DATE(YEAR($C$3)+1,4,10)&lt;=AC$6+6), "★실기", IF(AND(AC$6&lt;=DATE(YEAR($C$3)+1,2,15), DATE(YEAR($C$3)+1,2,15)&lt;=AC$6+6), "★필기", IF(AND(AC$6&lt;=DATE(YEAR($C$3)+1,4,10), AC$6+6&gt;=DATE(YEAR($C$3)+1,2,16)), "실기", IF(AND(AC$6&lt;=DATE(YEAR($C$3)+1,2,15), AC$6+6&gt;=DATE(YEAR($C$3),9,7)), "필기", ""))))</f>
        <v/>
      </c>
      <c r="AD8" s="82">
        <f>IF(AND(AD$6&lt;=DATE(YEAR($C$3)+1,4,10), DATE(YEAR($C$3)+1,4,10)&lt;=AD$6+6), "★실기", IF(AND(AD$6&lt;=DATE(YEAR($C$3)+1,2,15), DATE(YEAR($C$3)+1,2,15)&lt;=AD$6+6), "★필기", IF(AND(AD$6&lt;=DATE(YEAR($C$3)+1,4,10), AD$6+6&gt;=DATE(YEAR($C$3)+1,2,16)), "실기", IF(AND(AD$6&lt;=DATE(YEAR($C$3)+1,2,15), AD$6+6&gt;=DATE(YEAR($C$3),9,7)), "필기", ""))))</f>
        <v/>
      </c>
      <c r="AE8" s="82">
        <f>IF(AND(AE$6&lt;=DATE(YEAR($C$3)+1,4,10), DATE(YEAR($C$3)+1,4,10)&lt;=AE$6+6), "★실기", IF(AND(AE$6&lt;=DATE(YEAR($C$3)+1,2,15), DATE(YEAR($C$3)+1,2,15)&lt;=AE$6+6), "★필기", IF(AND(AE$6&lt;=DATE(YEAR($C$3)+1,4,10), AE$6+6&gt;=DATE(YEAR($C$3)+1,2,16)), "실기", IF(AND(AE$6&lt;=DATE(YEAR($C$3)+1,2,15), AE$6+6&gt;=DATE(YEAR($C$3),9,7)), "필기", ""))))</f>
        <v/>
      </c>
      <c r="AF8" s="82">
        <f>IF(AND(AF$6&lt;=DATE(YEAR($C$3)+1,4,10), DATE(YEAR($C$3)+1,4,10)&lt;=AF$6+6), "★실기", IF(AND(AF$6&lt;=DATE(YEAR($C$3)+1,2,15), DATE(YEAR($C$3)+1,2,15)&lt;=AF$6+6), "★필기", IF(AND(AF$6&lt;=DATE(YEAR($C$3)+1,4,10), AF$6+6&gt;=DATE(YEAR($C$3)+1,2,16)), "실기", IF(AND(AF$6&lt;=DATE(YEAR($C$3)+1,2,15), AF$6+6&gt;=DATE(YEAR($C$3),9,7)), "필기", ""))))</f>
        <v/>
      </c>
      <c r="AG8" s="82">
        <f>IF(AND(AG$6&lt;=DATE(YEAR($C$3)+1,4,10), DATE(YEAR($C$3)+1,4,10)&lt;=AG$6+6), "★실기", IF(AND(AG$6&lt;=DATE(YEAR($C$3)+1,2,15), DATE(YEAR($C$3)+1,2,15)&lt;=AG$6+6), "★필기", IF(AND(AG$6&lt;=DATE(YEAR($C$3)+1,4,10), AG$6+6&gt;=DATE(YEAR($C$3)+1,2,16)), "실기", IF(AND(AG$6&lt;=DATE(YEAR($C$3)+1,2,15), AG$6+6&gt;=DATE(YEAR($C$3),9,7)), "필기", ""))))</f>
        <v/>
      </c>
      <c r="AH8" s="82">
        <f>IF(AND(AH$6&lt;=DATE(YEAR($C$3)+1,4,10), DATE(YEAR($C$3)+1,4,10)&lt;=AH$6+6), "★실기", IF(AND(AH$6&lt;=DATE(YEAR($C$3)+1,2,15), DATE(YEAR($C$3)+1,2,15)&lt;=AH$6+6), "★필기", IF(AND(AH$6&lt;=DATE(YEAR($C$3)+1,4,10), AH$6+6&gt;=DATE(YEAR($C$3)+1,2,16)), "실기", IF(AND(AH$6&lt;=DATE(YEAR($C$3)+1,2,15), AH$6+6&gt;=DATE(YEAR($C$3),9,7)), "필기", ""))))</f>
        <v/>
      </c>
      <c r="AI8" s="82">
        <f>IF(AND(AI$6&lt;=DATE(YEAR($C$3)+1,4,10), DATE(YEAR($C$3)+1,4,10)&lt;=AI$6+6), "★실기", IF(AND(AI$6&lt;=DATE(YEAR($C$3)+1,2,15), DATE(YEAR($C$3)+1,2,15)&lt;=AI$6+6), "★필기", IF(AND(AI$6&lt;=DATE(YEAR($C$3)+1,4,10), AI$6+6&gt;=DATE(YEAR($C$3)+1,2,16)), "실기", IF(AND(AI$6&lt;=DATE(YEAR($C$3)+1,2,15), AI$6+6&gt;=DATE(YEAR($C$3),9,7)), "필기", ""))))</f>
        <v/>
      </c>
      <c r="AJ8" s="82">
        <f>IF(AND(AJ$6&lt;=DATE(YEAR($C$3)+1,4,10), DATE(YEAR($C$3)+1,4,10)&lt;=AJ$6+6), "★실기", IF(AND(AJ$6&lt;=DATE(YEAR($C$3)+1,2,15), DATE(YEAR($C$3)+1,2,15)&lt;=AJ$6+6), "★필기", IF(AND(AJ$6&lt;=DATE(YEAR($C$3)+1,4,10), AJ$6+6&gt;=DATE(YEAR($C$3)+1,2,16)), "실기", IF(AND(AJ$6&lt;=DATE(YEAR($C$3)+1,2,15), AJ$6+6&gt;=DATE(YEAR($C$3),9,7)), "필기", ""))))</f>
        <v/>
      </c>
      <c r="AK8" s="82">
        <f>IF(AND(AK$6&lt;=DATE(YEAR($C$3)+1,4,10), DATE(YEAR($C$3)+1,4,10)&lt;=AK$6+6), "★실기", IF(AND(AK$6&lt;=DATE(YEAR($C$3)+1,2,15), DATE(YEAR($C$3)+1,2,15)&lt;=AK$6+6), "★필기", IF(AND(AK$6&lt;=DATE(YEAR($C$3)+1,4,10), AK$6+6&gt;=DATE(YEAR($C$3)+1,2,16)), "실기", IF(AND(AK$6&lt;=DATE(YEAR($C$3)+1,2,15), AK$6+6&gt;=DATE(YEAR($C$3),9,7)), "필기", ""))))</f>
        <v/>
      </c>
      <c r="AL8" s="82">
        <f>IF(AND(AL$6&lt;=DATE(YEAR($C$3)+1,4,10), DATE(YEAR($C$3)+1,4,10)&lt;=AL$6+6), "★실기", IF(AND(AL$6&lt;=DATE(YEAR($C$3)+1,2,15), DATE(YEAR($C$3)+1,2,15)&lt;=AL$6+6), "★필기", IF(AND(AL$6&lt;=DATE(YEAR($C$3)+1,4,10), AL$6+6&gt;=DATE(YEAR($C$3)+1,2,16)), "실기", IF(AND(AL$6&lt;=DATE(YEAR($C$3)+1,2,15), AL$6+6&gt;=DATE(YEAR($C$3),9,7)), "필기", ""))))</f>
        <v/>
      </c>
      <c r="AM8" s="82">
        <f>IF(AND(AM$6&lt;=DATE(YEAR($C$3)+1,4,10), DATE(YEAR($C$3)+1,4,10)&lt;=AM$6+6), "★실기", IF(AND(AM$6&lt;=DATE(YEAR($C$3)+1,2,15), DATE(YEAR($C$3)+1,2,15)&lt;=AM$6+6), "★필기", IF(AND(AM$6&lt;=DATE(YEAR($C$3)+1,4,10), AM$6+6&gt;=DATE(YEAR($C$3)+1,2,16)), "실기", IF(AND(AM$6&lt;=DATE(YEAR($C$3)+1,2,15), AM$6+6&gt;=DATE(YEAR($C$3),9,7)), "필기", ""))))</f>
        <v/>
      </c>
      <c r="AN8" s="82">
        <f>IF(AND(AN$6&lt;=DATE(YEAR($C$3)+1,4,10), DATE(YEAR($C$3)+1,4,10)&lt;=AN$6+6), "★실기", IF(AND(AN$6&lt;=DATE(YEAR($C$3)+1,2,15), DATE(YEAR($C$3)+1,2,15)&lt;=AN$6+6), "★필기", IF(AND(AN$6&lt;=DATE(YEAR($C$3)+1,4,10), AN$6+6&gt;=DATE(YEAR($C$3)+1,2,16)), "실기", IF(AND(AN$6&lt;=DATE(YEAR($C$3)+1,2,15), AN$6+6&gt;=DATE(YEAR($C$3),9,7)), "필기", ""))))</f>
        <v/>
      </c>
      <c r="AO8" s="82">
        <f>IF(AND(AO$6&lt;=DATE(YEAR($C$3)+1,4,10), DATE(YEAR($C$3)+1,4,10)&lt;=AO$6+6), "★실기", IF(AND(AO$6&lt;=DATE(YEAR($C$3)+1,2,15), DATE(YEAR($C$3)+1,2,15)&lt;=AO$6+6), "★필기", IF(AND(AO$6&lt;=DATE(YEAR($C$3)+1,4,10), AO$6+6&gt;=DATE(YEAR($C$3)+1,2,16)), "실기", IF(AND(AO$6&lt;=DATE(YEAR($C$3)+1,2,15), AO$6+6&gt;=DATE(YEAR($C$3),9,7)), "필기", ""))))</f>
        <v/>
      </c>
      <c r="AP8" s="82">
        <f>IF(AND(AP$6&lt;=DATE(YEAR($C$3)+1,4,10), DATE(YEAR($C$3)+1,4,10)&lt;=AP$6+6), "★실기", IF(AND(AP$6&lt;=DATE(YEAR($C$3)+1,2,15), DATE(YEAR($C$3)+1,2,15)&lt;=AP$6+6), "★필기", IF(AND(AP$6&lt;=DATE(YEAR($C$3)+1,4,10), AP$6+6&gt;=DATE(YEAR($C$3)+1,2,16)), "실기", IF(AND(AP$6&lt;=DATE(YEAR($C$3)+1,2,15), AP$6+6&gt;=DATE(YEAR($C$3),9,7)), "필기", ""))))</f>
        <v/>
      </c>
      <c r="AQ8" s="82">
        <f>IF(AND(AQ$6&lt;=DATE(YEAR($C$3)+1,4,10), DATE(YEAR($C$3)+1,4,10)&lt;=AQ$6+6), "★실기", IF(AND(AQ$6&lt;=DATE(YEAR($C$3)+1,2,15), DATE(YEAR($C$3)+1,2,15)&lt;=AQ$6+6), "★필기", IF(AND(AQ$6&lt;=DATE(YEAR($C$3)+1,4,10), AQ$6+6&gt;=DATE(YEAR($C$3)+1,2,16)), "실기", IF(AND(AQ$6&lt;=DATE(YEAR($C$3)+1,2,15), AQ$6+6&gt;=DATE(YEAR($C$3),9,7)), "필기", ""))))</f>
        <v/>
      </c>
      <c r="AR8" s="82">
        <f>IF(AND(AR$6&lt;=DATE(YEAR($C$3)+1,4,10), DATE(YEAR($C$3)+1,4,10)&lt;=AR$6+6), "★실기", IF(AND(AR$6&lt;=DATE(YEAR($C$3)+1,2,15), DATE(YEAR($C$3)+1,2,15)&lt;=AR$6+6), "★필기", IF(AND(AR$6&lt;=DATE(YEAR($C$3)+1,4,10), AR$6+6&gt;=DATE(YEAR($C$3)+1,2,16)), "실기", IF(AND(AR$6&lt;=DATE(YEAR($C$3)+1,2,15), AR$6+6&gt;=DATE(YEAR($C$3),9,7)), "필기", ""))))</f>
        <v/>
      </c>
      <c r="AS8" s="82">
        <f>IF(AND(AS$6&lt;=DATE(YEAR($C$3)+1,4,10), DATE(YEAR($C$3)+1,4,10)&lt;=AS$6+6), "★실기", IF(AND(AS$6&lt;=DATE(YEAR($C$3)+1,2,15), DATE(YEAR($C$3)+1,2,15)&lt;=AS$6+6), "★필기", IF(AND(AS$6&lt;=DATE(YEAR($C$3)+1,4,10), AS$6+6&gt;=DATE(YEAR($C$3)+1,2,16)), "실기", IF(AND(AS$6&lt;=DATE(YEAR($C$3)+1,2,15), AS$6+6&gt;=DATE(YEAR($C$3),9,7)), "필기", ""))))</f>
        <v/>
      </c>
      <c r="AT8" s="82">
        <f>IF(AND(AT$6&lt;=DATE(YEAR($C$3)+1,4,10), DATE(YEAR($C$3)+1,4,10)&lt;=AT$6+6), "★실기", IF(AND(AT$6&lt;=DATE(YEAR($C$3)+1,2,15), DATE(YEAR($C$3)+1,2,15)&lt;=AT$6+6), "★필기", IF(AND(AT$6&lt;=DATE(YEAR($C$3)+1,4,10), AT$6+6&gt;=DATE(YEAR($C$3)+1,2,16)), "실기", IF(AND(AT$6&lt;=DATE(YEAR($C$3)+1,2,15), AT$6+6&gt;=DATE(YEAR($C$3),9,7)), "필기", ""))))</f>
        <v/>
      </c>
      <c r="AU8" s="82">
        <f>IF(AND(AU$6&lt;=DATE(YEAR($C$3)+1,4,10), DATE(YEAR($C$3)+1,4,10)&lt;=AU$6+6), "★실기", IF(AND(AU$6&lt;=DATE(YEAR($C$3)+1,2,15), DATE(YEAR($C$3)+1,2,15)&lt;=AU$6+6), "★필기", IF(AND(AU$6&lt;=DATE(YEAR($C$3)+1,4,10), AU$6+6&gt;=DATE(YEAR($C$3)+1,2,16)), "실기", IF(AND(AU$6&lt;=DATE(YEAR($C$3)+1,2,15), AU$6+6&gt;=DATE(YEAR($C$3),9,7)), "필기", ""))))</f>
        <v/>
      </c>
      <c r="AV8" s="82">
        <f>IF(AND(AV$6&lt;=DATE(YEAR($C$3)+1,4,10), DATE(YEAR($C$3)+1,4,10)&lt;=AV$6+6), "★실기", IF(AND(AV$6&lt;=DATE(YEAR($C$3)+1,2,15), DATE(YEAR($C$3)+1,2,15)&lt;=AV$6+6), "★필기", IF(AND(AV$6&lt;=DATE(YEAR($C$3)+1,4,10), AV$6+6&gt;=DATE(YEAR($C$3)+1,2,16)), "실기", IF(AND(AV$6&lt;=DATE(YEAR($C$3)+1,2,15), AV$6+6&gt;=DATE(YEAR($C$3),9,7)), "필기", ""))))</f>
        <v/>
      </c>
      <c r="AW8" s="82">
        <f>IF(AND(AW$6&lt;=DATE(YEAR($C$3)+1,4,10), DATE(YEAR($C$3)+1,4,10)&lt;=AW$6+6), "★실기", IF(AND(AW$6&lt;=DATE(YEAR($C$3)+1,2,15), DATE(YEAR($C$3)+1,2,15)&lt;=AW$6+6), "★필기", IF(AND(AW$6&lt;=DATE(YEAR($C$3)+1,4,10), AW$6+6&gt;=DATE(YEAR($C$3)+1,2,16)), "실기", IF(AND(AW$6&lt;=DATE(YEAR($C$3)+1,2,15), AW$6+6&gt;=DATE(YEAR($C$3),9,7)), "필기", ""))))</f>
        <v/>
      </c>
      <c r="AX8" s="82">
        <f>IF(AND(AX$6&lt;=DATE(YEAR($C$3)+1,4,10), DATE(YEAR($C$3)+1,4,10)&lt;=AX$6+6), "★실기", IF(AND(AX$6&lt;=DATE(YEAR($C$3)+1,2,15), DATE(YEAR($C$3)+1,2,15)&lt;=AX$6+6), "★필기", IF(AND(AX$6&lt;=DATE(YEAR($C$3)+1,4,10), AX$6+6&gt;=DATE(YEAR($C$3)+1,2,16)), "실기", IF(AND(AX$6&lt;=DATE(YEAR($C$3)+1,2,15), AX$6+6&gt;=DATE(YEAR($C$3),9,7)), "필기", ""))))</f>
        <v/>
      </c>
      <c r="AY8" s="82">
        <f>IF(AND(AY$6&lt;=DATE(YEAR($C$3)+1,4,10), DATE(YEAR($C$3)+1,4,10)&lt;=AY$6+6), "★실기", IF(AND(AY$6&lt;=DATE(YEAR($C$3)+1,2,15), DATE(YEAR($C$3)+1,2,15)&lt;=AY$6+6), "★필기", IF(AND(AY$6&lt;=DATE(YEAR($C$3)+1,4,10), AY$6+6&gt;=DATE(YEAR($C$3)+1,2,16)), "실기", IF(AND(AY$6&lt;=DATE(YEAR($C$3)+1,2,15), AY$6+6&gt;=DATE(YEAR($C$3),9,7)), "필기", ""))))</f>
        <v/>
      </c>
      <c r="AZ8" s="82">
        <f>IF(AND(AZ$6&lt;=DATE(YEAR($C$3)+1,4,10), DATE(YEAR($C$3)+1,4,10)&lt;=AZ$6+6), "★실기", IF(AND(AZ$6&lt;=DATE(YEAR($C$3)+1,2,15), DATE(YEAR($C$3)+1,2,15)&lt;=AZ$6+6), "★필기", IF(AND(AZ$6&lt;=DATE(YEAR($C$3)+1,4,10), AZ$6+6&gt;=DATE(YEAR($C$3)+1,2,16)), "실기", IF(AND(AZ$6&lt;=DATE(YEAR($C$3)+1,2,15), AZ$6+6&gt;=DATE(YEAR($C$3),9,7)), "필기", ""))))</f>
        <v/>
      </c>
      <c r="BA8" s="82">
        <f>IF(AND(BA$6&lt;=DATE(YEAR($C$3)+1,4,10), DATE(YEAR($C$3)+1,4,10)&lt;=BA$6+6), "★실기", IF(AND(BA$6&lt;=DATE(YEAR($C$3)+1,2,15), DATE(YEAR($C$3)+1,2,15)&lt;=BA$6+6), "★필기", IF(AND(BA$6&lt;=DATE(YEAR($C$3)+1,4,10), BA$6+6&gt;=DATE(YEAR($C$3)+1,2,16)), "실기", IF(AND(BA$6&lt;=DATE(YEAR($C$3)+1,2,15), BA$6+6&gt;=DATE(YEAR($C$3),9,7)), "필기", ""))))</f>
        <v/>
      </c>
      <c r="BB8" s="82">
        <f>IF(AND(BB$6&lt;=DATE(YEAR($C$3)+1,4,10), DATE(YEAR($C$3)+1,4,10)&lt;=BB$6+6), "★실기", IF(AND(BB$6&lt;=DATE(YEAR($C$3)+1,2,15), DATE(YEAR($C$3)+1,2,15)&lt;=BB$6+6), "★필기", IF(AND(BB$6&lt;=DATE(YEAR($C$3)+1,4,10), BB$6+6&gt;=DATE(YEAR($C$3)+1,2,16)), "실기", IF(AND(BB$6&lt;=DATE(YEAR($C$3)+1,2,15), BB$6+6&gt;=DATE(YEAR($C$3),9,7)), "필기", ""))))</f>
        <v/>
      </c>
      <c r="BC8" s="82">
        <f>IF(AND(BC$6&lt;=DATE(YEAR($C$3)+1,4,10), DATE(YEAR($C$3)+1,4,10)&lt;=BC$6+6), "★실기", IF(AND(BC$6&lt;=DATE(YEAR($C$3)+1,2,15), DATE(YEAR($C$3)+1,2,15)&lt;=BC$6+6), "★필기", IF(AND(BC$6&lt;=DATE(YEAR($C$3)+1,4,10), BC$6+6&gt;=DATE(YEAR($C$3)+1,2,16)), "실기", IF(AND(BC$6&lt;=DATE(YEAR($C$3)+1,2,15), BC$6+6&gt;=DATE(YEAR($C$3),9,7)), "필기", ""))))</f>
        <v/>
      </c>
      <c r="BD8" s="82">
        <f>IF(AND(BD$6&lt;=DATE(YEAR($C$3)+1,4,10), DATE(YEAR($C$3)+1,4,10)&lt;=BD$6+6), "★실기", IF(AND(BD$6&lt;=DATE(YEAR($C$3)+1,2,15), DATE(YEAR($C$3)+1,2,15)&lt;=BD$6+6), "★필기", IF(AND(BD$6&lt;=DATE(YEAR($C$3)+1,4,10), BD$6+6&gt;=DATE(YEAR($C$3)+1,2,16)), "실기", IF(AND(BD$6&lt;=DATE(YEAR($C$3)+1,2,15), BD$6+6&gt;=DATE(YEAR($C$3),9,7)), "필기", ""))))</f>
        <v/>
      </c>
      <c r="BE8" s="82">
        <f>IF(AND(BE$6&lt;=DATE(YEAR($C$3)+1,4,10), DATE(YEAR($C$3)+1,4,10)&lt;=BE$6+6), "★실기", IF(AND(BE$6&lt;=DATE(YEAR($C$3)+1,2,15), DATE(YEAR($C$3)+1,2,15)&lt;=BE$6+6), "★필기", IF(AND(BE$6&lt;=DATE(YEAR($C$3)+1,4,10), BE$6+6&gt;=DATE(YEAR($C$3)+1,2,16)), "실기", IF(AND(BE$6&lt;=DATE(YEAR($C$3)+1,2,15), BE$6+6&gt;=DATE(YEAR($C$3),9,7)), "필기", ""))))</f>
        <v/>
      </c>
      <c r="BF8" s="83">
        <f>IF(AND(BF$6&lt;=DATE(YEAR($C$3)+1,4,10), DATE(YEAR($C$3)+1,4,10)&lt;=BF$6+6), "★실기", IF(AND(BF$6&lt;=DATE(YEAR($C$3)+1,2,15), DATE(YEAR($C$3)+1,2,15)&lt;=BF$6+6), "★필기", IF(AND(BF$6&lt;=DATE(YEAR($C$3)+1,4,10), BF$6+6&gt;=DATE(YEAR($C$3)+1,2,16)), "실기", IF(AND(BF$6&lt;=DATE(YEAR($C$3)+1,2,15), BF$6+6&gt;=DATE(YEAR($C$3),9,7)), "필기", ""))))</f>
        <v/>
      </c>
    </row>
    <row r="9" ht="24" customHeight="1" s="209">
      <c r="A9" s="84" t="inlineStr">
        <is>
          <t>🗣️ 토스</t>
        </is>
      </c>
      <c r="B9" s="72" t="inlineStr">
        <is>
          <t>토익스피킹 IH ~ AL 취득</t>
        </is>
      </c>
      <c r="C9" s="73">
        <f>DATE(YEAR($C$3)+1, 4, 11)</f>
        <v/>
      </c>
      <c r="D9" s="74">
        <f>DATE(YEAR($C$3)+1, 4, 30)</f>
        <v/>
      </c>
      <c r="E9" s="74">
        <f>INT((D9-C9)/7)+1 &amp; "주 (" &amp; (D9-C9+1) &amp; "일)"</f>
        <v/>
      </c>
      <c r="F9" s="85">
        <f>IF(AND(F$6&lt;=DATE(YEAR($C$3)+1,4,30), DATE(YEAR($C$3)+1,4,30)&lt;=F$6+6), "★토스", IF(AND(F$6&lt;=DATE(YEAR($C$3)+1,4,30), F$6+6&gt;=DATE(YEAR($C$3)+1,4,11)), "토스", ""))</f>
        <v/>
      </c>
      <c r="G9" s="82">
        <f>IF(AND(G$6&lt;=DATE(YEAR($C$3)+1,4,30), DATE(YEAR($C$3)+1,4,30)&lt;=G$6+6), "★토스", IF(AND(G$6&lt;=DATE(YEAR($C$3)+1,4,30), G$6+6&gt;=DATE(YEAR($C$3)+1,4,11)), "토스", ""))</f>
        <v/>
      </c>
      <c r="H9" s="82">
        <f>IF(AND(H$6&lt;=DATE(YEAR($C$3)+1,4,30), DATE(YEAR($C$3)+1,4,30)&lt;=H$6+6), "★토스", IF(AND(H$6&lt;=DATE(YEAR($C$3)+1,4,30), H$6+6&gt;=DATE(YEAR($C$3)+1,4,11)), "토스", ""))</f>
        <v/>
      </c>
      <c r="I9" s="86">
        <f>IF(AND(I$6&lt;=DATE(YEAR($C$3)+1,4,30), DATE(YEAR($C$3)+1,4,30)&lt;=I$6+6), "★토스", IF(AND(I$6&lt;=DATE(YEAR($C$3)+1,4,30), I$6+6&gt;=DATE(YEAR($C$3)+1,4,11)), "토스", ""))</f>
        <v/>
      </c>
      <c r="J9" s="82">
        <f>IF(AND(J$6&lt;=DATE(YEAR($C$3)+1,4,30), DATE(YEAR($C$3)+1,4,30)&lt;=J$6+6), "★토스", IF(AND(J$6&lt;=DATE(YEAR($C$3)+1,4,30), J$6+6&gt;=DATE(YEAR($C$3)+1,4,11)), "토스", ""))</f>
        <v/>
      </c>
      <c r="K9" s="82">
        <f>IF(AND(K$6&lt;=DATE(YEAR($C$3)+1,4,30), DATE(YEAR($C$3)+1,4,30)&lt;=K$6+6), "★토스", IF(AND(K$6&lt;=DATE(YEAR($C$3)+1,4,30), K$6+6&gt;=DATE(YEAR($C$3)+1,4,11)), "토스", ""))</f>
        <v/>
      </c>
      <c r="L9" s="82">
        <f>IF(AND(L$6&lt;=DATE(YEAR($C$3)+1,4,30), DATE(YEAR($C$3)+1,4,30)&lt;=L$6+6), "★토스", IF(AND(L$6&lt;=DATE(YEAR($C$3)+1,4,30), L$6+6&gt;=DATE(YEAR($C$3)+1,4,11)), "토스", ""))</f>
        <v/>
      </c>
      <c r="M9" s="82">
        <f>IF(AND(M$6&lt;=DATE(YEAR($C$3)+1,4,30), DATE(YEAR($C$3)+1,4,30)&lt;=M$6+6), "★토스", IF(AND(M$6&lt;=DATE(YEAR($C$3)+1,4,30), M$6+6&gt;=DATE(YEAR($C$3)+1,4,11)), "토스", ""))</f>
        <v/>
      </c>
      <c r="N9" s="82">
        <f>IF(AND(N$6&lt;=DATE(YEAR($C$3)+1,4,30), DATE(YEAR($C$3)+1,4,30)&lt;=N$6+6), "★토스", IF(AND(N$6&lt;=DATE(YEAR($C$3)+1,4,30), N$6+6&gt;=DATE(YEAR($C$3)+1,4,11)), "토스", ""))</f>
        <v/>
      </c>
      <c r="O9" s="82">
        <f>IF(AND(O$6&lt;=DATE(YEAR($C$3)+1,4,30), DATE(YEAR($C$3)+1,4,30)&lt;=O$6+6), "★토스", IF(AND(O$6&lt;=DATE(YEAR($C$3)+1,4,30), O$6+6&gt;=DATE(YEAR($C$3)+1,4,11)), "토스", ""))</f>
        <v/>
      </c>
      <c r="P9" s="82">
        <f>IF(AND(P$6&lt;=DATE(YEAR($C$3)+1,4,30), DATE(YEAR($C$3)+1,4,30)&lt;=P$6+6), "★토스", IF(AND(P$6&lt;=DATE(YEAR($C$3)+1,4,30), P$6+6&gt;=DATE(YEAR($C$3)+1,4,11)), "토스", ""))</f>
        <v/>
      </c>
      <c r="Q9" s="82">
        <f>IF(AND(Q$6&lt;=DATE(YEAR($C$3)+1,4,30), DATE(YEAR($C$3)+1,4,30)&lt;=Q$6+6), "★토스", IF(AND(Q$6&lt;=DATE(YEAR($C$3)+1,4,30), Q$6+6&gt;=DATE(YEAR($C$3)+1,4,11)), "토스", ""))</f>
        <v/>
      </c>
      <c r="R9" s="82">
        <f>IF(AND(R$6&lt;=DATE(YEAR($C$3)+1,4,30), DATE(YEAR($C$3)+1,4,30)&lt;=R$6+6), "★토스", IF(AND(R$6&lt;=DATE(YEAR($C$3)+1,4,30), R$6+6&gt;=DATE(YEAR($C$3)+1,4,11)), "토스", ""))</f>
        <v/>
      </c>
      <c r="S9" s="82">
        <f>IF(AND(S$6&lt;=DATE(YEAR($C$3)+1,4,30), DATE(YEAR($C$3)+1,4,30)&lt;=S$6+6), "★토스", IF(AND(S$6&lt;=DATE(YEAR($C$3)+1,4,30), S$6+6&gt;=DATE(YEAR($C$3)+1,4,11)), "토스", ""))</f>
        <v/>
      </c>
      <c r="T9" s="82">
        <f>IF(AND(T$6&lt;=DATE(YEAR($C$3)+1,4,30), DATE(YEAR($C$3)+1,4,30)&lt;=T$6+6), "★토스", IF(AND(T$6&lt;=DATE(YEAR($C$3)+1,4,30), T$6+6&gt;=DATE(YEAR($C$3)+1,4,11)), "토스", ""))</f>
        <v/>
      </c>
      <c r="U9" s="82">
        <f>IF(AND(U$6&lt;=DATE(YEAR($C$3)+1,4,30), DATE(YEAR($C$3)+1,4,30)&lt;=U$6+6), "★토스", IF(AND(U$6&lt;=DATE(YEAR($C$3)+1,4,30), U$6+6&gt;=DATE(YEAR($C$3)+1,4,11)), "토스", ""))</f>
        <v/>
      </c>
      <c r="V9" s="82">
        <f>IF(AND(V$6&lt;=DATE(YEAR($C$3)+1,4,30), DATE(YEAR($C$3)+1,4,30)&lt;=V$6+6), "★토스", IF(AND(V$6&lt;=DATE(YEAR($C$3)+1,4,30), V$6+6&gt;=DATE(YEAR($C$3)+1,4,11)), "토스", ""))</f>
        <v/>
      </c>
      <c r="W9" s="82">
        <f>IF(AND(W$6&lt;=DATE(YEAR($C$3)+1,4,30), DATE(YEAR($C$3)+1,4,30)&lt;=W$6+6), "★토스", IF(AND(W$6&lt;=DATE(YEAR($C$3)+1,4,30), W$6+6&gt;=DATE(YEAR($C$3)+1,4,11)), "토스", ""))</f>
        <v/>
      </c>
      <c r="X9" s="82">
        <f>IF(AND(X$6&lt;=DATE(YEAR($C$3)+1,4,30), DATE(YEAR($C$3)+1,4,30)&lt;=X$6+6), "★토스", IF(AND(X$6&lt;=DATE(YEAR($C$3)+1,4,30), X$6+6&gt;=DATE(YEAR($C$3)+1,4,11)), "토스", ""))</f>
        <v/>
      </c>
      <c r="Y9" s="82">
        <f>IF(AND(Y$6&lt;=DATE(YEAR($C$3)+1,4,30), DATE(YEAR($C$3)+1,4,30)&lt;=Y$6+6), "★토스", IF(AND(Y$6&lt;=DATE(YEAR($C$3)+1,4,30), Y$6+6&gt;=DATE(YEAR($C$3)+1,4,11)), "토스", ""))</f>
        <v/>
      </c>
      <c r="Z9" s="82">
        <f>IF(AND(Z$6&lt;=DATE(YEAR($C$3)+1,4,30), DATE(YEAR($C$3)+1,4,30)&lt;=Z$6+6), "★토스", IF(AND(Z$6&lt;=DATE(YEAR($C$3)+1,4,30), Z$6+6&gt;=DATE(YEAR($C$3)+1,4,11)), "토스", ""))</f>
        <v/>
      </c>
      <c r="AA9" s="82">
        <f>IF(AND(AA$6&lt;=DATE(YEAR($C$3)+1,4,30), DATE(YEAR($C$3)+1,4,30)&lt;=AA$6+6), "★토스", IF(AND(AA$6&lt;=DATE(YEAR($C$3)+1,4,30), AA$6+6&gt;=DATE(YEAR($C$3)+1,4,11)), "토스", ""))</f>
        <v/>
      </c>
      <c r="AB9" s="82">
        <f>IF(AND(AB$6&lt;=DATE(YEAR($C$3)+1,4,30), DATE(YEAR($C$3)+1,4,30)&lt;=AB$6+6), "★토스", IF(AND(AB$6&lt;=DATE(YEAR($C$3)+1,4,30), AB$6+6&gt;=DATE(YEAR($C$3)+1,4,11)), "토스", ""))</f>
        <v/>
      </c>
      <c r="AC9" s="82">
        <f>IF(AND(AC$6&lt;=DATE(YEAR($C$3)+1,4,30), DATE(YEAR($C$3)+1,4,30)&lt;=AC$6+6), "★토스", IF(AND(AC$6&lt;=DATE(YEAR($C$3)+1,4,30), AC$6+6&gt;=DATE(YEAR($C$3)+1,4,11)), "토스", ""))</f>
        <v/>
      </c>
      <c r="AD9" s="82">
        <f>IF(AND(AD$6&lt;=DATE(YEAR($C$3)+1,4,30), DATE(YEAR($C$3)+1,4,30)&lt;=AD$6+6), "★토스", IF(AND(AD$6&lt;=DATE(YEAR($C$3)+1,4,30), AD$6+6&gt;=DATE(YEAR($C$3)+1,4,11)), "토스", ""))</f>
        <v/>
      </c>
      <c r="AE9" s="82">
        <f>IF(AND(AE$6&lt;=DATE(YEAR($C$3)+1,4,30), DATE(YEAR($C$3)+1,4,30)&lt;=AE$6+6), "★토스", IF(AND(AE$6&lt;=DATE(YEAR($C$3)+1,4,30), AE$6+6&gt;=DATE(YEAR($C$3)+1,4,11)), "토스", ""))</f>
        <v/>
      </c>
      <c r="AF9" s="82">
        <f>IF(AND(AF$6&lt;=DATE(YEAR($C$3)+1,4,30), DATE(YEAR($C$3)+1,4,30)&lt;=AF$6+6), "★토스", IF(AND(AF$6&lt;=DATE(YEAR($C$3)+1,4,30), AF$6+6&gt;=DATE(YEAR($C$3)+1,4,11)), "토스", ""))</f>
        <v/>
      </c>
      <c r="AG9" s="82">
        <f>IF(AND(AG$6&lt;=DATE(YEAR($C$3)+1,4,30), DATE(YEAR($C$3)+1,4,30)&lt;=AG$6+6), "★토스", IF(AND(AG$6&lt;=DATE(YEAR($C$3)+1,4,30), AG$6+6&gt;=DATE(YEAR($C$3)+1,4,11)), "토스", ""))</f>
        <v/>
      </c>
      <c r="AH9" s="82">
        <f>IF(AND(AH$6&lt;=DATE(YEAR($C$3)+1,4,30), DATE(YEAR($C$3)+1,4,30)&lt;=AH$6+6), "★토스", IF(AND(AH$6&lt;=DATE(YEAR($C$3)+1,4,30), AH$6+6&gt;=DATE(YEAR($C$3)+1,4,11)), "토스", ""))</f>
        <v/>
      </c>
      <c r="AI9" s="82">
        <f>IF(AND(AI$6&lt;=DATE(YEAR($C$3)+1,4,30), DATE(YEAR($C$3)+1,4,30)&lt;=AI$6+6), "★토스", IF(AND(AI$6&lt;=DATE(YEAR($C$3)+1,4,30), AI$6+6&gt;=DATE(YEAR($C$3)+1,4,11)), "토스", ""))</f>
        <v/>
      </c>
      <c r="AJ9" s="82">
        <f>IF(AND(AJ$6&lt;=DATE(YEAR($C$3)+1,4,30), DATE(YEAR($C$3)+1,4,30)&lt;=AJ$6+6), "★토스", IF(AND(AJ$6&lt;=DATE(YEAR($C$3)+1,4,30), AJ$6+6&gt;=DATE(YEAR($C$3)+1,4,11)), "토스", ""))</f>
        <v/>
      </c>
      <c r="AK9" s="82">
        <f>IF(AND(AK$6&lt;=DATE(YEAR($C$3)+1,4,30), DATE(YEAR($C$3)+1,4,30)&lt;=AK$6+6), "★토스", IF(AND(AK$6&lt;=DATE(YEAR($C$3)+1,4,30), AK$6+6&gt;=DATE(YEAR($C$3)+1,4,11)), "토스", ""))</f>
        <v/>
      </c>
      <c r="AL9" s="82">
        <f>IF(AND(AL$6&lt;=DATE(YEAR($C$3)+1,4,30), DATE(YEAR($C$3)+1,4,30)&lt;=AL$6+6), "★토스", IF(AND(AL$6&lt;=DATE(YEAR($C$3)+1,4,30), AL$6+6&gt;=DATE(YEAR($C$3)+1,4,11)), "토스", ""))</f>
        <v/>
      </c>
      <c r="AM9" s="82">
        <f>IF(AND(AM$6&lt;=DATE(YEAR($C$3)+1,4,30), DATE(YEAR($C$3)+1,4,30)&lt;=AM$6+6), "★토스", IF(AND(AM$6&lt;=DATE(YEAR($C$3)+1,4,30), AM$6+6&gt;=DATE(YEAR($C$3)+1,4,11)), "토스", ""))</f>
        <v/>
      </c>
      <c r="AN9" s="82">
        <f>IF(AND(AN$6&lt;=DATE(YEAR($C$3)+1,4,30), DATE(YEAR($C$3)+1,4,30)&lt;=AN$6+6), "★토스", IF(AND(AN$6&lt;=DATE(YEAR($C$3)+1,4,30), AN$6+6&gt;=DATE(YEAR($C$3)+1,4,11)), "토스", ""))</f>
        <v/>
      </c>
      <c r="AO9" s="82">
        <f>IF(AND(AO$6&lt;=DATE(YEAR($C$3)+1,4,30), DATE(YEAR($C$3)+1,4,30)&lt;=AO$6+6), "★토스", IF(AND(AO$6&lt;=DATE(YEAR($C$3)+1,4,30), AO$6+6&gt;=DATE(YEAR($C$3)+1,4,11)), "토스", ""))</f>
        <v/>
      </c>
      <c r="AP9" s="82">
        <f>IF(AND(AP$6&lt;=DATE(YEAR($C$3)+1,4,30), DATE(YEAR($C$3)+1,4,30)&lt;=AP$6+6), "★토스", IF(AND(AP$6&lt;=DATE(YEAR($C$3)+1,4,30), AP$6+6&gt;=DATE(YEAR($C$3)+1,4,11)), "토스", ""))</f>
        <v/>
      </c>
      <c r="AQ9" s="82">
        <f>IF(AND(AQ$6&lt;=DATE(YEAR($C$3)+1,4,30), DATE(YEAR($C$3)+1,4,30)&lt;=AQ$6+6), "★토스", IF(AND(AQ$6&lt;=DATE(YEAR($C$3)+1,4,30), AQ$6+6&gt;=DATE(YEAR($C$3)+1,4,11)), "토스", ""))</f>
        <v/>
      </c>
      <c r="AR9" s="82">
        <f>IF(AND(AR$6&lt;=DATE(YEAR($C$3)+1,4,30), DATE(YEAR($C$3)+1,4,30)&lt;=AR$6+6), "★토스", IF(AND(AR$6&lt;=DATE(YEAR($C$3)+1,4,30), AR$6+6&gt;=DATE(YEAR($C$3)+1,4,11)), "토스", ""))</f>
        <v/>
      </c>
      <c r="AS9" s="82">
        <f>IF(AND(AS$6&lt;=DATE(YEAR($C$3)+1,4,30), DATE(YEAR($C$3)+1,4,30)&lt;=AS$6+6), "★토스", IF(AND(AS$6&lt;=DATE(YEAR($C$3)+1,4,30), AS$6+6&gt;=DATE(YEAR($C$3)+1,4,11)), "토스", ""))</f>
        <v/>
      </c>
      <c r="AT9" s="82">
        <f>IF(AND(AT$6&lt;=DATE(YEAR($C$3)+1,4,30), DATE(YEAR($C$3)+1,4,30)&lt;=AT$6+6), "★토스", IF(AND(AT$6&lt;=DATE(YEAR($C$3)+1,4,30), AT$6+6&gt;=DATE(YEAR($C$3)+1,4,11)), "토스", ""))</f>
        <v/>
      </c>
      <c r="AU9" s="82">
        <f>IF(AND(AU$6&lt;=DATE(YEAR($C$3)+1,4,30), DATE(YEAR($C$3)+1,4,30)&lt;=AU$6+6), "★토스", IF(AND(AU$6&lt;=DATE(YEAR($C$3)+1,4,30), AU$6+6&gt;=DATE(YEAR($C$3)+1,4,11)), "토스", ""))</f>
        <v/>
      </c>
      <c r="AV9" s="82">
        <f>IF(AND(AV$6&lt;=DATE(YEAR($C$3)+1,4,30), DATE(YEAR($C$3)+1,4,30)&lt;=AV$6+6), "★토스", IF(AND(AV$6&lt;=DATE(YEAR($C$3)+1,4,30), AV$6+6&gt;=DATE(YEAR($C$3)+1,4,11)), "토스", ""))</f>
        <v/>
      </c>
      <c r="AW9" s="82">
        <f>IF(AND(AW$6&lt;=DATE(YEAR($C$3)+1,4,30), DATE(YEAR($C$3)+1,4,30)&lt;=AW$6+6), "★토스", IF(AND(AW$6&lt;=DATE(YEAR($C$3)+1,4,30), AW$6+6&gt;=DATE(YEAR($C$3)+1,4,11)), "토스", ""))</f>
        <v/>
      </c>
      <c r="AX9" s="82">
        <f>IF(AND(AX$6&lt;=DATE(YEAR($C$3)+1,4,30), DATE(YEAR($C$3)+1,4,30)&lt;=AX$6+6), "★토스", IF(AND(AX$6&lt;=DATE(YEAR($C$3)+1,4,30), AX$6+6&gt;=DATE(YEAR($C$3)+1,4,11)), "토스", ""))</f>
        <v/>
      </c>
      <c r="AY9" s="82">
        <f>IF(AND(AY$6&lt;=DATE(YEAR($C$3)+1,4,30), DATE(YEAR($C$3)+1,4,30)&lt;=AY$6+6), "★토스", IF(AND(AY$6&lt;=DATE(YEAR($C$3)+1,4,30), AY$6+6&gt;=DATE(YEAR($C$3)+1,4,11)), "토스", ""))</f>
        <v/>
      </c>
      <c r="AZ9" s="82">
        <f>IF(AND(AZ$6&lt;=DATE(YEAR($C$3)+1,4,30), DATE(YEAR($C$3)+1,4,30)&lt;=AZ$6+6), "★토스", IF(AND(AZ$6&lt;=DATE(YEAR($C$3)+1,4,30), AZ$6+6&gt;=DATE(YEAR($C$3)+1,4,11)), "토스", ""))</f>
        <v/>
      </c>
      <c r="BA9" s="82">
        <f>IF(AND(BA$6&lt;=DATE(YEAR($C$3)+1,4,30), DATE(YEAR($C$3)+1,4,30)&lt;=BA$6+6), "★토스", IF(AND(BA$6&lt;=DATE(YEAR($C$3)+1,4,30), BA$6+6&gt;=DATE(YEAR($C$3)+1,4,11)), "토스", ""))</f>
        <v/>
      </c>
      <c r="BB9" s="82">
        <f>IF(AND(BB$6&lt;=DATE(YEAR($C$3)+1,4,30), DATE(YEAR($C$3)+1,4,30)&lt;=BB$6+6), "★토스", IF(AND(BB$6&lt;=DATE(YEAR($C$3)+1,4,30), BB$6+6&gt;=DATE(YEAR($C$3)+1,4,11)), "토스", ""))</f>
        <v/>
      </c>
      <c r="BC9" s="82">
        <f>IF(AND(BC$6&lt;=DATE(YEAR($C$3)+1,4,30), DATE(YEAR($C$3)+1,4,30)&lt;=BC$6+6), "★토스", IF(AND(BC$6&lt;=DATE(YEAR($C$3)+1,4,30), BC$6+6&gt;=DATE(YEAR($C$3)+1,4,11)), "토스", ""))</f>
        <v/>
      </c>
      <c r="BD9" s="82">
        <f>IF(AND(BD$6&lt;=DATE(YEAR($C$3)+1,4,30), DATE(YEAR($C$3)+1,4,30)&lt;=BD$6+6), "★토스", IF(AND(BD$6&lt;=DATE(YEAR($C$3)+1,4,30), BD$6+6&gt;=DATE(YEAR($C$3)+1,4,11)), "토스", ""))</f>
        <v/>
      </c>
      <c r="BE9" s="82">
        <f>IF(AND(BE$6&lt;=DATE(YEAR($C$3)+1,4,30), DATE(YEAR($C$3)+1,4,30)&lt;=BE$6+6), "★토스", IF(AND(BE$6&lt;=DATE(YEAR($C$3)+1,4,30), BE$6+6&gt;=DATE(YEAR($C$3)+1,4,11)), "토스", ""))</f>
        <v/>
      </c>
      <c r="BF9" s="87" t="n"/>
    </row>
    <row r="10" ht="24" customHeight="1" s="209">
      <c r="A10" s="88" t="inlineStr">
        <is>
          <t>📖 토익</t>
        </is>
      </c>
      <c r="B10" s="72" t="inlineStr">
        <is>
          <t>토익 850+ 종결</t>
        </is>
      </c>
      <c r="C10" s="73">
        <f>DATE(YEAR($C$3)+1, 5, 1)</f>
        <v/>
      </c>
      <c r="D10" s="74">
        <f>DATE(YEAR($C$3)+1, 5, 31)</f>
        <v/>
      </c>
      <c r="E10" s="74">
        <f>INT((D10-C10)/7)+1 &amp; "주 (" &amp; (D10-C10+1) &amp; "일)"</f>
        <v/>
      </c>
      <c r="F10" s="89">
        <f>IF(AND(F$6&lt;=DATE(YEAR($C$3)+1,5,31), DATE(YEAR($C$3)+1,5,31)&lt;=F$6+6), "★토익", IF(AND(F$6&lt;=DATE(YEAR($C$3)+1,5,31), F$6+6&gt;=DATE(YEAR($C$3)+1,5,1)), "토익", ""))</f>
        <v/>
      </c>
      <c r="G10" s="82">
        <f>IF(AND(G$6&lt;=DATE(YEAR($C$3)+1,5,31), DATE(YEAR($C$3)+1,5,31)&lt;=G$6+6), "★토익", IF(AND(G$6&lt;=DATE(YEAR($C$3)+1,5,31), G$6+6&gt;=DATE(YEAR($C$3)+1,5,1)), "토익", ""))</f>
        <v/>
      </c>
      <c r="H10" s="82">
        <f>IF(AND(H$6&lt;=DATE(YEAR($C$3)+1,5,31), DATE(YEAR($C$3)+1,5,31)&lt;=H$6+6), "★토익", IF(AND(H$6&lt;=DATE(YEAR($C$3)+1,5,31), H$6+6&gt;=DATE(YEAR($C$3)+1,5,1)), "토익", ""))</f>
        <v/>
      </c>
      <c r="I10" s="82">
        <f>IF(AND(I$6&lt;=DATE(YEAR($C$3)+1,5,31), DATE(YEAR($C$3)+1,5,31)&lt;=I$6+6), "★토익", IF(AND(I$6&lt;=DATE(YEAR($C$3)+1,5,31), I$6+6&gt;=DATE(YEAR($C$3)+1,5,1)), "토익", ""))</f>
        <v/>
      </c>
      <c r="J10" s="82">
        <f>IF(AND(J$6&lt;=DATE(YEAR($C$3)+1,5,31), DATE(YEAR($C$3)+1,5,31)&lt;=J$6+6), "★토익", IF(AND(J$6&lt;=DATE(YEAR($C$3)+1,5,31), J$6+6&gt;=DATE(YEAR($C$3)+1,5,1)), "토익", ""))</f>
        <v/>
      </c>
      <c r="K10" s="82">
        <f>IF(AND(K$6&lt;=DATE(YEAR($C$3)+1,5,31), DATE(YEAR($C$3)+1,5,31)&lt;=K$6+6), "★토익", IF(AND(K$6&lt;=DATE(YEAR($C$3)+1,5,31), K$6+6&gt;=DATE(YEAR($C$3)+1,5,1)), "토익", ""))</f>
        <v/>
      </c>
      <c r="L10" s="82">
        <f>IF(AND(L$6&lt;=DATE(YEAR($C$3)+1,5,31), DATE(YEAR($C$3)+1,5,31)&lt;=L$6+6), "★토익", IF(AND(L$6&lt;=DATE(YEAR($C$3)+1,5,31), L$6+6&gt;=DATE(YEAR($C$3)+1,5,1)), "토익", ""))</f>
        <v/>
      </c>
      <c r="M10" s="82">
        <f>IF(AND(M$6&lt;=DATE(YEAR($C$3)+1,5,31), DATE(YEAR($C$3)+1,5,31)&lt;=M$6+6), "★토익", IF(AND(M$6&lt;=DATE(YEAR($C$3)+1,5,31), M$6+6&gt;=DATE(YEAR($C$3)+1,5,1)), "토익", ""))</f>
        <v/>
      </c>
      <c r="N10" s="82">
        <f>IF(AND(N$6&lt;=DATE(YEAR($C$3)+1,5,31), DATE(YEAR($C$3)+1,5,31)&lt;=N$6+6), "★토익", IF(AND(N$6&lt;=DATE(YEAR($C$3)+1,5,31), N$6+6&gt;=DATE(YEAR($C$3)+1,5,1)), "토익", ""))</f>
        <v/>
      </c>
      <c r="O10" s="82">
        <f>IF(AND(O$6&lt;=DATE(YEAR($C$3)+1,5,31), DATE(YEAR($C$3)+1,5,31)&lt;=O$6+6), "★토익", IF(AND(O$6&lt;=DATE(YEAR($C$3)+1,5,31), O$6+6&gt;=DATE(YEAR($C$3)+1,5,1)), "토익", ""))</f>
        <v/>
      </c>
      <c r="P10" s="82">
        <f>IF(AND(P$6&lt;=DATE(YEAR($C$3)+1,5,31), DATE(YEAR($C$3)+1,5,31)&lt;=P$6+6), "★토익", IF(AND(P$6&lt;=DATE(YEAR($C$3)+1,5,31), P$6+6&gt;=DATE(YEAR($C$3)+1,5,1)), "토익", ""))</f>
        <v/>
      </c>
      <c r="Q10" s="82">
        <f>IF(AND(Q$6&lt;=DATE(YEAR($C$3)+1,5,31), DATE(YEAR($C$3)+1,5,31)&lt;=Q$6+6), "★토익", IF(AND(Q$6&lt;=DATE(YEAR($C$3)+1,5,31), Q$6+6&gt;=DATE(YEAR($C$3)+1,5,1)), "토익", ""))</f>
        <v/>
      </c>
      <c r="R10" s="82">
        <f>IF(AND(R$6&lt;=DATE(YEAR($C$3)+1,5,31), DATE(YEAR($C$3)+1,5,31)&lt;=R$6+6), "★토익", IF(AND(R$6&lt;=DATE(YEAR($C$3)+1,5,31), R$6+6&gt;=DATE(YEAR($C$3)+1,5,1)), "토익", ""))</f>
        <v/>
      </c>
      <c r="S10" s="82">
        <f>IF(AND(S$6&lt;=DATE(YEAR($C$3)+1,5,31), DATE(YEAR($C$3)+1,5,31)&lt;=S$6+6), "★토익", IF(AND(S$6&lt;=DATE(YEAR($C$3)+1,5,31), S$6+6&gt;=DATE(YEAR($C$3)+1,5,1)), "토익", ""))</f>
        <v/>
      </c>
      <c r="T10" s="82">
        <f>IF(AND(T$6&lt;=DATE(YEAR($C$3)+1,5,31), DATE(YEAR($C$3)+1,5,31)&lt;=T$6+6), "★토익", IF(AND(T$6&lt;=DATE(YEAR($C$3)+1,5,31), T$6+6&gt;=DATE(YEAR($C$3)+1,5,1)), "토익", ""))</f>
        <v/>
      </c>
      <c r="U10" s="82">
        <f>IF(AND(U$6&lt;=DATE(YEAR($C$3)+1,5,31), DATE(YEAR($C$3)+1,5,31)&lt;=U$6+6), "★토익", IF(AND(U$6&lt;=DATE(YEAR($C$3)+1,5,31), U$6+6&gt;=DATE(YEAR($C$3)+1,5,1)), "토익", ""))</f>
        <v/>
      </c>
      <c r="V10" s="82">
        <f>IF(AND(V$6&lt;=DATE(YEAR($C$3)+1,5,31), DATE(YEAR($C$3)+1,5,31)&lt;=V$6+6), "★토익", IF(AND(V$6&lt;=DATE(YEAR($C$3)+1,5,31), V$6+6&gt;=DATE(YEAR($C$3)+1,5,1)), "토익", ""))</f>
        <v/>
      </c>
      <c r="W10" s="82">
        <f>IF(AND(W$6&lt;=DATE(YEAR($C$3)+1,5,31), DATE(YEAR($C$3)+1,5,31)&lt;=W$6+6), "★토익", IF(AND(W$6&lt;=DATE(YEAR($C$3)+1,5,31), W$6+6&gt;=DATE(YEAR($C$3)+1,5,1)), "토익", ""))</f>
        <v/>
      </c>
      <c r="X10" s="82">
        <f>IF(AND(X$6&lt;=DATE(YEAR($C$3)+1,5,31), DATE(YEAR($C$3)+1,5,31)&lt;=X$6+6), "★토익", IF(AND(X$6&lt;=DATE(YEAR($C$3)+1,5,31), X$6+6&gt;=DATE(YEAR($C$3)+1,5,1)), "토익", ""))</f>
        <v/>
      </c>
      <c r="Y10" s="82">
        <f>IF(AND(Y$6&lt;=DATE(YEAR($C$3)+1,5,31), DATE(YEAR($C$3)+1,5,31)&lt;=Y$6+6), "★토익", IF(AND(Y$6&lt;=DATE(YEAR($C$3)+1,5,31), Y$6+6&gt;=DATE(YEAR($C$3)+1,5,1)), "토익", ""))</f>
        <v/>
      </c>
      <c r="Z10" s="82">
        <f>IF(AND(Z$6&lt;=DATE(YEAR($C$3)+1,5,31), DATE(YEAR($C$3)+1,5,31)&lt;=Z$6+6), "★토익", IF(AND(Z$6&lt;=DATE(YEAR($C$3)+1,5,31), Z$6+6&gt;=DATE(YEAR($C$3)+1,5,1)), "토익", ""))</f>
        <v/>
      </c>
      <c r="AA10" s="82">
        <f>IF(AND(AA$6&lt;=DATE(YEAR($C$3)+1,5,31), DATE(YEAR($C$3)+1,5,31)&lt;=AA$6+6), "★토익", IF(AND(AA$6&lt;=DATE(YEAR($C$3)+1,5,31), AA$6+6&gt;=DATE(YEAR($C$3)+1,5,1)), "토익", ""))</f>
        <v/>
      </c>
      <c r="AB10" s="82">
        <f>IF(AND(AB$6&lt;=DATE(YEAR($C$3)+1,5,31), DATE(YEAR($C$3)+1,5,31)&lt;=AB$6+6), "★토익", IF(AND(AB$6&lt;=DATE(YEAR($C$3)+1,5,31), AB$6+6&gt;=DATE(YEAR($C$3)+1,5,1)), "토익", ""))</f>
        <v/>
      </c>
      <c r="AC10" s="82">
        <f>IF(AND(AC$6&lt;=DATE(YEAR($C$3)+1,5,31), DATE(YEAR($C$3)+1,5,31)&lt;=AC$6+6), "★토익", IF(AND(AC$6&lt;=DATE(YEAR($C$3)+1,5,31), AC$6+6&gt;=DATE(YEAR($C$3)+1,5,1)), "토익", ""))</f>
        <v/>
      </c>
      <c r="AD10" s="82">
        <f>IF(AND(AD$6&lt;=DATE(YEAR($C$3)+1,5,31), DATE(YEAR($C$3)+1,5,31)&lt;=AD$6+6), "★토익", IF(AND(AD$6&lt;=DATE(YEAR($C$3)+1,5,31), AD$6+6&gt;=DATE(YEAR($C$3)+1,5,1)), "토익", ""))</f>
        <v/>
      </c>
      <c r="AE10" s="82">
        <f>IF(AND(AE$6&lt;=DATE(YEAR($C$3)+1,5,31), DATE(YEAR($C$3)+1,5,31)&lt;=AE$6+6), "★토익", IF(AND(AE$6&lt;=DATE(YEAR($C$3)+1,5,31), AE$6+6&gt;=DATE(YEAR($C$3)+1,5,1)), "토익", ""))</f>
        <v/>
      </c>
      <c r="AF10" s="82">
        <f>IF(AND(AF$6&lt;=DATE(YEAR($C$3)+1,5,31), DATE(YEAR($C$3)+1,5,31)&lt;=AF$6+6), "★토익", IF(AND(AF$6&lt;=DATE(YEAR($C$3)+1,5,31), AF$6+6&gt;=DATE(YEAR($C$3)+1,5,1)), "토익", ""))</f>
        <v/>
      </c>
      <c r="AG10" s="82">
        <f>IF(AND(AG$6&lt;=DATE(YEAR($C$3)+1,5,31), DATE(YEAR($C$3)+1,5,31)&lt;=AG$6+6), "★토익", IF(AND(AG$6&lt;=DATE(YEAR($C$3)+1,5,31), AG$6+6&gt;=DATE(YEAR($C$3)+1,5,1)), "토익", ""))</f>
        <v/>
      </c>
      <c r="AH10" s="82">
        <f>IF(AND(AH$6&lt;=DATE(YEAR($C$3)+1,5,31), DATE(YEAR($C$3)+1,5,31)&lt;=AH$6+6), "★토익", IF(AND(AH$6&lt;=DATE(YEAR($C$3)+1,5,31), AH$6+6&gt;=DATE(YEAR($C$3)+1,5,1)), "토익", ""))</f>
        <v/>
      </c>
      <c r="AI10" s="82">
        <f>IF(AND(AI$6&lt;=DATE(YEAR($C$3)+1,5,31), DATE(YEAR($C$3)+1,5,31)&lt;=AI$6+6), "★토익", IF(AND(AI$6&lt;=DATE(YEAR($C$3)+1,5,31), AI$6+6&gt;=DATE(YEAR($C$3)+1,5,1)), "토익", ""))</f>
        <v/>
      </c>
      <c r="AJ10" s="82">
        <f>IF(AND(AJ$6&lt;=DATE(YEAR($C$3)+1,5,31), DATE(YEAR($C$3)+1,5,31)&lt;=AJ$6+6), "★토익", IF(AND(AJ$6&lt;=DATE(YEAR($C$3)+1,5,31), AJ$6+6&gt;=DATE(YEAR($C$3)+1,5,1)), "토익", ""))</f>
        <v/>
      </c>
      <c r="AK10" s="82">
        <f>IF(AND(AK$6&lt;=DATE(YEAR($C$3)+1,5,31), DATE(YEAR($C$3)+1,5,31)&lt;=AK$6+6), "★토익", IF(AND(AK$6&lt;=DATE(YEAR($C$3)+1,5,31), AK$6+6&gt;=DATE(YEAR($C$3)+1,5,1)), "토익", ""))</f>
        <v/>
      </c>
      <c r="AL10" s="82">
        <f>IF(AND(AL$6&lt;=DATE(YEAR($C$3)+1,5,31), DATE(YEAR($C$3)+1,5,31)&lt;=AL$6+6), "★토익", IF(AND(AL$6&lt;=DATE(YEAR($C$3)+1,5,31), AL$6+6&gt;=DATE(YEAR($C$3)+1,5,1)), "토익", ""))</f>
        <v/>
      </c>
      <c r="AM10" s="82">
        <f>IF(AND(AM$6&lt;=DATE(YEAR($C$3)+1,5,31), DATE(YEAR($C$3)+1,5,31)&lt;=AM$6+6), "★토익", IF(AND(AM$6&lt;=DATE(YEAR($C$3)+1,5,31), AM$6+6&gt;=DATE(YEAR($C$3)+1,5,1)), "토익", ""))</f>
        <v/>
      </c>
      <c r="AN10" s="82">
        <f>IF(AND(AN$6&lt;=DATE(YEAR($C$3)+1,5,31), DATE(YEAR($C$3)+1,5,31)&lt;=AN$6+6), "★토익", IF(AND(AN$6&lt;=DATE(YEAR($C$3)+1,5,31), AN$6+6&gt;=DATE(YEAR($C$3)+1,5,1)), "토익", ""))</f>
        <v/>
      </c>
      <c r="AO10" s="82">
        <f>IF(AND(AO$6&lt;=DATE(YEAR($C$3)+1,5,31), DATE(YEAR($C$3)+1,5,31)&lt;=AO$6+6), "★토익", IF(AND(AO$6&lt;=DATE(YEAR($C$3)+1,5,31), AO$6+6&gt;=DATE(YEAR($C$3)+1,5,1)), "토익", ""))</f>
        <v/>
      </c>
      <c r="AP10" s="82">
        <f>IF(AND(AP$6&lt;=DATE(YEAR($C$3)+1,5,31), DATE(YEAR($C$3)+1,5,31)&lt;=AP$6+6), "★토익", IF(AND(AP$6&lt;=DATE(YEAR($C$3)+1,5,31), AP$6+6&gt;=DATE(YEAR($C$3)+1,5,1)), "토익", ""))</f>
        <v/>
      </c>
      <c r="AQ10" s="82">
        <f>IF(AND(AQ$6&lt;=DATE(YEAR($C$3)+1,5,31), DATE(YEAR($C$3)+1,5,31)&lt;=AQ$6+6), "★토익", IF(AND(AQ$6&lt;=DATE(YEAR($C$3)+1,5,31), AQ$6+6&gt;=DATE(YEAR($C$3)+1,5,1)), "토익", ""))</f>
        <v/>
      </c>
      <c r="AR10" s="82">
        <f>IF(AND(AR$6&lt;=DATE(YEAR($C$3)+1,5,31), DATE(YEAR($C$3)+1,5,31)&lt;=AR$6+6), "★토익", IF(AND(AR$6&lt;=DATE(YEAR($C$3)+1,5,31), AR$6+6&gt;=DATE(YEAR($C$3)+1,5,1)), "토익", ""))</f>
        <v/>
      </c>
      <c r="AS10" s="82">
        <f>IF(AND(AS$6&lt;=DATE(YEAR($C$3)+1,5,31), DATE(YEAR($C$3)+1,5,31)&lt;=AS$6+6), "★토익", IF(AND(AS$6&lt;=DATE(YEAR($C$3)+1,5,31), AS$6+6&gt;=DATE(YEAR($C$3)+1,5,1)), "토익", ""))</f>
        <v/>
      </c>
      <c r="AT10" s="82">
        <f>IF(AND(AT$6&lt;=DATE(YEAR($C$3)+1,5,31), DATE(YEAR($C$3)+1,5,31)&lt;=AT$6+6), "★토익", IF(AND(AT$6&lt;=DATE(YEAR($C$3)+1,5,31), AT$6+6&gt;=DATE(YEAR($C$3)+1,5,1)), "토익", ""))</f>
        <v/>
      </c>
      <c r="AU10" s="82">
        <f>IF(AND(AU$6&lt;=DATE(YEAR($C$3)+1,5,31), DATE(YEAR($C$3)+1,5,31)&lt;=AU$6+6), "★토익", IF(AND(AU$6&lt;=DATE(YEAR($C$3)+1,5,31), AU$6+6&gt;=DATE(YEAR($C$3)+1,5,1)), "토익", ""))</f>
        <v/>
      </c>
      <c r="AV10" s="82">
        <f>IF(AND(AV$6&lt;=DATE(YEAR($C$3)+1,5,31), DATE(YEAR($C$3)+1,5,31)&lt;=AV$6+6), "★토익", IF(AND(AV$6&lt;=DATE(YEAR($C$3)+1,5,31), AV$6+6&gt;=DATE(YEAR($C$3)+1,5,1)), "토익", ""))</f>
        <v/>
      </c>
      <c r="AW10" s="82">
        <f>IF(AND(AW$6&lt;=DATE(YEAR($C$3)+1,5,31), DATE(YEAR($C$3)+1,5,31)&lt;=AW$6+6), "★토익", IF(AND(AW$6&lt;=DATE(YEAR($C$3)+1,5,31), AW$6+6&gt;=DATE(YEAR($C$3)+1,5,1)), "토익", ""))</f>
        <v/>
      </c>
      <c r="AX10" s="82">
        <f>IF(AND(AX$6&lt;=DATE(YEAR($C$3)+1,5,31), DATE(YEAR($C$3)+1,5,31)&lt;=AX$6+6), "★토익", IF(AND(AX$6&lt;=DATE(YEAR($C$3)+1,5,31), AX$6+6&gt;=DATE(YEAR($C$3)+1,5,1)), "토익", ""))</f>
        <v/>
      </c>
      <c r="AY10" s="82">
        <f>IF(AND(AY$6&lt;=DATE(YEAR($C$3)+1,5,31), DATE(YEAR($C$3)+1,5,31)&lt;=AY$6+6), "★토익", IF(AND(AY$6&lt;=DATE(YEAR($C$3)+1,5,31), AY$6+6&gt;=DATE(YEAR($C$3)+1,5,1)), "토익", ""))</f>
        <v/>
      </c>
      <c r="AZ10" s="82">
        <f>IF(AND(AZ$6&lt;=DATE(YEAR($C$3)+1,5,31), DATE(YEAR($C$3)+1,5,31)&lt;=AZ$6+6), "★토익", IF(AND(AZ$6&lt;=DATE(YEAR($C$3)+1,5,31), AZ$6+6&gt;=DATE(YEAR($C$3)+1,5,1)), "토익", ""))</f>
        <v/>
      </c>
      <c r="BA10" s="82">
        <f>IF(AND(BA$6&lt;=DATE(YEAR($C$3)+1,5,31), DATE(YEAR($C$3)+1,5,31)&lt;=BA$6+6), "★토익", IF(AND(BA$6&lt;=DATE(YEAR($C$3)+1,5,31), BA$6+6&gt;=DATE(YEAR($C$3)+1,5,1)), "토익", ""))</f>
        <v/>
      </c>
      <c r="BB10" s="82">
        <f>IF(AND(BB$6&lt;=DATE(YEAR($C$3)+1,5,31), DATE(YEAR($C$3)+1,5,31)&lt;=BB$6+6), "★토익", IF(AND(BB$6&lt;=DATE(YEAR($C$3)+1,5,31), BB$6+6&gt;=DATE(YEAR($C$3)+1,5,1)), "토익", ""))</f>
        <v/>
      </c>
      <c r="BC10" s="82">
        <f>IF(AND(BC$6&lt;=DATE(YEAR($C$3)+1,5,31), DATE(YEAR($C$3)+1,5,31)&lt;=BC$6+6), "★토익", IF(AND(BC$6&lt;=DATE(YEAR($C$3)+1,5,31), BC$6+6&gt;=DATE(YEAR($C$3)+1,5,1)), "토익", ""))</f>
        <v/>
      </c>
      <c r="BD10" s="82">
        <f>IF(AND(BD$6&lt;=DATE(YEAR($C$3)+1,5,31), DATE(YEAR($C$3)+1,5,31)&lt;=BD$6+6), "★토익", IF(AND(BD$6&lt;=DATE(YEAR($C$3)+1,5,31), BD$6+6&gt;=DATE(YEAR($C$3)+1,5,1)), "토익", ""))</f>
        <v/>
      </c>
      <c r="BE10" s="82">
        <f>IF(AND(BE$6&lt;=DATE(YEAR($C$3)+1,5,31), DATE(YEAR($C$3)+1,5,31)&lt;=BE$6+6), "★토익", IF(AND(BE$6&lt;=DATE(YEAR($C$3)+1,5,31), BE$6+6&gt;=DATE(YEAR($C$3)+1,5,1)), "토익", ""))</f>
        <v/>
      </c>
      <c r="BF10" s="90" t="n"/>
    </row>
    <row r="11" ht="24" customHeight="1" s="209">
      <c r="A11" s="91" t="n">
        <v>5</v>
      </c>
      <c r="B11" s="92" t="inlineStr">
        <is>
          <t>📊 빅분기</t>
        </is>
      </c>
      <c r="C11" s="94" t="inlineStr">
        <is>
          <t>빅데이터분석기사 동차 합격 (기출 10회 ➡️ Python 실기)</t>
        </is>
      </c>
      <c r="D11" s="95" t="inlineStr">
        <is>
          <t>2027.03.01</t>
        </is>
      </c>
      <c r="E11" s="95" t="inlineStr">
        <is>
          <t>2027.06.19</t>
        </is>
      </c>
      <c r="F11" s="91" t="inlineStr">
        <is>
          <t>16주</t>
        </is>
      </c>
      <c r="G11" s="63">
        <f>IF(AND(G$6&lt;=DATE(YEAR($C$3)+1,6,19), DATE(YEAR($C$3)+1,6,19)&lt;=G$6+6), "★실기", IF(AND(G$6&lt;=DATE(YEAR($C$3)+1,4,3), DATE(YEAR($C$3)+1,4,3)&lt;=G$6+6), "★필기", IF(AND(G$6&lt;=DATE(YEAR($C$3)+1,6,19), G$6+6&gt;=DATE(YEAR($C$3)+1,4,11)), "실기", IF(AND(G$6&lt;=DATE(YEAR($C$3)+1,4,3), G$6+6&gt;=DATE(YEAR($C$3)+1,3,1)), "필기", ""))))</f>
        <v/>
      </c>
      <c r="H11" s="63">
        <f>IF(AND(H$6&lt;=DATE(YEAR($C$3)+1,6,19), DATE(YEAR($C$3)+1,6,19)&lt;=H$6+6), "★실기", IF(AND(H$6&lt;=DATE(YEAR($C$3)+1,4,3), DATE(YEAR($C$3)+1,4,3)&lt;=H$6+6), "★필기", IF(AND(H$6&lt;=DATE(YEAR($C$3)+1,6,19), H$6+6&gt;=DATE(YEAR($C$3)+1,4,11)), "실기", IF(AND(H$6&lt;=DATE(YEAR($C$3)+1,4,3), H$6+6&gt;=DATE(YEAR($C$3)+1,3,1)), "필기", ""))))</f>
        <v/>
      </c>
      <c r="I11" s="96">
        <f>IF(AND(I$6&lt;=DATE(YEAR($C$3)+1,6,19), DATE(YEAR($C$3)+1,6,19)&lt;=I$6+6), "★실기", IF(AND(I$6&lt;=DATE(YEAR($C$3)+1,4,3), DATE(YEAR($C$3)+1,4,3)&lt;=I$6+6), "★필기", IF(AND(I$6&lt;=DATE(YEAR($C$3)+1,6,19), I$6+6&gt;=DATE(YEAR($C$3)+1,4,11)), "실기", IF(AND(I$6&lt;=DATE(YEAR($C$3)+1,4,3), I$6+6&gt;=DATE(YEAR($C$3)+1,3,1)), "필기", ""))))</f>
        <v/>
      </c>
      <c r="J11" s="63">
        <f>IF(AND(J$6&lt;=DATE(YEAR($C$3)+1,6,19), DATE(YEAR($C$3)+1,6,19)&lt;=J$6+6), "★실기", IF(AND(J$6&lt;=DATE(YEAR($C$3)+1,4,3), DATE(YEAR($C$3)+1,4,3)&lt;=J$6+6), "★필기", IF(AND(J$6&lt;=DATE(YEAR($C$3)+1,6,19), J$6+6&gt;=DATE(YEAR($C$3)+1,4,11)), "실기", IF(AND(J$6&lt;=DATE(YEAR($C$3)+1,4,3), J$6+6&gt;=DATE(YEAR($C$3)+1,3,1)), "필기", ""))))</f>
        <v/>
      </c>
      <c r="K11" s="63">
        <f>IF(AND(K$6&lt;=DATE(YEAR($C$3)+1,6,19), DATE(YEAR($C$3)+1,6,19)&lt;=K$6+6), "★실기", IF(AND(K$6&lt;=DATE(YEAR($C$3)+1,4,3), DATE(YEAR($C$3)+1,4,3)&lt;=K$6+6), "★필기", IF(AND(K$6&lt;=DATE(YEAR($C$3)+1,6,19), K$6+6&gt;=DATE(YEAR($C$3)+1,4,11)), "실기", IF(AND(K$6&lt;=DATE(YEAR($C$3)+1,4,3), K$6+6&gt;=DATE(YEAR($C$3)+1,3,1)), "필기", ""))))</f>
        <v/>
      </c>
      <c r="L11" s="63">
        <f>IF(AND(L$6&lt;=DATE(YEAR($C$3)+1,6,19), DATE(YEAR($C$3)+1,6,19)&lt;=L$6+6), "★실기", IF(AND(L$6&lt;=DATE(YEAR($C$3)+1,4,3), DATE(YEAR($C$3)+1,4,3)&lt;=L$6+6), "★필기", IF(AND(L$6&lt;=DATE(YEAR($C$3)+1,6,19), L$6+6&gt;=DATE(YEAR($C$3)+1,4,11)), "실기", IF(AND(L$6&lt;=DATE(YEAR($C$3)+1,4,3), L$6+6&gt;=DATE(YEAR($C$3)+1,3,1)), "필기", ""))))</f>
        <v/>
      </c>
      <c r="M11" s="63">
        <f>IF(AND(M$6&lt;=DATE(YEAR($C$3)+1,6,19), DATE(YEAR($C$3)+1,6,19)&lt;=M$6+6), "★실기", IF(AND(M$6&lt;=DATE(YEAR($C$3)+1,4,3), DATE(YEAR($C$3)+1,4,3)&lt;=M$6+6), "★필기", IF(AND(M$6&lt;=DATE(YEAR($C$3)+1,6,19), M$6+6&gt;=DATE(YEAR($C$3)+1,4,11)), "실기", IF(AND(M$6&lt;=DATE(YEAR($C$3)+1,4,3), M$6+6&gt;=DATE(YEAR($C$3)+1,3,1)), "필기", ""))))</f>
        <v/>
      </c>
      <c r="N11" s="63">
        <f>IF(AND(N$6&lt;=DATE(YEAR($C$3)+1,6,19), DATE(YEAR($C$3)+1,6,19)&lt;=N$6+6), "★실기", IF(AND(N$6&lt;=DATE(YEAR($C$3)+1,4,3), DATE(YEAR($C$3)+1,4,3)&lt;=N$6+6), "★필기", IF(AND(N$6&lt;=DATE(YEAR($C$3)+1,6,19), N$6+6&gt;=DATE(YEAR($C$3)+1,4,11)), "실기", IF(AND(N$6&lt;=DATE(YEAR($C$3)+1,4,3), N$6+6&gt;=DATE(YEAR($C$3)+1,3,1)), "필기", ""))))</f>
        <v/>
      </c>
      <c r="O11" s="63">
        <f>IF(AND(O$6&lt;=DATE(YEAR($C$3)+1,6,19), DATE(YEAR($C$3)+1,6,19)&lt;=O$6+6), "★실기", IF(AND(O$6&lt;=DATE(YEAR($C$3)+1,4,3), DATE(YEAR($C$3)+1,4,3)&lt;=O$6+6), "★필기", IF(AND(O$6&lt;=DATE(YEAR($C$3)+1,6,19), O$6+6&gt;=DATE(YEAR($C$3)+1,4,11)), "실기", IF(AND(O$6&lt;=DATE(YEAR($C$3)+1,4,3), O$6+6&gt;=DATE(YEAR($C$3)+1,3,1)), "필기", ""))))</f>
        <v/>
      </c>
      <c r="P11" s="63">
        <f>IF(AND(P$6&lt;=DATE(YEAR($C$3)+1,6,19), DATE(YEAR($C$3)+1,6,19)&lt;=P$6+6), "★실기", IF(AND(P$6&lt;=DATE(YEAR($C$3)+1,4,3), DATE(YEAR($C$3)+1,4,3)&lt;=P$6+6), "★필기", IF(AND(P$6&lt;=DATE(YEAR($C$3)+1,6,19), P$6+6&gt;=DATE(YEAR($C$3)+1,4,11)), "실기", IF(AND(P$6&lt;=DATE(YEAR($C$3)+1,4,3), P$6+6&gt;=DATE(YEAR($C$3)+1,3,1)), "필기", ""))))</f>
        <v/>
      </c>
      <c r="Q11" s="63">
        <f>IF(AND(Q$6&lt;=DATE(YEAR($C$3)+1,6,19), DATE(YEAR($C$3)+1,6,19)&lt;=Q$6+6), "★실기", IF(AND(Q$6&lt;=DATE(YEAR($C$3)+1,4,3), DATE(YEAR($C$3)+1,4,3)&lt;=Q$6+6), "★필기", IF(AND(Q$6&lt;=DATE(YEAR($C$3)+1,6,19), Q$6+6&gt;=DATE(YEAR($C$3)+1,4,11)), "실기", IF(AND(Q$6&lt;=DATE(YEAR($C$3)+1,4,3), Q$6+6&gt;=DATE(YEAR($C$3)+1,3,1)), "필기", ""))))</f>
        <v/>
      </c>
      <c r="R11" s="63">
        <f>IF(AND(R$6&lt;=DATE(YEAR($C$3)+1,6,19), DATE(YEAR($C$3)+1,6,19)&lt;=R$6+6), "★실기", IF(AND(R$6&lt;=DATE(YEAR($C$3)+1,4,3), DATE(YEAR($C$3)+1,4,3)&lt;=R$6+6), "★필기", IF(AND(R$6&lt;=DATE(YEAR($C$3)+1,6,19), R$6+6&gt;=DATE(YEAR($C$3)+1,4,11)), "실기", IF(AND(R$6&lt;=DATE(YEAR($C$3)+1,4,3), R$6+6&gt;=DATE(YEAR($C$3)+1,3,1)), "필기", ""))))</f>
        <v/>
      </c>
      <c r="S11" s="63">
        <f>IF(AND(S$6&lt;=DATE(YEAR($C$3)+1,6,19), DATE(YEAR($C$3)+1,6,19)&lt;=S$6+6), "★실기", IF(AND(S$6&lt;=DATE(YEAR($C$3)+1,4,3), DATE(YEAR($C$3)+1,4,3)&lt;=S$6+6), "★필기", IF(AND(S$6&lt;=DATE(YEAR($C$3)+1,6,19), S$6+6&gt;=DATE(YEAR($C$3)+1,4,11)), "실기", IF(AND(S$6&lt;=DATE(YEAR($C$3)+1,4,3), S$6+6&gt;=DATE(YEAR($C$3)+1,3,1)), "필기", ""))))</f>
        <v/>
      </c>
      <c r="T11" s="63">
        <f>IF(AND(T$6&lt;=DATE(YEAR($C$3)+1,6,19), DATE(YEAR($C$3)+1,6,19)&lt;=T$6+6), "★실기", IF(AND(T$6&lt;=DATE(YEAR($C$3)+1,4,3), DATE(YEAR($C$3)+1,4,3)&lt;=T$6+6), "★필기", IF(AND(T$6&lt;=DATE(YEAR($C$3)+1,6,19), T$6+6&gt;=DATE(YEAR($C$3)+1,4,11)), "실기", IF(AND(T$6&lt;=DATE(YEAR($C$3)+1,4,3), T$6+6&gt;=DATE(YEAR($C$3)+1,3,1)), "필기", ""))))</f>
        <v/>
      </c>
      <c r="U11" s="63">
        <f>IF(AND(U$6&lt;=DATE(YEAR($C$3)+1,6,19), DATE(YEAR($C$3)+1,6,19)&lt;=U$6+6), "★실기", IF(AND(U$6&lt;=DATE(YEAR($C$3)+1,4,3), DATE(YEAR($C$3)+1,4,3)&lt;=U$6+6), "★필기", IF(AND(U$6&lt;=DATE(YEAR($C$3)+1,6,19), U$6+6&gt;=DATE(YEAR($C$3)+1,4,11)), "실기", IF(AND(U$6&lt;=DATE(YEAR($C$3)+1,4,3), U$6+6&gt;=DATE(YEAR($C$3)+1,3,1)), "필기", ""))))</f>
        <v/>
      </c>
      <c r="V11" s="63">
        <f>IF(AND(V$6&lt;=DATE(YEAR($C$3)+1,6,19), DATE(YEAR($C$3)+1,6,19)&lt;=V$6+6), "★실기", IF(AND(V$6&lt;=DATE(YEAR($C$3)+1,4,3), DATE(YEAR($C$3)+1,4,3)&lt;=V$6+6), "★필기", IF(AND(V$6&lt;=DATE(YEAR($C$3)+1,6,19), V$6+6&gt;=DATE(YEAR($C$3)+1,4,11)), "실기", IF(AND(V$6&lt;=DATE(YEAR($C$3)+1,4,3), V$6+6&gt;=DATE(YEAR($C$3)+1,3,1)), "필기", ""))))</f>
        <v/>
      </c>
      <c r="W11" s="63">
        <f>IF(AND(W$6&lt;=DATE(YEAR($C$3)+1,6,19), DATE(YEAR($C$3)+1,6,19)&lt;=W$6+6), "★실기", IF(AND(W$6&lt;=DATE(YEAR($C$3)+1,4,3), DATE(YEAR($C$3)+1,4,3)&lt;=W$6+6), "★필기", IF(AND(W$6&lt;=DATE(YEAR($C$3)+1,6,19), W$6+6&gt;=DATE(YEAR($C$3)+1,4,11)), "실기", IF(AND(W$6&lt;=DATE(YEAR($C$3)+1,4,3), W$6+6&gt;=DATE(YEAR($C$3)+1,3,1)), "필기", ""))))</f>
        <v/>
      </c>
      <c r="X11" s="63">
        <f>IF(AND(X$6&lt;=DATE(YEAR($C$3)+1,6,19), DATE(YEAR($C$3)+1,6,19)&lt;=X$6+6), "★실기", IF(AND(X$6&lt;=DATE(YEAR($C$3)+1,4,3), DATE(YEAR($C$3)+1,4,3)&lt;=X$6+6), "★필기", IF(AND(X$6&lt;=DATE(YEAR($C$3)+1,6,19), X$6+6&gt;=DATE(YEAR($C$3)+1,4,11)), "실기", IF(AND(X$6&lt;=DATE(YEAR($C$3)+1,4,3), X$6+6&gt;=DATE(YEAR($C$3)+1,3,1)), "필기", ""))))</f>
        <v/>
      </c>
      <c r="Y11" s="63">
        <f>IF(AND(Y$6&lt;=DATE(YEAR($C$3)+1,6,19), DATE(YEAR($C$3)+1,6,19)&lt;=Y$6+6), "★실기", IF(AND(Y$6&lt;=DATE(YEAR($C$3)+1,4,3), DATE(YEAR($C$3)+1,4,3)&lt;=Y$6+6), "★필기", IF(AND(Y$6&lt;=DATE(YEAR($C$3)+1,6,19), Y$6+6&gt;=DATE(YEAR($C$3)+1,4,11)), "실기", IF(AND(Y$6&lt;=DATE(YEAR($C$3)+1,4,3), Y$6+6&gt;=DATE(YEAR($C$3)+1,3,1)), "필기", ""))))</f>
        <v/>
      </c>
      <c r="Z11" s="63">
        <f>IF(AND(Z$6&lt;=DATE(YEAR($C$3)+1,6,19), DATE(YEAR($C$3)+1,6,19)&lt;=Z$6+6), "★실기", IF(AND(Z$6&lt;=DATE(YEAR($C$3)+1,4,3), DATE(YEAR($C$3)+1,4,3)&lt;=Z$6+6), "★필기", IF(AND(Z$6&lt;=DATE(YEAR($C$3)+1,6,19), Z$6+6&gt;=DATE(YEAR($C$3)+1,4,11)), "실기", IF(AND(Z$6&lt;=DATE(YEAR($C$3)+1,4,3), Z$6+6&gt;=DATE(YEAR($C$3)+1,3,1)), "필기", ""))))</f>
        <v/>
      </c>
      <c r="AA11" s="63">
        <f>IF(AND(AA$6&lt;=DATE(YEAR($C$3)+1,6,19), DATE(YEAR($C$3)+1,6,19)&lt;=AA$6+6), "★실기", IF(AND(AA$6&lt;=DATE(YEAR($C$3)+1,4,3), DATE(YEAR($C$3)+1,4,3)&lt;=AA$6+6), "★필기", IF(AND(AA$6&lt;=DATE(YEAR($C$3)+1,6,19), AA$6+6&gt;=DATE(YEAR($C$3)+1,4,11)), "실기", IF(AND(AA$6&lt;=DATE(YEAR($C$3)+1,4,3), AA$6+6&gt;=DATE(YEAR($C$3)+1,3,1)), "필기", ""))))</f>
        <v/>
      </c>
      <c r="AB11" s="63">
        <f>IF(AND(AB$6&lt;=DATE(YEAR($C$3)+1,6,19), DATE(YEAR($C$3)+1,6,19)&lt;=AB$6+6), "★실기", IF(AND(AB$6&lt;=DATE(YEAR($C$3)+1,4,3), DATE(YEAR($C$3)+1,4,3)&lt;=AB$6+6), "★필기", IF(AND(AB$6&lt;=DATE(YEAR($C$3)+1,6,19), AB$6+6&gt;=DATE(YEAR($C$3)+1,4,11)), "실기", IF(AND(AB$6&lt;=DATE(YEAR($C$3)+1,4,3), AB$6+6&gt;=DATE(YEAR($C$3)+1,3,1)), "필기", ""))))</f>
        <v/>
      </c>
      <c r="AC11" s="63">
        <f>IF(AND(AC$6&lt;=DATE(YEAR($C$3)+1,6,19), DATE(YEAR($C$3)+1,6,19)&lt;=AC$6+6), "★실기", IF(AND(AC$6&lt;=DATE(YEAR($C$3)+1,4,3), DATE(YEAR($C$3)+1,4,3)&lt;=AC$6+6), "★필기", IF(AND(AC$6&lt;=DATE(YEAR($C$3)+1,6,19), AC$6+6&gt;=DATE(YEAR($C$3)+1,4,11)), "실기", IF(AND(AC$6&lt;=DATE(YEAR($C$3)+1,4,3), AC$6+6&gt;=DATE(YEAR($C$3)+1,3,1)), "필기", ""))))</f>
        <v/>
      </c>
      <c r="AD11" s="63">
        <f>IF(AND(AD$6&lt;=DATE(YEAR($C$3)+1,6,19), DATE(YEAR($C$3)+1,6,19)&lt;=AD$6+6), "★실기", IF(AND(AD$6&lt;=DATE(YEAR($C$3)+1,4,3), DATE(YEAR($C$3)+1,4,3)&lt;=AD$6+6), "★필기", IF(AND(AD$6&lt;=DATE(YEAR($C$3)+1,6,19), AD$6+6&gt;=DATE(YEAR($C$3)+1,4,11)), "실기", IF(AND(AD$6&lt;=DATE(YEAR($C$3)+1,4,3), AD$6+6&gt;=DATE(YEAR($C$3)+1,3,1)), "필기", ""))))</f>
        <v/>
      </c>
      <c r="AE11" s="63">
        <f>IF(AND(AE$6&lt;=DATE(YEAR($C$3)+1,6,19), DATE(YEAR($C$3)+1,6,19)&lt;=AE$6+6), "★실기", IF(AND(AE$6&lt;=DATE(YEAR($C$3)+1,4,3), DATE(YEAR($C$3)+1,4,3)&lt;=AE$6+6), "★필기", IF(AND(AE$6&lt;=DATE(YEAR($C$3)+1,6,19), AE$6+6&gt;=DATE(YEAR($C$3)+1,4,11)), "실기", IF(AND(AE$6&lt;=DATE(YEAR($C$3)+1,4,3), AE$6+6&gt;=DATE(YEAR($C$3)+1,3,1)), "필기", ""))))</f>
        <v/>
      </c>
      <c r="AF11" s="63">
        <f>IF(AND(AF$6&lt;=DATE(YEAR($C$3)+1,6,19), DATE(YEAR($C$3)+1,6,19)&lt;=AF$6+6), "★실기", IF(AND(AF$6&lt;=DATE(YEAR($C$3)+1,4,3), DATE(YEAR($C$3)+1,4,3)&lt;=AF$6+6), "★필기", IF(AND(AF$6&lt;=DATE(YEAR($C$3)+1,6,19), AF$6+6&gt;=DATE(YEAR($C$3)+1,4,11)), "실기", IF(AND(AF$6&lt;=DATE(YEAR($C$3)+1,4,3), AF$6+6&gt;=DATE(YEAR($C$3)+1,3,1)), "필기", ""))))</f>
        <v/>
      </c>
      <c r="AG11" s="63">
        <f>IF(AND(AG$6&lt;=DATE(YEAR($C$3)+1,6,19), DATE(YEAR($C$3)+1,6,19)&lt;=AG$6+6), "★실기", IF(AND(AG$6&lt;=DATE(YEAR($C$3)+1,4,3), DATE(YEAR($C$3)+1,4,3)&lt;=AG$6+6), "★필기", IF(AND(AG$6&lt;=DATE(YEAR($C$3)+1,6,19), AG$6+6&gt;=DATE(YEAR($C$3)+1,4,11)), "실기", IF(AND(AG$6&lt;=DATE(YEAR($C$3)+1,4,3), AG$6+6&gt;=DATE(YEAR($C$3)+1,3,1)), "필기", ""))))</f>
        <v/>
      </c>
      <c r="AH11" s="63">
        <f>IF(AND(AH$6&lt;=DATE(YEAR($C$3)+1,6,19), DATE(YEAR($C$3)+1,6,19)&lt;=AH$6+6), "★실기", IF(AND(AH$6&lt;=DATE(YEAR($C$3)+1,4,3), DATE(YEAR($C$3)+1,4,3)&lt;=AH$6+6), "★필기", IF(AND(AH$6&lt;=DATE(YEAR($C$3)+1,6,19), AH$6+6&gt;=DATE(YEAR($C$3)+1,4,11)), "실기", IF(AND(AH$6&lt;=DATE(YEAR($C$3)+1,4,3), AH$6+6&gt;=DATE(YEAR($C$3)+1,3,1)), "필기", ""))))</f>
        <v/>
      </c>
      <c r="AI11" s="63">
        <f>IF(AND(AI$6&lt;=DATE(YEAR($C$3)+1,6,19), DATE(YEAR($C$3)+1,6,19)&lt;=AI$6+6), "★실기", IF(AND(AI$6&lt;=DATE(YEAR($C$3)+1,4,3), DATE(YEAR($C$3)+1,4,3)&lt;=AI$6+6), "★필기", IF(AND(AI$6&lt;=DATE(YEAR($C$3)+1,6,19), AI$6+6&gt;=DATE(YEAR($C$3)+1,4,11)), "실기", IF(AND(AI$6&lt;=DATE(YEAR($C$3)+1,4,3), AI$6+6&gt;=DATE(YEAR($C$3)+1,3,1)), "필기", ""))))</f>
        <v/>
      </c>
      <c r="AJ11" s="63">
        <f>IF(AND(AJ$6&lt;=DATE(YEAR($C$3)+1,6,19), DATE(YEAR($C$3)+1,6,19)&lt;=AJ$6+6), "★실기", IF(AND(AJ$6&lt;=DATE(YEAR($C$3)+1,4,3), DATE(YEAR($C$3)+1,4,3)&lt;=AJ$6+6), "★필기", IF(AND(AJ$6&lt;=DATE(YEAR($C$3)+1,6,19), AJ$6+6&gt;=DATE(YEAR($C$3)+1,4,11)), "실기", IF(AND(AJ$6&lt;=DATE(YEAR($C$3)+1,4,3), AJ$6+6&gt;=DATE(YEAR($C$3)+1,3,1)), "필기", ""))))</f>
        <v/>
      </c>
      <c r="AK11" s="63">
        <f>IF(AND(AK$6&lt;=DATE(YEAR($C$3)+1,6,19), DATE(YEAR($C$3)+1,6,19)&lt;=AK$6+6), "★실기", IF(AND(AK$6&lt;=DATE(YEAR($C$3)+1,4,3), DATE(YEAR($C$3)+1,4,3)&lt;=AK$6+6), "★필기", IF(AND(AK$6&lt;=DATE(YEAR($C$3)+1,6,19), AK$6+6&gt;=DATE(YEAR($C$3)+1,4,11)), "실기", IF(AND(AK$6&lt;=DATE(YEAR($C$3)+1,4,3), AK$6+6&gt;=DATE(YEAR($C$3)+1,3,1)), "필기", ""))))</f>
        <v/>
      </c>
      <c r="AL11" s="63">
        <f>IF(AND(AL$6&lt;=DATE(YEAR($C$3)+1,6,19), DATE(YEAR($C$3)+1,6,19)&lt;=AL$6+6), "★실기", IF(AND(AL$6&lt;=DATE(YEAR($C$3)+1,4,3), DATE(YEAR($C$3)+1,4,3)&lt;=AL$6+6), "★필기", IF(AND(AL$6&lt;=DATE(YEAR($C$3)+1,6,19), AL$6+6&gt;=DATE(YEAR($C$3)+1,4,11)), "실기", IF(AND(AL$6&lt;=DATE(YEAR($C$3)+1,4,3), AL$6+6&gt;=DATE(YEAR($C$3)+1,3,1)), "필기", ""))))</f>
        <v/>
      </c>
      <c r="AM11" s="63">
        <f>IF(AND(AM$6&lt;=DATE(YEAR($C$3)+1,6,19), DATE(YEAR($C$3)+1,6,19)&lt;=AM$6+6), "★실기", IF(AND(AM$6&lt;=DATE(YEAR($C$3)+1,4,3), DATE(YEAR($C$3)+1,4,3)&lt;=AM$6+6), "★필기", IF(AND(AM$6&lt;=DATE(YEAR($C$3)+1,6,19), AM$6+6&gt;=DATE(YEAR($C$3)+1,4,11)), "실기", IF(AND(AM$6&lt;=DATE(YEAR($C$3)+1,4,3), AM$6+6&gt;=DATE(YEAR($C$3)+1,3,1)), "필기", ""))))</f>
        <v/>
      </c>
      <c r="AN11" s="63">
        <f>IF(AND(AN$6&lt;=DATE(YEAR($C$3)+1,6,19), DATE(YEAR($C$3)+1,6,19)&lt;=AN$6+6), "★실기", IF(AND(AN$6&lt;=DATE(YEAR($C$3)+1,4,3), DATE(YEAR($C$3)+1,4,3)&lt;=AN$6+6), "★필기", IF(AND(AN$6&lt;=DATE(YEAR($C$3)+1,6,19), AN$6+6&gt;=DATE(YEAR($C$3)+1,4,11)), "실기", IF(AND(AN$6&lt;=DATE(YEAR($C$3)+1,4,3), AN$6+6&gt;=DATE(YEAR($C$3)+1,3,1)), "필기", ""))))</f>
        <v/>
      </c>
      <c r="AO11" s="63">
        <f>IF(AND(AO$6&lt;=DATE(YEAR($C$3)+1,6,19), DATE(YEAR($C$3)+1,6,19)&lt;=AO$6+6), "★실기", IF(AND(AO$6&lt;=DATE(YEAR($C$3)+1,4,3), DATE(YEAR($C$3)+1,4,3)&lt;=AO$6+6), "★필기", IF(AND(AO$6&lt;=DATE(YEAR($C$3)+1,6,19), AO$6+6&gt;=DATE(YEAR($C$3)+1,4,11)), "실기", IF(AND(AO$6&lt;=DATE(YEAR($C$3)+1,4,3), AO$6+6&gt;=DATE(YEAR($C$3)+1,3,1)), "필기", ""))))</f>
        <v/>
      </c>
      <c r="AP11" s="63">
        <f>IF(AND(AP$6&lt;=DATE(YEAR($C$3)+1,6,19), DATE(YEAR($C$3)+1,6,19)&lt;=AP$6+6), "★실기", IF(AND(AP$6&lt;=DATE(YEAR($C$3)+1,4,3), DATE(YEAR($C$3)+1,4,3)&lt;=AP$6+6), "★필기", IF(AND(AP$6&lt;=DATE(YEAR($C$3)+1,6,19), AP$6+6&gt;=DATE(YEAR($C$3)+1,4,11)), "실기", IF(AND(AP$6&lt;=DATE(YEAR($C$3)+1,4,3), AP$6+6&gt;=DATE(YEAR($C$3)+1,3,1)), "필기", ""))))</f>
        <v/>
      </c>
      <c r="AQ11" s="63">
        <f>IF(AND(AQ$6&lt;=DATE(YEAR($C$3)+1,6,19), DATE(YEAR($C$3)+1,6,19)&lt;=AQ$6+6), "★실기", IF(AND(AQ$6&lt;=DATE(YEAR($C$3)+1,4,3), DATE(YEAR($C$3)+1,4,3)&lt;=AQ$6+6), "★필기", IF(AND(AQ$6&lt;=DATE(YEAR($C$3)+1,6,19), AQ$6+6&gt;=DATE(YEAR($C$3)+1,4,11)), "실기", IF(AND(AQ$6&lt;=DATE(YEAR($C$3)+1,4,3), AQ$6+6&gt;=DATE(YEAR($C$3)+1,3,1)), "필기", ""))))</f>
        <v/>
      </c>
      <c r="AR11" s="63">
        <f>IF(AND(AR$6&lt;=DATE(YEAR($C$3)+1,6,19), DATE(YEAR($C$3)+1,6,19)&lt;=AR$6+6), "★실기", IF(AND(AR$6&lt;=DATE(YEAR($C$3)+1,4,3), DATE(YEAR($C$3)+1,4,3)&lt;=AR$6+6), "★필기", IF(AND(AR$6&lt;=DATE(YEAR($C$3)+1,6,19), AR$6+6&gt;=DATE(YEAR($C$3)+1,4,11)), "실기", IF(AND(AR$6&lt;=DATE(YEAR($C$3)+1,4,3), AR$6+6&gt;=DATE(YEAR($C$3)+1,3,1)), "필기", ""))))</f>
        <v/>
      </c>
      <c r="AS11" s="63">
        <f>IF(AND(AS$6&lt;=DATE(YEAR($C$3)+1,6,19), DATE(YEAR($C$3)+1,6,19)&lt;=AS$6+6), "★실기", IF(AND(AS$6&lt;=DATE(YEAR($C$3)+1,4,3), DATE(YEAR($C$3)+1,4,3)&lt;=AS$6+6), "★필기", IF(AND(AS$6&lt;=DATE(YEAR($C$3)+1,6,19), AS$6+6&gt;=DATE(YEAR($C$3)+1,4,11)), "실기", IF(AND(AS$6&lt;=DATE(YEAR($C$3)+1,4,3), AS$6+6&gt;=DATE(YEAR($C$3)+1,3,1)), "필기", ""))))</f>
        <v/>
      </c>
      <c r="AT11" s="63">
        <f>IF(AND(AT$6&lt;=DATE(YEAR($C$3)+1,6,19), DATE(YEAR($C$3)+1,6,19)&lt;=AT$6+6), "★실기", IF(AND(AT$6&lt;=DATE(YEAR($C$3)+1,4,3), DATE(YEAR($C$3)+1,4,3)&lt;=AT$6+6), "★필기", IF(AND(AT$6&lt;=DATE(YEAR($C$3)+1,6,19), AT$6+6&gt;=DATE(YEAR($C$3)+1,4,11)), "실기", IF(AND(AT$6&lt;=DATE(YEAR($C$3)+1,4,3), AT$6+6&gt;=DATE(YEAR($C$3)+1,3,1)), "필기", ""))))</f>
        <v/>
      </c>
      <c r="AU11" s="63">
        <f>IF(AND(AU$6&lt;=DATE(YEAR($C$3)+1,6,19), DATE(YEAR($C$3)+1,6,19)&lt;=AU$6+6), "★실기", IF(AND(AU$6&lt;=DATE(YEAR($C$3)+1,4,3), DATE(YEAR($C$3)+1,4,3)&lt;=AU$6+6), "★필기", IF(AND(AU$6&lt;=DATE(YEAR($C$3)+1,6,19), AU$6+6&gt;=DATE(YEAR($C$3)+1,4,11)), "실기", IF(AND(AU$6&lt;=DATE(YEAR($C$3)+1,4,3), AU$6+6&gt;=DATE(YEAR($C$3)+1,3,1)), "필기", ""))))</f>
        <v/>
      </c>
      <c r="AV11" s="63">
        <f>IF(AND(AV$6&lt;=DATE(YEAR($C$3)+1,6,19), DATE(YEAR($C$3)+1,6,19)&lt;=AV$6+6), "★실기", IF(AND(AV$6&lt;=DATE(YEAR($C$3)+1,4,3), DATE(YEAR($C$3)+1,4,3)&lt;=AV$6+6), "★필기", IF(AND(AV$6&lt;=DATE(YEAR($C$3)+1,6,19), AV$6+6&gt;=DATE(YEAR($C$3)+1,4,11)), "실기", IF(AND(AV$6&lt;=DATE(YEAR($C$3)+1,4,3), AV$6+6&gt;=DATE(YEAR($C$3)+1,3,1)), "필기", ""))))</f>
        <v/>
      </c>
      <c r="AW11" s="63">
        <f>IF(AND(AW$6&lt;=DATE(YEAR($C$3)+1,6,19), DATE(YEAR($C$3)+1,6,19)&lt;=AW$6+6), "★실기", IF(AND(AW$6&lt;=DATE(YEAR($C$3)+1,4,3), DATE(YEAR($C$3)+1,4,3)&lt;=AW$6+6), "★필기", IF(AND(AW$6&lt;=DATE(YEAR($C$3)+1,6,19), AW$6+6&gt;=DATE(YEAR($C$3)+1,4,11)), "실기", IF(AND(AW$6&lt;=DATE(YEAR($C$3)+1,4,3), AW$6+6&gt;=DATE(YEAR($C$3)+1,3,1)), "필기", ""))))</f>
        <v/>
      </c>
      <c r="AX11" s="63">
        <f>IF(AND(AX$6&lt;=DATE(YEAR($C$3)+1,6,19), DATE(YEAR($C$3)+1,6,19)&lt;=AX$6+6), "★실기", IF(AND(AX$6&lt;=DATE(YEAR($C$3)+1,4,3), DATE(YEAR($C$3)+1,4,3)&lt;=AX$6+6), "★필기", IF(AND(AX$6&lt;=DATE(YEAR($C$3)+1,6,19), AX$6+6&gt;=DATE(YEAR($C$3)+1,4,11)), "실기", IF(AND(AX$6&lt;=DATE(YEAR($C$3)+1,4,3), AX$6+6&gt;=DATE(YEAR($C$3)+1,3,1)), "필기", ""))))</f>
        <v/>
      </c>
      <c r="AY11" s="63">
        <f>IF(AND(AY$6&lt;=DATE(YEAR($C$3)+1,6,19), DATE(YEAR($C$3)+1,6,19)&lt;=AY$6+6), "★실기", IF(AND(AY$6&lt;=DATE(YEAR($C$3)+1,4,3), DATE(YEAR($C$3)+1,4,3)&lt;=AY$6+6), "★필기", IF(AND(AY$6&lt;=DATE(YEAR($C$3)+1,6,19), AY$6+6&gt;=DATE(YEAR($C$3)+1,4,11)), "실기", IF(AND(AY$6&lt;=DATE(YEAR($C$3)+1,4,3), AY$6+6&gt;=DATE(YEAR($C$3)+1,3,1)), "필기", ""))))</f>
        <v/>
      </c>
      <c r="AZ11" s="63">
        <f>IF(AND(AZ$6&lt;=DATE(YEAR($C$3)+1,6,19), DATE(YEAR($C$3)+1,6,19)&lt;=AZ$6+6), "★실기", IF(AND(AZ$6&lt;=DATE(YEAR($C$3)+1,4,3), DATE(YEAR($C$3)+1,4,3)&lt;=AZ$6+6), "★필기", IF(AND(AZ$6&lt;=DATE(YEAR($C$3)+1,6,19), AZ$6+6&gt;=DATE(YEAR($C$3)+1,4,11)), "실기", IF(AND(AZ$6&lt;=DATE(YEAR($C$3)+1,4,3), AZ$6+6&gt;=DATE(YEAR($C$3)+1,3,1)), "필기", ""))))</f>
        <v/>
      </c>
      <c r="BA11" s="63">
        <f>IF(AND(BA$6&lt;=DATE(YEAR($C$3)+1,6,19), DATE(YEAR($C$3)+1,6,19)&lt;=BA$6+6), "★실기", IF(AND(BA$6&lt;=DATE(YEAR($C$3)+1,4,3), DATE(YEAR($C$3)+1,4,3)&lt;=BA$6+6), "★필기", IF(AND(BA$6&lt;=DATE(YEAR($C$3)+1,6,19), BA$6+6&gt;=DATE(YEAR($C$3)+1,4,11)), "실기", IF(AND(BA$6&lt;=DATE(YEAR($C$3)+1,4,3), BA$6+6&gt;=DATE(YEAR($C$3)+1,3,1)), "필기", ""))))</f>
        <v/>
      </c>
      <c r="BB11" s="63">
        <f>IF(AND(BB$6&lt;=DATE(YEAR($C$3)+1,6,19), DATE(YEAR($C$3)+1,6,19)&lt;=BB$6+6), "★실기", IF(AND(BB$6&lt;=DATE(YEAR($C$3)+1,4,3), DATE(YEAR($C$3)+1,4,3)&lt;=BB$6+6), "★필기", IF(AND(BB$6&lt;=DATE(YEAR($C$3)+1,6,19), BB$6+6&gt;=DATE(YEAR($C$3)+1,4,11)), "실기", IF(AND(BB$6&lt;=DATE(YEAR($C$3)+1,4,3), BB$6+6&gt;=DATE(YEAR($C$3)+1,3,1)), "필기", ""))))</f>
        <v/>
      </c>
      <c r="BC11" s="63">
        <f>IF(AND(BC$6&lt;=DATE(YEAR($C$3)+1,6,19), DATE(YEAR($C$3)+1,6,19)&lt;=BC$6+6), "★실기", IF(AND(BC$6&lt;=DATE(YEAR($C$3)+1,4,3), DATE(YEAR($C$3)+1,4,3)&lt;=BC$6+6), "★필기", IF(AND(BC$6&lt;=DATE(YEAR($C$3)+1,6,19), BC$6+6&gt;=DATE(YEAR($C$3)+1,4,11)), "실기", IF(AND(BC$6&lt;=DATE(YEAR($C$3)+1,4,3), BC$6+6&gt;=DATE(YEAR($C$3)+1,3,1)), "필기", ""))))</f>
        <v/>
      </c>
      <c r="BD11" s="63">
        <f>IF(AND(BD$6&lt;=DATE(YEAR($C$3)+1,6,19), DATE(YEAR($C$3)+1,6,19)&lt;=BD$6+6), "★실기", IF(AND(BD$6&lt;=DATE(YEAR($C$3)+1,4,3), DATE(YEAR($C$3)+1,4,3)&lt;=BD$6+6), "★필기", IF(AND(BD$6&lt;=DATE(YEAR($C$3)+1,6,19), BD$6+6&gt;=DATE(YEAR($C$3)+1,4,11)), "실기", IF(AND(BD$6&lt;=DATE(YEAR($C$3)+1,4,3), BD$6+6&gt;=DATE(YEAR($C$3)+1,3,1)), "필기", ""))))</f>
        <v/>
      </c>
      <c r="BE11" s="63">
        <f>IF(AND(BE$6&lt;=DATE(YEAR($C$3)+1,6,19), DATE(YEAR($C$3)+1,6,19)&lt;=BE$6+6), "★실기", IF(AND(BE$6&lt;=DATE(YEAR($C$3)+1,4,3), DATE(YEAR($C$3)+1,4,3)&lt;=BE$6+6), "★필기", IF(AND(BE$6&lt;=DATE(YEAR($C$3)+1,6,19), BE$6+6&gt;=DATE(YEAR($C$3)+1,4,11)), "실기", IF(AND(BE$6&lt;=DATE(YEAR($C$3)+1,4,3), BE$6+6&gt;=DATE(YEAR($C$3)+1,3,1)), "필기", ""))))</f>
        <v/>
      </c>
      <c r="BF11" s="63">
        <f>IF(AND(BF$6&lt;=DATE(YEAR($C$3)+1,6,19), DATE(YEAR($C$3)+1,6,19)&lt;=BF$6+6), "★실기", IF(AND(BF$6&lt;=DATE(YEAR($C$3)+1,4,3), DATE(YEAR($C$3)+1,4,3)&lt;=BF$6+6), "★필기", IF(AND(BF$6&lt;=DATE(YEAR($C$3)+1,6,19), BF$6+6&gt;=DATE(YEAR($C$3)+1,4,11)), "실기", IF(AND(BF$6&lt;=DATE(YEAR($C$3)+1,4,3), BF$6+6&gt;=DATE(YEAR($C$3)+1,3,1)), "필기", ""))))</f>
        <v/>
      </c>
    </row>
    <row r="12" ht="13.5" customHeight="1" s="209">
      <c r="A12" s="98" t="n"/>
      <c r="B12" s="99" t="n"/>
      <c r="C12" s="100" t="n"/>
      <c r="D12" s="101" t="n"/>
      <c r="E12" s="101" t="n"/>
      <c r="F12" s="98" t="n"/>
      <c r="G12" s="102" t="n"/>
      <c r="H12" s="102" t="n"/>
      <c r="I12" s="103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  <c r="AF12" s="102" t="n"/>
      <c r="AG12" s="102" t="n"/>
      <c r="AH12" s="102" t="n"/>
      <c r="AI12" s="102" t="n"/>
      <c r="AJ12" s="102" t="n"/>
      <c r="AK12" s="102" t="n"/>
      <c r="AL12" s="102" t="n"/>
      <c r="AM12" s="102" t="n"/>
      <c r="AN12" s="102" t="n"/>
      <c r="AO12" s="102" t="n"/>
      <c r="AP12" s="102" t="n"/>
      <c r="AQ12" s="102" t="n"/>
      <c r="AR12" s="102" t="n"/>
      <c r="AS12" s="102" t="n"/>
      <c r="AT12" s="102" t="n"/>
      <c r="AU12" s="102" t="n"/>
      <c r="AV12" s="102" t="n"/>
      <c r="AW12" s="102" t="n"/>
      <c r="AX12" s="102" t="n"/>
      <c r="AY12" s="102" t="n"/>
      <c r="AZ12" s="102" t="n"/>
      <c r="BA12" s="102" t="n"/>
      <c r="BB12" s="102" t="n"/>
      <c r="BC12" s="102" t="n"/>
      <c r="BD12" s="102" t="n"/>
      <c r="BE12" s="102" t="n"/>
      <c r="BF12" s="102" t="n"/>
    </row>
    <row r="13">
      <c r="A13" s="104" t="n"/>
      <c r="B13" s="105" t="n"/>
      <c r="C13" s="105" t="n"/>
      <c r="D13" s="106" t="n"/>
      <c r="E13" s="106" t="n"/>
      <c r="F13" s="104" t="n"/>
      <c r="G13" s="107" t="n"/>
      <c r="H13" s="107" t="n"/>
      <c r="I13" s="108" t="n"/>
      <c r="J13" s="107" t="n"/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107" t="n"/>
      <c r="AJ13" s="107" t="n"/>
      <c r="AK13" s="107" t="n"/>
      <c r="AL13" s="107" t="n"/>
      <c r="AM13" s="107" t="n"/>
      <c r="AN13" s="107" t="n"/>
      <c r="AO13" s="107" t="n"/>
      <c r="AP13" s="107" t="n"/>
      <c r="AQ13" s="107" t="n"/>
      <c r="AR13" s="107" t="n"/>
      <c r="AS13" s="107" t="n"/>
      <c r="AT13" s="107" t="n"/>
      <c r="AU13" s="107" t="n"/>
      <c r="AV13" s="107" t="n"/>
      <c r="AW13" s="107" t="n"/>
      <c r="AX13" s="107" t="n"/>
      <c r="AY13" s="107" t="n"/>
      <c r="AZ13" s="107" t="n"/>
      <c r="BA13" s="107" t="n"/>
      <c r="BB13" s="107" t="n"/>
      <c r="BC13" s="107" t="n"/>
      <c r="BD13" s="107" t="n"/>
      <c r="BE13" s="107" t="n"/>
      <c r="BF13" s="107" t="n"/>
    </row>
    <row r="14">
      <c r="A14" s="104" t="n"/>
      <c r="B14" s="105" t="n"/>
      <c r="C14" s="105" t="n"/>
      <c r="D14" s="106" t="n"/>
      <c r="E14" s="106" t="n"/>
      <c r="F14" s="104" t="n"/>
      <c r="G14" s="107" t="n"/>
      <c r="H14" s="107" t="n"/>
      <c r="I14" s="108" t="n"/>
      <c r="J14" s="107" t="n"/>
      <c r="K14" s="107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107" t="n"/>
      <c r="AB14" s="107" t="n"/>
      <c r="AC14" s="107" t="n"/>
      <c r="AD14" s="107" t="n"/>
      <c r="AE14" s="107" t="n"/>
      <c r="AF14" s="107" t="n"/>
      <c r="AG14" s="107" t="n"/>
      <c r="AH14" s="107" t="n"/>
      <c r="AI14" s="107" t="n"/>
      <c r="AJ14" s="107" t="n"/>
      <c r="AK14" s="107" t="n"/>
      <c r="AL14" s="107" t="n"/>
      <c r="AM14" s="107" t="n"/>
      <c r="AN14" s="107" t="n"/>
      <c r="AO14" s="107" t="n"/>
      <c r="AP14" s="107" t="n"/>
      <c r="AQ14" s="107" t="n"/>
      <c r="AR14" s="107" t="n"/>
      <c r="AS14" s="107" t="n"/>
      <c r="AT14" s="107" t="n"/>
      <c r="AU14" s="107" t="n"/>
      <c r="AV14" s="107" t="n"/>
      <c r="AW14" s="107" t="n"/>
      <c r="AX14" s="107" t="n"/>
      <c r="AY14" s="107" t="n"/>
      <c r="AZ14" s="107" t="n"/>
      <c r="BA14" s="107" t="n"/>
      <c r="BB14" s="107" t="n"/>
      <c r="BC14" s="107" t="n"/>
      <c r="BD14" s="107" t="n"/>
      <c r="BE14" s="107" t="n"/>
      <c r="BF14" s="107" t="n"/>
    </row>
    <row r="15">
      <c r="A15" s="104" t="n"/>
      <c r="B15" s="105" t="n"/>
      <c r="C15" s="105" t="n"/>
      <c r="D15" s="106" t="n"/>
      <c r="E15" s="106" t="n"/>
      <c r="F15" s="104" t="n"/>
      <c r="G15" s="107" t="n"/>
      <c r="H15" s="107" t="n"/>
      <c r="I15" s="108" t="n"/>
      <c r="J15" s="107" t="n"/>
      <c r="K15" s="107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  <c r="AQ15" s="107" t="n"/>
      <c r="AR15" s="107" t="n"/>
      <c r="AS15" s="107" t="n"/>
      <c r="AT15" s="107" t="n"/>
      <c r="AU15" s="107" t="n"/>
      <c r="AV15" s="107" t="n"/>
      <c r="AW15" s="107" t="n"/>
      <c r="AX15" s="107" t="n"/>
      <c r="AY15" s="107" t="n"/>
      <c r="AZ15" s="107" t="n"/>
      <c r="BA15" s="107" t="n"/>
      <c r="BB15" s="107" t="n"/>
      <c r="BC15" s="107" t="n"/>
      <c r="BD15" s="107" t="n"/>
      <c r="BE15" s="107" t="n"/>
      <c r="BF15" s="107" t="n"/>
    </row>
    <row r="16">
      <c r="A16" s="104" t="n"/>
      <c r="B16" s="109" t="n"/>
      <c r="C16" s="105" t="n"/>
      <c r="D16" s="106" t="n"/>
      <c r="E16" s="106" t="n"/>
      <c r="F16" s="104" t="n"/>
      <c r="G16" s="107" t="n"/>
      <c r="H16" s="107" t="n"/>
      <c r="I16" s="108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07" t="n"/>
      <c r="AX16" s="107" t="n"/>
      <c r="AY16" s="107" t="n"/>
      <c r="AZ16" s="107" t="n"/>
      <c r="BA16" s="107" t="n"/>
      <c r="BB16" s="107" t="n"/>
      <c r="BC16" s="107" t="n"/>
      <c r="BD16" s="107" t="n"/>
      <c r="BE16" s="107" t="n"/>
      <c r="BF16" s="107" t="n"/>
    </row>
    <row r="17">
      <c r="A17" s="104" t="n"/>
      <c r="B17" s="105" t="n"/>
      <c r="C17" s="105" t="n"/>
      <c r="D17" s="106" t="n"/>
      <c r="E17" s="106" t="n"/>
      <c r="F17" s="104" t="n"/>
      <c r="G17" s="107" t="n"/>
      <c r="H17" s="107" t="n"/>
      <c r="I17" s="108" t="n"/>
      <c r="J17" s="107" t="n"/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7" t="n"/>
      <c r="AL17" s="107" t="n"/>
      <c r="AM17" s="107" t="n"/>
      <c r="AN17" s="107" t="n"/>
      <c r="AO17" s="107" t="n"/>
      <c r="AP17" s="107" t="n"/>
      <c r="AQ17" s="107" t="n"/>
      <c r="AR17" s="107" t="n"/>
      <c r="AS17" s="107" t="n"/>
      <c r="AT17" s="107" t="n"/>
      <c r="AU17" s="107" t="n"/>
      <c r="AV17" s="107" t="n"/>
      <c r="AW17" s="107" t="n"/>
      <c r="AX17" s="107" t="n"/>
      <c r="AY17" s="107" t="n"/>
      <c r="AZ17" s="107" t="n"/>
      <c r="BA17" s="107" t="n"/>
      <c r="BB17" s="107" t="n"/>
      <c r="BC17" s="107" t="n"/>
      <c r="BD17" s="107" t="n"/>
      <c r="BE17" s="107" t="n"/>
      <c r="BF17" s="107" t="n"/>
    </row>
    <row r="18">
      <c r="A18" s="104" t="n"/>
      <c r="B18" s="109" t="n"/>
      <c r="C18" s="105" t="n"/>
      <c r="D18" s="106" t="n"/>
      <c r="E18" s="106" t="n"/>
      <c r="F18" s="104" t="n"/>
      <c r="G18" s="107" t="n"/>
      <c r="H18" s="107" t="n"/>
      <c r="I18" s="108" t="n"/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</row>
    <row r="19">
      <c r="A19" s="104" t="n"/>
      <c r="B19" s="105" t="n"/>
      <c r="C19" s="105" t="n"/>
      <c r="D19" s="106" t="n"/>
      <c r="E19" s="106" t="n"/>
      <c r="F19" s="104" t="n"/>
      <c r="G19" s="110" t="n"/>
      <c r="H19" s="110" t="n"/>
      <c r="I19" s="111" t="n"/>
      <c r="J19" s="110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U19" s="110" t="n"/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  <c r="AI19" s="110" t="n"/>
      <c r="AJ19" s="110" t="n"/>
      <c r="AK19" s="110" t="n"/>
      <c r="AL19" s="110" t="n"/>
      <c r="AM19" s="110" t="n"/>
      <c r="AN19" s="110" t="n"/>
      <c r="AO19" s="110" t="n"/>
      <c r="AP19" s="110" t="n"/>
      <c r="AQ19" s="110" t="n"/>
      <c r="AR19" s="110" t="n"/>
      <c r="AS19" s="110" t="n"/>
      <c r="AT19" s="110" t="n"/>
      <c r="AU19" s="110" t="n"/>
      <c r="AV19" s="110" t="n"/>
      <c r="AW19" s="110" t="n"/>
      <c r="AX19" s="110" t="n"/>
      <c r="AY19" s="110" t="n"/>
      <c r="AZ19" s="110" t="n"/>
      <c r="BA19" s="110" t="n"/>
      <c r="BB19" s="110" t="n"/>
      <c r="BC19" s="110" t="n"/>
      <c r="BD19" s="110" t="n"/>
      <c r="BE19" s="110" t="n"/>
      <c r="BF19" s="110" t="n"/>
    </row>
    <row r="20">
      <c r="A20" s="104" t="n"/>
      <c r="B20" s="105" t="n"/>
      <c r="C20" s="105" t="n"/>
      <c r="D20" s="106" t="n"/>
      <c r="E20" s="106" t="n"/>
      <c r="F20" s="104" t="n"/>
      <c r="G20" s="110" t="n"/>
      <c r="H20" s="110" t="n"/>
      <c r="I20" s="111" t="n"/>
      <c r="J20" s="110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  <c r="U20" s="110" t="n"/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I20" s="110" t="n"/>
      <c r="AJ20" s="110" t="n"/>
      <c r="AK20" s="110" t="n"/>
      <c r="AL20" s="110" t="n"/>
      <c r="AM20" s="110" t="n"/>
      <c r="AN20" s="110" t="n"/>
      <c r="AO20" s="110" t="n"/>
      <c r="AP20" s="110" t="n"/>
      <c r="AQ20" s="110" t="n"/>
      <c r="AR20" s="110" t="n"/>
      <c r="AS20" s="110" t="n"/>
      <c r="AT20" s="110" t="n"/>
      <c r="AU20" s="110" t="n"/>
      <c r="AV20" s="110" t="n"/>
      <c r="AW20" s="110" t="n"/>
      <c r="AX20" s="110" t="n"/>
      <c r="AY20" s="110" t="n"/>
      <c r="AZ20" s="110" t="n"/>
      <c r="BA20" s="110" t="n"/>
      <c r="BB20" s="110" t="n"/>
      <c r="BC20" s="110" t="n"/>
      <c r="BD20" s="110" t="n"/>
      <c r="BE20" s="110" t="n"/>
      <c r="BF20" s="110" t="n"/>
    </row>
    <row r="21" ht="15.75" customHeight="1" s="209">
      <c r="A21" s="104" t="n"/>
      <c r="B21" s="109" t="n"/>
      <c r="C21" s="105" t="n"/>
      <c r="D21" s="106" t="n"/>
      <c r="E21" s="106" t="n"/>
      <c r="F21" s="104" t="n"/>
      <c r="G21" s="110" t="n"/>
      <c r="H21" s="110" t="n"/>
      <c r="I21" s="111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I21" s="110" t="n"/>
      <c r="AJ21" s="110" t="n"/>
      <c r="AK21" s="110" t="n"/>
      <c r="AL21" s="110" t="n"/>
      <c r="AM21" s="110" t="n"/>
      <c r="AN21" s="110" t="n"/>
      <c r="AO21" s="110" t="n"/>
      <c r="AP21" s="110" t="n"/>
      <c r="AQ21" s="110" t="n"/>
      <c r="AR21" s="110" t="n"/>
      <c r="AS21" s="110" t="n"/>
      <c r="AT21" s="110" t="n"/>
      <c r="AU21" s="110" t="n"/>
      <c r="AV21" s="110" t="n"/>
      <c r="AW21" s="110" t="n"/>
      <c r="AX21" s="110" t="n"/>
      <c r="AY21" s="110" t="n"/>
      <c r="AZ21" s="110" t="n"/>
      <c r="BA21" s="110" t="n"/>
      <c r="BB21" s="110" t="n"/>
      <c r="BC21" s="110" t="n"/>
      <c r="BD21" s="110" t="n"/>
      <c r="BE21" s="110" t="n"/>
      <c r="BF21" s="110" t="n"/>
    </row>
    <row r="22" ht="15.75" customHeight="1" s="209">
      <c r="A22" s="104" t="n"/>
      <c r="B22" s="105" t="n"/>
      <c r="C22" s="105" t="n"/>
      <c r="D22" s="106" t="n"/>
      <c r="E22" s="106" t="n"/>
      <c r="F22" s="104" t="n"/>
      <c r="G22" s="112" t="n"/>
      <c r="H22" s="112" t="n"/>
      <c r="I22" s="113" t="n"/>
      <c r="J22" s="112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  <c r="AH22" s="114" t="n"/>
      <c r="AI22" s="114" t="n"/>
      <c r="AJ22" s="114" t="n"/>
      <c r="AK22" s="114" t="n"/>
      <c r="AL22" s="114" t="n"/>
      <c r="AM22" s="114" t="n"/>
      <c r="AN22" s="114" t="n"/>
      <c r="AO22" s="114" t="n"/>
      <c r="AP22" s="114" t="n"/>
      <c r="AQ22" s="114" t="n"/>
      <c r="AR22" s="114" t="n"/>
      <c r="AS22" s="114" t="n"/>
      <c r="AT22" s="114" t="n"/>
      <c r="AU22" s="114" t="n"/>
      <c r="AV22" s="114" t="n"/>
      <c r="AW22" s="114" t="n"/>
      <c r="AX22" s="114" t="n"/>
      <c r="AY22" s="114" t="n"/>
      <c r="AZ22" s="114" t="n"/>
      <c r="BA22" s="114" t="n"/>
      <c r="BB22" s="114" t="n"/>
      <c r="BC22" s="114" t="n"/>
      <c r="BD22" s="114" t="n"/>
      <c r="BE22" s="114" t="n"/>
      <c r="BF22" s="114" t="n"/>
    </row>
    <row r="23" ht="15.75" customHeight="1" s="209">
      <c r="A23" s="104" t="n"/>
      <c r="B23" s="109" t="n"/>
      <c r="C23" s="105" t="n"/>
      <c r="D23" s="106" t="n"/>
      <c r="E23" s="106" t="n"/>
      <c r="F23" s="104" t="n"/>
      <c r="G23" s="112" t="n"/>
      <c r="H23" s="112" t="n"/>
      <c r="I23" s="113" t="n"/>
      <c r="J23" s="112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  <c r="AB23" s="114" t="n"/>
      <c r="AC23" s="114" t="n"/>
      <c r="AD23" s="114" t="n"/>
      <c r="AE23" s="114" t="n"/>
      <c r="AF23" s="114" t="n"/>
      <c r="AG23" s="114" t="n"/>
      <c r="AH23" s="114" t="n"/>
      <c r="AI23" s="114" t="n"/>
      <c r="AJ23" s="114" t="n"/>
      <c r="AK23" s="114" t="n"/>
      <c r="AL23" s="114" t="n"/>
      <c r="AM23" s="114" t="n"/>
      <c r="AN23" s="114" t="n"/>
      <c r="AO23" s="114" t="n"/>
      <c r="AP23" s="114" t="n"/>
      <c r="AQ23" s="114" t="n"/>
      <c r="AR23" s="114" t="n"/>
      <c r="AS23" s="114" t="n"/>
      <c r="AT23" s="114" t="n"/>
      <c r="AU23" s="114" t="n"/>
      <c r="AV23" s="114" t="n"/>
      <c r="AW23" s="114" t="n"/>
      <c r="AX23" s="114" t="n"/>
      <c r="AY23" s="114" t="n"/>
      <c r="AZ23" s="114" t="n"/>
      <c r="BA23" s="114" t="n"/>
      <c r="BB23" s="114" t="n"/>
      <c r="BC23" s="114" t="n"/>
      <c r="BD23" s="114" t="n"/>
      <c r="BE23" s="114" t="n"/>
      <c r="BF23" s="114" t="n"/>
    </row>
    <row r="24" ht="15.75" customHeight="1" s="209">
      <c r="A24" s="104" t="n"/>
      <c r="B24" s="105" t="n"/>
      <c r="C24" s="105" t="n"/>
      <c r="D24" s="106" t="n"/>
      <c r="E24" s="106" t="n"/>
      <c r="F24" s="104" t="n"/>
      <c r="G24" s="112" t="n"/>
      <c r="H24" s="112" t="n"/>
      <c r="I24" s="113" t="n"/>
      <c r="J24" s="112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4" t="n"/>
      <c r="AJ24" s="114" t="n"/>
      <c r="AK24" s="114" t="n"/>
      <c r="AL24" s="114" t="n"/>
      <c r="AM24" s="114" t="n"/>
      <c r="AN24" s="114" t="n"/>
      <c r="AO24" s="114" t="n"/>
      <c r="AP24" s="114" t="n"/>
      <c r="AQ24" s="114" t="n"/>
      <c r="AR24" s="114" t="n"/>
      <c r="AS24" s="114" t="n"/>
      <c r="AT24" s="114" t="n"/>
      <c r="AU24" s="114" t="n"/>
      <c r="AV24" s="114" t="n"/>
      <c r="AW24" s="114" t="n"/>
      <c r="AX24" s="114" t="n"/>
      <c r="AY24" s="114" t="n"/>
      <c r="AZ24" s="114" t="n"/>
      <c r="BA24" s="114" t="n"/>
      <c r="BB24" s="114" t="n"/>
      <c r="BC24" s="114" t="n"/>
      <c r="BD24" s="114" t="n"/>
      <c r="BE24" s="114" t="n"/>
      <c r="BF24" s="114" t="n"/>
    </row>
    <row r="25" ht="15.75" customHeight="1" s="209">
      <c r="A25" s="104" t="n"/>
      <c r="B25" s="109" t="n"/>
      <c r="C25" s="105" t="n"/>
      <c r="D25" s="106" t="n"/>
      <c r="E25" s="106" t="n"/>
      <c r="F25" s="104" t="n"/>
      <c r="G25" s="112" t="n"/>
      <c r="H25" s="112" t="n"/>
      <c r="I25" s="113" t="n"/>
      <c r="J25" s="112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  <c r="AD25" s="114" t="n"/>
      <c r="AE25" s="114" t="n"/>
      <c r="AF25" s="114" t="n"/>
      <c r="AG25" s="114" t="n"/>
      <c r="AH25" s="114" t="n"/>
      <c r="AI25" s="114" t="n"/>
      <c r="AJ25" s="114" t="n"/>
      <c r="AK25" s="114" t="n"/>
      <c r="AL25" s="114" t="n"/>
      <c r="AM25" s="114" t="n"/>
      <c r="AN25" s="114" t="n"/>
      <c r="AO25" s="114" t="n"/>
      <c r="AP25" s="114" t="n"/>
      <c r="AQ25" s="114" t="n"/>
      <c r="AR25" s="114" t="n"/>
      <c r="AS25" s="114" t="n"/>
      <c r="AT25" s="114" t="n"/>
      <c r="AU25" s="114" t="n"/>
      <c r="AV25" s="114" t="n"/>
      <c r="AW25" s="114" t="n"/>
      <c r="AX25" s="114" t="n"/>
      <c r="AY25" s="114" t="n"/>
      <c r="AZ25" s="114" t="n"/>
      <c r="BA25" s="114" t="n"/>
      <c r="BB25" s="114" t="n"/>
      <c r="BC25" s="114" t="n"/>
      <c r="BD25" s="114" t="n"/>
      <c r="BE25" s="114" t="n"/>
      <c r="BF25" s="114" t="n"/>
    </row>
    <row r="26" ht="15.75" customHeight="1" s="209">
      <c r="A26" s="8" t="n"/>
      <c r="B26" s="8" t="n"/>
      <c r="C26" s="8" t="n"/>
      <c r="D26" s="8" t="n"/>
      <c r="E26" s="8" t="n"/>
      <c r="F26" s="8" t="n"/>
      <c r="G26" s="8" t="n"/>
      <c r="H26" s="8" t="n"/>
      <c r="I26" s="115" t="n"/>
      <c r="J26" s="8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</row>
    <row r="27" ht="15.75" customHeight="1" s="209">
      <c r="A27" s="8" t="n"/>
      <c r="B27" s="8" t="n"/>
      <c r="C27" s="8" t="n"/>
      <c r="D27" s="8" t="n"/>
      <c r="E27" s="8" t="n"/>
      <c r="F27" s="8" t="n"/>
      <c r="G27" s="8" t="n"/>
      <c r="H27" s="8" t="n"/>
      <c r="I27" s="115" t="n"/>
      <c r="J27" s="8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</row>
    <row r="28" ht="15.75" customHeight="1" s="209">
      <c r="A28" s="8" t="n"/>
      <c r="B28" s="8" t="n"/>
      <c r="C28" s="8" t="n"/>
      <c r="D28" s="8" t="n"/>
      <c r="E28" s="8" t="n"/>
      <c r="F28" s="8" t="n"/>
      <c r="G28" s="8" t="n"/>
      <c r="H28" s="8" t="n"/>
      <c r="I28" s="115" t="n"/>
      <c r="J28" s="8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</row>
    <row r="29" ht="15.75" customHeight="1" s="209">
      <c r="A29" s="8" t="n"/>
      <c r="B29" s="8" t="n"/>
      <c r="C29" s="8" t="n"/>
      <c r="D29" s="8" t="n"/>
      <c r="E29" s="8" t="n"/>
      <c r="F29" s="8" t="n"/>
      <c r="G29" s="8" t="n"/>
      <c r="H29" s="8" t="n"/>
      <c r="I29" s="115" t="n"/>
      <c r="J29" s="8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</row>
    <row r="30" ht="15.75" customHeight="1" s="209">
      <c r="A30" s="8" t="n"/>
      <c r="B30" s="8" t="n"/>
      <c r="C30" s="8" t="n"/>
      <c r="D30" s="8" t="n"/>
      <c r="E30" s="8" t="n"/>
      <c r="F30" s="8" t="n"/>
      <c r="G30" s="8" t="n"/>
      <c r="H30" s="8" t="n"/>
      <c r="I30" s="115" t="n"/>
      <c r="J30" s="8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</row>
    <row r="31" ht="15.75" customHeight="1" s="209">
      <c r="A31" s="8" t="n"/>
      <c r="B31" s="8" t="n"/>
      <c r="C31" s="8" t="n"/>
      <c r="D31" s="8" t="n"/>
      <c r="E31" s="8" t="n"/>
      <c r="F31" s="8" t="n"/>
      <c r="G31" s="8" t="n"/>
      <c r="H31" s="8" t="n"/>
      <c r="I31" s="115" t="n"/>
      <c r="J31" s="8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</row>
    <row r="32" ht="15.75" customHeight="1" s="209">
      <c r="A32" s="8" t="n"/>
      <c r="B32" s="8" t="n"/>
      <c r="C32" s="8" t="n"/>
      <c r="D32" s="8" t="n"/>
      <c r="E32" s="8" t="n"/>
      <c r="F32" s="8" t="n"/>
      <c r="G32" s="8" t="n"/>
      <c r="H32" s="8" t="n"/>
      <c r="I32" s="115" t="n"/>
      <c r="J32" s="8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</row>
    <row r="33" ht="15.75" customHeight="1" s="209">
      <c r="A33" s="8" t="n"/>
      <c r="B33" s="8" t="n"/>
      <c r="C33" s="8" t="n"/>
      <c r="D33" s="8" t="n"/>
      <c r="E33" s="8" t="n"/>
      <c r="F33" s="8" t="n"/>
      <c r="G33" s="8" t="n"/>
      <c r="H33" s="8" t="n"/>
      <c r="I33" s="115" t="n"/>
      <c r="J33" s="8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</row>
    <row r="34" ht="15.75" customHeight="1" s="209">
      <c r="A34" s="8" t="n"/>
      <c r="B34" s="8" t="n"/>
      <c r="C34" s="8" t="n"/>
      <c r="D34" s="8" t="n"/>
      <c r="E34" s="8" t="n"/>
      <c r="F34" s="8" t="n"/>
      <c r="G34" s="8" t="n"/>
      <c r="H34" s="8" t="n"/>
      <c r="I34" s="115" t="n"/>
      <c r="J34" s="8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</row>
    <row r="35" ht="15.75" customHeight="1" s="209">
      <c r="A35" s="8" t="n"/>
      <c r="B35" s="8" t="n"/>
      <c r="C35" s="8" t="n"/>
      <c r="D35" s="8" t="n"/>
      <c r="E35" s="8" t="n"/>
      <c r="F35" s="8" t="n"/>
      <c r="G35" s="8" t="n"/>
      <c r="H35" s="8" t="n"/>
      <c r="I35" s="115" t="n"/>
      <c r="J35" s="8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</row>
    <row r="36" ht="15.75" customHeight="1" s="209">
      <c r="A36" s="8" t="n"/>
      <c r="B36" s="8" t="n"/>
      <c r="C36" s="8" t="n"/>
      <c r="D36" s="8" t="n"/>
      <c r="E36" s="8" t="n"/>
      <c r="F36" s="8" t="n"/>
      <c r="G36" s="8" t="n"/>
      <c r="H36" s="8" t="n"/>
      <c r="I36" s="115" t="n"/>
      <c r="J36" s="8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</row>
    <row r="37" ht="15.75" customHeight="1" s="209">
      <c r="A37" s="8" t="n"/>
      <c r="B37" s="8" t="n"/>
      <c r="C37" s="8" t="n"/>
      <c r="D37" s="8" t="n"/>
      <c r="E37" s="8" t="n"/>
      <c r="F37" s="8" t="n"/>
      <c r="G37" s="8" t="n"/>
      <c r="H37" s="8" t="n"/>
      <c r="I37" s="115" t="n"/>
      <c r="J37" s="8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</row>
    <row r="38" ht="15.75" customHeight="1" s="209">
      <c r="A38" s="8" t="n"/>
      <c r="B38" s="8" t="n"/>
      <c r="C38" s="8" t="n"/>
      <c r="D38" s="8" t="n"/>
      <c r="E38" s="8" t="n"/>
      <c r="F38" s="8" t="n"/>
      <c r="G38" s="8" t="n"/>
      <c r="H38" s="8" t="n"/>
      <c r="I38" s="115" t="n"/>
      <c r="J38" s="8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</row>
    <row r="39" ht="15.75" customHeight="1" s="209">
      <c r="A39" s="8" t="n"/>
      <c r="B39" s="8" t="n"/>
      <c r="C39" s="8" t="n"/>
      <c r="D39" s="8" t="n"/>
      <c r="E39" s="8" t="n"/>
      <c r="F39" s="8" t="n"/>
      <c r="G39" s="8" t="n"/>
      <c r="H39" s="8" t="n"/>
      <c r="I39" s="115" t="n"/>
      <c r="J39" s="8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</row>
    <row r="40" ht="15.75" customHeight="1" s="20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</row>
    <row r="41" ht="15.75" customHeight="1" s="20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</row>
    <row r="42" ht="15.75" customHeight="1" s="20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</row>
    <row r="43" ht="15.75" customHeight="1" s="20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</row>
    <row r="44" ht="15.75" customHeight="1" s="20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</row>
    <row r="45" ht="15.75" customHeight="1" s="20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</row>
    <row r="46" ht="15.75" customHeight="1" s="20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</row>
    <row r="47" ht="15.75" customHeight="1" s="20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</row>
    <row r="48" ht="15.75" customHeight="1" s="20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</row>
    <row r="49" ht="15.75" customHeight="1" s="20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</row>
    <row r="50" ht="15.75" customHeight="1" s="20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</row>
    <row r="51" ht="15.75" customHeight="1" s="20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</row>
    <row r="52" ht="15.75" customHeight="1" s="20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</row>
    <row r="53" ht="15.75" customHeight="1" s="20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</row>
    <row r="54" ht="15.75" customHeight="1" s="20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</row>
    <row r="55" ht="15.75" customHeight="1" s="20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</row>
    <row r="56" ht="15.75" customHeight="1" s="20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</row>
    <row r="57" ht="15.75" customHeight="1" s="20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</row>
    <row r="58" ht="15.75" customHeight="1" s="20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</row>
    <row r="59" ht="15.75" customHeight="1" s="20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</row>
    <row r="60" ht="15.75" customHeight="1" s="20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</row>
    <row r="61" ht="15.75" customHeight="1" s="20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</row>
    <row r="62" ht="15.75" customHeight="1" s="20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</row>
    <row r="63" ht="15.75" customHeight="1" s="20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</row>
    <row r="64" ht="15.75" customHeight="1" s="20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</row>
    <row r="65" ht="15.75" customHeight="1" s="20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</row>
    <row r="66" ht="15.75" customHeight="1" s="20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</row>
    <row r="67" ht="15.75" customHeight="1" s="20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</row>
    <row r="68" ht="15.75" customHeight="1" s="20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</row>
    <row r="69" ht="15.75" customHeight="1" s="20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</row>
    <row r="70" ht="15.75" customHeight="1" s="20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</row>
    <row r="71" ht="15.75" customHeight="1" s="20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</row>
    <row r="72" ht="15.75" customHeight="1" s="20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</row>
    <row r="73" ht="15.75" customHeight="1" s="20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</row>
    <row r="74" ht="15.75" customHeight="1" s="20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</row>
    <row r="75" ht="15.75" customHeight="1" s="20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</row>
    <row r="76" ht="15.75" customHeight="1" s="20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</row>
    <row r="77" ht="15.75" customHeight="1" s="20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</row>
    <row r="78" ht="15.75" customHeight="1" s="20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</row>
    <row r="79" ht="15.75" customHeight="1" s="20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</row>
    <row r="80" ht="15.75" customHeight="1" s="20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</row>
    <row r="81" ht="15.75" customHeight="1" s="20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</row>
    <row r="82" ht="15.75" customHeight="1" s="20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</row>
    <row r="83" ht="15.75" customHeight="1" s="20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</row>
    <row r="84" ht="15.75" customHeight="1" s="20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</row>
    <row r="85" ht="15.75" customHeight="1" s="20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</row>
    <row r="86" ht="15.75" customHeight="1" s="20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</row>
    <row r="87" ht="15.75" customHeight="1" s="20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</row>
    <row r="88" ht="15.75" customHeight="1" s="20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</row>
    <row r="89" ht="15.75" customHeight="1" s="20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</row>
    <row r="90" ht="15.75" customHeight="1" s="20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</row>
    <row r="91" ht="15.75" customHeight="1" s="20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</row>
    <row r="92" ht="15.75" customHeight="1" s="20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</row>
    <row r="93" ht="15.75" customHeight="1" s="20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</row>
    <row r="94" ht="15.75" customHeight="1" s="20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</row>
    <row r="95" ht="15.75" customHeight="1" s="20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</row>
    <row r="96" ht="15.75" customHeight="1" s="20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</row>
    <row r="97" ht="15.75" customHeight="1" s="20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</row>
    <row r="98" ht="15.75" customHeight="1" s="20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</row>
    <row r="99" ht="15.75" customHeight="1" s="20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</row>
    <row r="100" ht="15.75" customHeight="1" s="20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</row>
  </sheetData>
  <mergeCells count="10">
    <mergeCell ref="A2:BE2"/>
    <mergeCell ref="B4:B5"/>
    <mergeCell ref="C4:C5"/>
    <mergeCell ref="A4:A5"/>
    <mergeCell ref="E4:E5"/>
    <mergeCell ref="D4:D5"/>
    <mergeCell ref="A1:BE1"/>
    <mergeCell ref="F3:BE3"/>
    <mergeCell ref="A6:E6"/>
    <mergeCell ref="D3:E3"/>
  </mergeCells>
  <conditionalFormatting sqref="F5:BE5">
    <cfRule type="cellIs" priority="1" operator="equal" dxfId="0">
      <formula>"📍오늘"</formula>
    </cfRule>
  </conditionalFormatting>
  <conditionalFormatting sqref="F7:BE11">
    <cfRule type="cellIs" priority="2" operator="equal" dxfId="1">
      <formula>"★A형"</formula>
    </cfRule>
    <cfRule type="cellIs" priority="3" operator="equal" dxfId="1">
      <formula>"★B형"</formula>
    </cfRule>
    <cfRule type="cellIs" priority="4" operator="equal" dxfId="1">
      <formula>"★필기"</formula>
    </cfRule>
    <cfRule type="cellIs" priority="5" operator="equal" dxfId="1">
      <formula>"★실기"</formula>
    </cfRule>
    <cfRule type="cellIs" priority="6" operator="equal" dxfId="1">
      <formula>"★토스"</formula>
    </cfRule>
    <cfRule type="cellIs" priority="7" operator="equal" dxfId="1">
      <formula>"★토익"</formula>
    </cfRule>
  </conditionalFormatting>
  <conditionalFormatting sqref="F7:BE7">
    <cfRule type="cellIs" priority="8" operator="equal" dxfId="2">
      <formula>"A형"</formula>
    </cfRule>
    <cfRule type="cellIs" priority="9" operator="equal" dxfId="3">
      <formula>"B형"</formula>
    </cfRule>
  </conditionalFormatting>
  <conditionalFormatting sqref="F8:BE8">
    <cfRule type="cellIs" priority="10" operator="equal" dxfId="4">
      <formula>"필기"</formula>
    </cfRule>
    <cfRule type="cellIs" priority="11" operator="equal" dxfId="5">
      <formula>"실기"</formula>
    </cfRule>
  </conditionalFormatting>
  <conditionalFormatting sqref="F9:BE9">
    <cfRule type="cellIs" priority="12" operator="equal" dxfId="6">
      <formula>"토스"</formula>
    </cfRule>
  </conditionalFormatting>
  <conditionalFormatting sqref="F10:BE10">
    <cfRule type="cellIs" priority="13" operator="equal" dxfId="7">
      <formula>"토익"</formula>
    </cfRule>
  </conditionalFormatting>
  <conditionalFormatting sqref="F11:BE11">
    <cfRule type="cellIs" priority="14" operator="equal" dxfId="4">
      <formula>"필기"</formula>
    </cfRule>
    <cfRule type="cellIs" priority="15" operator="equal" dxfId="8">
      <formula>"실기"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60"/>
  <sheetViews>
    <sheetView workbookViewId="0">
      <selection activeCell="A1" sqref="A1"/>
    </sheetView>
  </sheetViews>
  <sheetFormatPr baseColWidth="8" defaultColWidth="12.63" defaultRowHeight="15" customHeight="1"/>
  <cols>
    <col width="4.63" customWidth="1" style="209" min="1" max="1"/>
    <col width="8" customWidth="1" style="209" min="2" max="3"/>
    <col width="32" customWidth="1" style="209" min="4" max="5"/>
    <col width="14" customWidth="1" style="209" min="6" max="9"/>
    <col width="16" customWidth="1" style="209" min="10" max="10"/>
    <col width="32" customWidth="1" style="209" min="11" max="11"/>
    <col width="54" customWidth="1" style="209" min="12" max="12"/>
    <col hidden="1" width="0.13" customWidth="1" style="209" min="13" max="13"/>
    <col width="15" customWidth="1" style="209" min="14" max="16"/>
    <col width="14.38" customWidth="1" style="209" min="17" max="24"/>
  </cols>
  <sheetData>
    <row r="1" ht="33.75" customHeight="1" s="209">
      <c r="A1" s="273" t="inlineStr">
        <is>
          <t>🌐 SWEA 삼성 코딩테스트 전문항 마스터 DB (난이도순 정렬 / 알고리즘 유형 &amp; 단원분류 통합 관리)</t>
        </is>
      </c>
      <c r="B1" s="267" t="n"/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8" t="n"/>
      <c r="M1" s="8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25.5" customHeight="1" s="209">
      <c r="A2" s="274" t="inlineStr">
        <is>
          <t>📅 [사용 가이드] C열(난이도) 순 정렬 완료 | E열(알고리즘 유형: DFS, BFS, 시뮬레이션, DP 등) 필터 지원 | F열 날짜 입력 시 학습상태 자동 계산</t>
        </is>
      </c>
      <c r="B2" s="267" t="n"/>
      <c r="C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8" t="n"/>
      <c r="M2" s="8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</row>
    <row r="3" ht="31.5" customHeight="1" s="209">
      <c r="A3" s="18" t="inlineStr">
        <is>
          <t>No</t>
        </is>
      </c>
      <c r="B3" s="18" t="inlineStr">
        <is>
          <t>문제번호</t>
        </is>
      </c>
      <c r="C3" s="18" t="inlineStr">
        <is>
          <t>난이도</t>
        </is>
      </c>
      <c r="D3" s="18" t="inlineStr">
        <is>
          <t>문제 제목</t>
        </is>
      </c>
      <c r="E3" s="18" t="inlineStr">
        <is>
          <t>알고리즘 유형 (카테고리)</t>
        </is>
      </c>
      <c r="F3" s="18" t="inlineStr">
        <is>
          <t>1차 풀이일자</t>
        </is>
      </c>
      <c r="G3" s="18" t="inlineStr">
        <is>
          <t>2차 복습(1)</t>
        </is>
      </c>
      <c r="H3" s="18" t="inlineStr">
        <is>
          <t>3차 복습(2)</t>
        </is>
      </c>
      <c r="I3" s="18" t="inlineStr">
        <is>
          <t>4차 마스터(3)</t>
        </is>
      </c>
      <c r="J3" s="18" t="inlineStr">
        <is>
          <t>학습상태</t>
        </is>
      </c>
      <c r="K3" s="18" t="inlineStr">
        <is>
          <t>오답 원인 분류 / 복습 집중
(Review Watchlist)</t>
        </is>
      </c>
      <c r="L3" s="18" t="inlineStr">
        <is>
          <t>개념정리 및 오답 / Java 구현 핵심 로직 메모</t>
        </is>
      </c>
      <c r="M3" s="21" t="inlineStr">
        <is>
          <t>Watchlist_Index</t>
        </is>
      </c>
      <c r="N3" s="24" t="inlineStr">
        <is>
          <t>권장 학습주차</t>
        </is>
      </c>
      <c r="O3" s="24" t="inlineStr">
        <is>
          <t>목표 풀이일자</t>
        </is>
      </c>
      <c r="P3" s="24" t="inlineStr">
        <is>
          <t>풀이 준수 현황</t>
        </is>
      </c>
      <c r="Q3" s="7" t="n"/>
      <c r="R3" s="7" t="n"/>
      <c r="S3" s="7" t="n"/>
      <c r="T3" s="7" t="n"/>
      <c r="U3" s="7" t="n"/>
      <c r="V3" s="7" t="n"/>
      <c r="W3" s="7" t="n"/>
      <c r="X3" s="7" t="n"/>
    </row>
    <row r="4" ht="21.75" customHeight="1" s="209">
      <c r="A4" s="28" t="n">
        <v>1</v>
      </c>
      <c r="B4" s="28" t="inlineStr">
        <is>
          <t>6251</t>
        </is>
      </c>
      <c r="C4" s="30" t="inlineStr">
        <is>
          <t>D1</t>
        </is>
      </c>
      <c r="D4" s="32" t="inlineStr">
        <is>
          <t>[파이썬 프로그래밍 기초(1) 파이썬의 기본 구조와 기초 문법] 7. 흐름과 제어 - 반복 11</t>
        </is>
      </c>
      <c r="E4" s="34" t="inlineStr">
        <is>
          <t>파이썬 기초 / 제어문반복</t>
        </is>
      </c>
      <c r="F4" s="36" t="n">
        <v>46211</v>
      </c>
      <c r="G4" s="28" t="n"/>
      <c r="H4" s="28" t="n"/>
      <c r="I4" s="28" t="n"/>
      <c r="J4" s="54">
        <f>IF(OR(ISNUMBER(SEARCH("보류",K4)),ISNUMBER(SEARCH("미룸",K4)),ISNUMBER(SEARCH("나중에",K4)),ISNUMBER(SEARCH("보류",L4)),ISNUMBER(SEARCH("미룸",L4)),ISNUMBER(SEARCH("나중에",L4))),"보류(나중에 풀기)",IF(AND(F4="",G4="",H4="",I4=""),"미완료",IF(I4&lt;&gt;"","복습3(마스터)",IF(H4&lt;&gt;"","복습2",IF(G4&lt;&gt;"","복습1",IF(ISNUMBER(SEARCH("제미나이",K4)),"복습대기(AI도움)",IF(ISNUMBER(SEARCH("간당간당",K4)),"복습대기(간당간당)",IF(OR(ISNUMBER(SEARCH("아이디어",K4)),ISNUMBER(SEARCH("시간초과",K4)),ISNUMBER(SEARCH("자료구조",K4)),ISNUMBER(SEARCH("경계값",K4)),ISNUMBER(SEARCH("다른 풀이",K4)),ISNUMBER(SEARCH("또풀기",K4))),"복습대기",IF(OR(ISNUMBER(SEARCH("복습필요없음",K4)),ISNUMBER(SEARCH("자력완벽",K4))),"품(복습불필요)",IF(F4&lt;&gt;"","품","미완료"))))))))))</f>
        <v/>
      </c>
      <c r="K4" s="32" t="inlineStr">
        <is>
          <t>-</t>
        </is>
      </c>
      <c r="L4" s="32" t="inlineStr">
        <is>
          <t>💡 [SWEA 공식 제출 인증: 2026-07-08 08:26]</t>
        </is>
      </c>
      <c r="M4" s="28">
        <f>IF(OR(LEFT(J4,2)="보류", LEFT(J4,4)="복습대기", LEFT(J4,3)="복습1", LEFT(J4,3)="복습2"), MAX($M$3:M3)+1, "")</f>
        <v/>
      </c>
      <c r="N4" s="28" t="inlineStr">
        <is>
          <t>W01</t>
        </is>
      </c>
      <c r="O4" s="36" t="n">
        <v>46211</v>
      </c>
      <c r="P4" s="30">
        <f>IF(F4&lt;&gt;"","✅ 완료",IF(O4="","-",IF(TODAY()&gt;O4,"🚨 지연","⏳ 예정")))</f>
        <v/>
      </c>
      <c r="Q4" s="7" t="n"/>
      <c r="R4" s="7" t="n"/>
      <c r="S4" s="7" t="n"/>
      <c r="T4" s="7" t="n"/>
      <c r="U4" s="7" t="n"/>
      <c r="V4" s="7" t="n"/>
      <c r="W4" s="7" t="n"/>
      <c r="X4" s="7" t="n"/>
    </row>
    <row r="5" ht="21.75" customHeight="1" s="209">
      <c r="A5" s="28" t="n">
        <v>2</v>
      </c>
      <c r="B5" s="28" t="inlineStr">
        <is>
          <t>6324</t>
        </is>
      </c>
      <c r="C5" s="30" t="inlineStr">
        <is>
          <t>D1</t>
        </is>
      </c>
      <c r="D5" s="32" t="inlineStr">
        <is>
          <t>[파이썬 프로그래밍 기초(1) 파이썬의 기본 구조와 기초 문법] 8. 함수의 기초 5</t>
        </is>
      </c>
      <c r="E5" s="34" t="inlineStr">
        <is>
          <t>파이썬 기초 / 함수실습</t>
        </is>
      </c>
      <c r="F5" s="36" t="n">
        <v>46213</v>
      </c>
      <c r="G5" s="28" t="n"/>
      <c r="H5" s="28" t="n"/>
      <c r="I5" s="28" t="n"/>
      <c r="J5" s="54">
        <f>IF(OR(ISNUMBER(SEARCH("보류",K5)),ISNUMBER(SEARCH("미룸",K5)),ISNUMBER(SEARCH("나중에",K5)),ISNUMBER(SEARCH("보류",L5)),ISNUMBER(SEARCH("미룸",L5)),ISNUMBER(SEARCH("나중에",L5))),"보류(나중에 풀기)",IF(AND(F5="",G5="",H5="",I5=""),"미완료",IF(I5&lt;&gt;"","복습3(마스터)",IF(H5&lt;&gt;"","복습2",IF(G5&lt;&gt;"","복습1",IF(ISNUMBER(SEARCH("제미나이",K5)),"복습대기(AI도움)",IF(ISNUMBER(SEARCH("간당간당",K5)),"복습대기(간당간당)",IF(OR(ISNUMBER(SEARCH("아이디어",K5)),ISNUMBER(SEARCH("시간초과",K5)),ISNUMBER(SEARCH("자료구조",K5)),ISNUMBER(SEARCH("경계값",K5)),ISNUMBER(SEARCH("다른 풀이",K5)),ISNUMBER(SEARCH("또풀기",K5))),"복습대기",IF(OR(ISNUMBER(SEARCH("복습필요없음",K5)),ISNUMBER(SEARCH("자력완벽",K5))),"품(복습불필요)",IF(F5&lt;&gt;"","품","미완료"))))))))))</f>
        <v/>
      </c>
      <c r="K5" s="32" t="inlineStr">
        <is>
          <t>-</t>
        </is>
      </c>
      <c r="L5" s="32" t="inlineStr">
        <is>
          <t>💡 [SWEA 공식 제출 인증: 2026-07-10 10:50]</t>
        </is>
      </c>
      <c r="M5" s="28">
        <f>IF(OR(LEFT(J5,2)="보류", LEFT(J5,4)="복습대기", LEFT(J5,3)="복습1", LEFT(J5,3)="복습2"), MAX($M$3:M4)+1, "")</f>
        <v/>
      </c>
      <c r="N5" s="28" t="inlineStr">
        <is>
          <t>W01</t>
        </is>
      </c>
      <c r="O5" s="36" t="n">
        <v>46213</v>
      </c>
      <c r="P5" s="30">
        <f>IF(F5&lt;&gt;"","✅ 완료",IF(O5="","-",IF(TODAY()&gt;O5,"🚨 지연","⏳ 예정")))</f>
        <v/>
      </c>
      <c r="Q5" s="7" t="n"/>
      <c r="R5" s="7" t="n"/>
      <c r="S5" s="7" t="n"/>
      <c r="T5" s="7" t="n"/>
      <c r="U5" s="7" t="n"/>
      <c r="V5" s="7" t="n"/>
      <c r="W5" s="7" t="n"/>
      <c r="X5" s="7" t="n"/>
    </row>
    <row r="6" ht="21.75" customHeight="1" s="209">
      <c r="A6" s="28" t="n">
        <v>3</v>
      </c>
      <c r="B6" s="28" t="inlineStr">
        <is>
          <t>6325</t>
        </is>
      </c>
      <c r="C6" s="30" t="inlineStr">
        <is>
          <t>D1</t>
        </is>
      </c>
      <c r="D6" s="32" t="inlineStr">
        <is>
          <t>[파이썬 프로그래밍 기초(1) 파이썬의 기본 구조와 기초 문법] 8. 함수의 기초 6</t>
        </is>
      </c>
      <c r="E6" s="59" t="inlineStr">
        <is>
          <t>파이썬 기초 / 함수실습</t>
        </is>
      </c>
      <c r="F6" s="36" t="n">
        <v>46213</v>
      </c>
      <c r="G6" s="28" t="n"/>
      <c r="H6" s="28" t="n"/>
      <c r="I6" s="28" t="n"/>
      <c r="J6" s="54">
        <f>IF(OR(ISNUMBER(SEARCH("보류",K6)),ISNUMBER(SEARCH("미룸",K6)),ISNUMBER(SEARCH("나중에",K6)),ISNUMBER(SEARCH("보류",L6)),ISNUMBER(SEARCH("미룸",L6)),ISNUMBER(SEARCH("나중에",L6))),"보류(나중에 풀기)",IF(AND(F6="",G6="",H6="",I6=""),"미완료",IF(I6&lt;&gt;"","복습3(마스터)",IF(H6&lt;&gt;"","복습2",IF(G6&lt;&gt;"","복습1",IF(ISNUMBER(SEARCH("제미나이",K6)),"복습대기(AI도움)",IF(ISNUMBER(SEARCH("간당간당",K6)),"복습대기(간당간당)",IF(OR(ISNUMBER(SEARCH("아이디어",K6)),ISNUMBER(SEARCH("시간초과",K6)),ISNUMBER(SEARCH("자료구조",K6)),ISNUMBER(SEARCH("경계값",K6)),ISNUMBER(SEARCH("다른 풀이",K6)),ISNUMBER(SEARCH("또풀기",K6))),"복습대기",IF(OR(ISNUMBER(SEARCH("복습필요없음",K6)),ISNUMBER(SEARCH("자력완벽",K6))),"품(복습불필요)",IF(F6&lt;&gt;"","품","미완료"))))))))))</f>
        <v/>
      </c>
      <c r="K6" s="32" t="inlineStr">
        <is>
          <t>-</t>
        </is>
      </c>
      <c r="L6" s="32" t="inlineStr">
        <is>
          <t>💡 [SWEA 공식 제출 인증: 2026-07-10 10:16]</t>
        </is>
      </c>
      <c r="M6" s="28">
        <f>IF(OR(LEFT(J6,2)="보류", LEFT(J6,4)="복습대기", LEFT(J6,3)="복습1", LEFT(J6,3)="복습2"), MAX($M$3:M5)+1, "")</f>
        <v/>
      </c>
      <c r="N6" s="28" t="inlineStr">
        <is>
          <t>W01</t>
        </is>
      </c>
      <c r="O6" s="36" t="n">
        <v>46213</v>
      </c>
      <c r="P6" s="30">
        <f>IF(F6&lt;&gt;"","✅ 완료",IF(O6="","-",IF(TODAY()&gt;O6,"🚨 지연","⏳ 예정")))</f>
        <v/>
      </c>
      <c r="Q6" s="7" t="n"/>
      <c r="R6" s="7" t="n"/>
      <c r="S6" s="7" t="n"/>
      <c r="T6" s="7" t="n"/>
      <c r="U6" s="7" t="n"/>
      <c r="V6" s="7" t="n"/>
      <c r="W6" s="7" t="n"/>
      <c r="X6" s="7" t="n"/>
    </row>
    <row r="7" ht="21.75" customHeight="1" s="209">
      <c r="A7" s="62" t="n">
        <v>4</v>
      </c>
      <c r="B7" s="62" t="inlineStr">
        <is>
          <t>6326</t>
        </is>
      </c>
      <c r="C7" s="63" t="inlineStr">
        <is>
          <t>D1</t>
        </is>
      </c>
      <c r="D7" s="65" t="inlineStr">
        <is>
          <t>[파이썬 프로그래밍 기초(1) 파이썬의 기본 구조와 기초 문법] 8. 함수의 기초 7</t>
        </is>
      </c>
      <c r="E7" s="62" t="inlineStr">
        <is>
          <t>파이썬 기초 / 함수실습</t>
        </is>
      </c>
      <c r="F7" s="36" t="n">
        <v>46213</v>
      </c>
      <c r="G7" s="28" t="n"/>
      <c r="H7" s="28" t="n"/>
      <c r="I7" s="28" t="n"/>
      <c r="J7" s="54">
        <f>IF(OR(ISNUMBER(SEARCH("보류",K7)),ISNUMBER(SEARCH("미룸",K7)),ISNUMBER(SEARCH("나중에",K7)),ISNUMBER(SEARCH("보류",L7)),ISNUMBER(SEARCH("미룸",L7)),ISNUMBER(SEARCH("나중에",L7))),"보류(나중에 풀기)",IF(AND(F7="",G7="",H7="",I7=""),"미완료",IF(I7&lt;&gt;"","복습3(마스터)",IF(H7&lt;&gt;"","복습2",IF(G7&lt;&gt;"","복습1",IF(ISNUMBER(SEARCH("제미나이",K7)),"복습대기(AI도움)",IF(ISNUMBER(SEARCH("간당간당",K7)),"복습대기(간당간당)",IF(OR(ISNUMBER(SEARCH("아이디어",K7)),ISNUMBER(SEARCH("시간초과",K7)),ISNUMBER(SEARCH("자료구조",K7)),ISNUMBER(SEARCH("경계값",K7)),ISNUMBER(SEARCH("다른 풀이",K7)),ISNUMBER(SEARCH("또풀기",K7))),"복습대기",IF(OR(ISNUMBER(SEARCH("복습필요없음",K7)),ISNUMBER(SEARCH("자력완벽",K7))),"품(복습불필요)",IF(F7&lt;&gt;"","품","미완료"))))))))))</f>
        <v/>
      </c>
      <c r="K7" s="32" t="inlineStr">
        <is>
          <t>-</t>
        </is>
      </c>
      <c r="L7" s="32" t="inlineStr">
        <is>
          <t>💡 [SWEA 공식 제출 인증: 2026-07-10 10:08]</t>
        </is>
      </c>
      <c r="M7" s="28">
        <f>IF(OR(LEFT(J7,2)="보류", LEFT(J7,4)="복습대기", LEFT(J7,3)="복습1", LEFT(J7,3)="복습2"), MAX($M$3:M6)+1, "")</f>
        <v/>
      </c>
      <c r="N7" s="28" t="inlineStr">
        <is>
          <t>W01</t>
        </is>
      </c>
      <c r="O7" s="36" t="n">
        <v>46213</v>
      </c>
      <c r="P7" s="30">
        <f>IF(F7&lt;&gt;"","✅ 완료",IF(O7="","-",IF(TODAY()&gt;O7,"🚨 지연","⏳ 예정")))</f>
        <v/>
      </c>
      <c r="Q7" s="7" t="n"/>
      <c r="R7" s="7" t="n"/>
      <c r="S7" s="7" t="n"/>
      <c r="T7" s="7" t="n"/>
      <c r="U7" s="7" t="n"/>
      <c r="V7" s="7" t="n"/>
      <c r="W7" s="7" t="n"/>
      <c r="X7" s="7" t="n"/>
    </row>
    <row r="8" ht="21.75" customHeight="1" s="209">
      <c r="A8" s="28" t="n">
        <v>5</v>
      </c>
      <c r="B8" s="28" t="inlineStr">
        <is>
          <t>6327</t>
        </is>
      </c>
      <c r="C8" s="30" t="inlineStr">
        <is>
          <t>D1</t>
        </is>
      </c>
      <c r="D8" s="32" t="inlineStr">
        <is>
          <t>[파이썬 프로그래밍 기초(1) 파이썬의 기본 구조와 기초 문법] 8. 함수의 기초 8</t>
        </is>
      </c>
      <c r="E8" s="59" t="inlineStr">
        <is>
          <t>파이썬 기초 / 함수실습</t>
        </is>
      </c>
      <c r="F8" s="36" t="n">
        <v>46213</v>
      </c>
      <c r="G8" s="28" t="n"/>
      <c r="H8" s="28" t="n"/>
      <c r="I8" s="28" t="n"/>
      <c r="J8" s="54">
        <f>IF(OR(ISNUMBER(SEARCH("보류",K8)),ISNUMBER(SEARCH("미룸",K8)),ISNUMBER(SEARCH("나중에",K8)),ISNUMBER(SEARCH("보류",L8)),ISNUMBER(SEARCH("미룸",L8)),ISNUMBER(SEARCH("나중에",L8))),"보류(나중에 풀기)",IF(AND(F8="",G8="",H8="",I8=""),"미완료",IF(I8&lt;&gt;"","복습3(마스터)",IF(H8&lt;&gt;"","복습2",IF(G8&lt;&gt;"","복습1",IF(ISNUMBER(SEARCH("제미나이",K8)),"복습대기(AI도움)",IF(ISNUMBER(SEARCH("간당간당",K8)),"복습대기(간당간당)",IF(OR(ISNUMBER(SEARCH("아이디어",K8)),ISNUMBER(SEARCH("시간초과",K8)),ISNUMBER(SEARCH("자료구조",K8)),ISNUMBER(SEARCH("경계값",K8)),ISNUMBER(SEARCH("다른 풀이",K8)),ISNUMBER(SEARCH("또풀기",K8))),"복습대기",IF(OR(ISNUMBER(SEARCH("복습필요없음",K8)),ISNUMBER(SEARCH("자력완벽",K8))),"품(복습불필요)",IF(F8&lt;&gt;"","품","미완료"))))))))))</f>
        <v/>
      </c>
      <c r="K8" s="32" t="inlineStr">
        <is>
          <t>-</t>
        </is>
      </c>
      <c r="L8" s="32" t="inlineStr">
        <is>
          <t>💡 [SWEA 공식 제출 인증: 2026-07-10 09:48]</t>
        </is>
      </c>
      <c r="M8" s="28">
        <f>IF(OR(LEFT(J8,2)="보류", LEFT(J8,4)="복습대기", LEFT(J8,3)="복습1", LEFT(J8,3)="복습2"), MAX($M$3:M7)+1, "")</f>
        <v/>
      </c>
      <c r="N8" s="28" t="inlineStr">
        <is>
          <t>W01</t>
        </is>
      </c>
      <c r="O8" s="36" t="n">
        <v>46213</v>
      </c>
      <c r="P8" s="30">
        <f>IF(F8&lt;&gt;"","✅ 완료",IF(O8="","-",IF(TODAY()&gt;O8,"🚨 지연","⏳ 예정")))</f>
        <v/>
      </c>
      <c r="Q8" s="7" t="n"/>
      <c r="R8" s="7" t="n"/>
      <c r="S8" s="7" t="n"/>
      <c r="T8" s="7" t="n"/>
      <c r="U8" s="7" t="n"/>
      <c r="V8" s="7" t="n"/>
      <c r="W8" s="7" t="n"/>
      <c r="X8" s="7" t="n"/>
    </row>
    <row r="9" ht="21.75" customHeight="1" s="209">
      <c r="A9" s="28" t="n">
        <v>6</v>
      </c>
      <c r="B9" s="28" t="inlineStr">
        <is>
          <t>6328</t>
        </is>
      </c>
      <c r="C9" s="30" t="inlineStr">
        <is>
          <t>D1</t>
        </is>
      </c>
      <c r="D9" s="32" t="inlineStr">
        <is>
          <t>[파이썬 프로그래밍 기초(1) 파이썬의 기본 구조와 기초 문법] 8. 함수의 기초 9</t>
        </is>
      </c>
      <c r="E9" s="59" t="inlineStr">
        <is>
          <t>파이썬 기초 / 함수실습</t>
        </is>
      </c>
      <c r="F9" s="36" t="n">
        <v>46213</v>
      </c>
      <c r="G9" s="28" t="n"/>
      <c r="H9" s="28" t="n"/>
      <c r="I9" s="28" t="n"/>
      <c r="J9" s="54">
        <f>IF(OR(ISNUMBER(SEARCH("보류",K9)),ISNUMBER(SEARCH("미룸",K9)),ISNUMBER(SEARCH("나중에",K9)),ISNUMBER(SEARCH("보류",L9)),ISNUMBER(SEARCH("미룸",L9)),ISNUMBER(SEARCH("나중에",L9))),"보류(나중에 풀기)",IF(AND(F9="",G9="",H9="",I9=""),"미완료",IF(I9&lt;&gt;"","복습3(마스터)",IF(H9&lt;&gt;"","복습2",IF(G9&lt;&gt;"","복습1",IF(ISNUMBER(SEARCH("제미나이",K9)),"복습대기(AI도움)",IF(ISNUMBER(SEARCH("간당간당",K9)),"복습대기(간당간당)",IF(OR(ISNUMBER(SEARCH("아이디어",K9)),ISNUMBER(SEARCH("시간초과",K9)),ISNUMBER(SEARCH("자료구조",K9)),ISNUMBER(SEARCH("경계값",K9)),ISNUMBER(SEARCH("다른 풀이",K9)),ISNUMBER(SEARCH("또풀기",K9))),"복습대기",IF(OR(ISNUMBER(SEARCH("복습필요없음",K9)),ISNUMBER(SEARCH("자력완벽",K9))),"품(복습불필요)",IF(F9&lt;&gt;"","품","미완료"))))))))))</f>
        <v/>
      </c>
      <c r="K9" s="32" t="inlineStr">
        <is>
          <t>-</t>
        </is>
      </c>
      <c r="L9" s="32" t="inlineStr">
        <is>
          <t>💡 [SWEA 공식 제출 인증: 2026-07-10 09:16]</t>
        </is>
      </c>
      <c r="M9" s="28">
        <f>IF(OR(LEFT(J9,2)="보류", LEFT(J9,4)="복습대기", LEFT(J9,3)="복습1", LEFT(J9,3)="복습2"), MAX($M$3:M8)+1, "")</f>
        <v/>
      </c>
      <c r="N9" s="28" t="inlineStr">
        <is>
          <t>W01</t>
        </is>
      </c>
      <c r="O9" s="36" t="n">
        <v>46213</v>
      </c>
      <c r="P9" s="30">
        <f>IF(F9&lt;&gt;"","✅ 완료",IF(O9="","-",IF(TODAY()&gt;O9,"🚨 지연","⏳ 예정")))</f>
        <v/>
      </c>
      <c r="Q9" s="7" t="n"/>
      <c r="R9" s="7" t="n"/>
      <c r="S9" s="7" t="n"/>
      <c r="T9" s="7" t="n"/>
      <c r="U9" s="7" t="n"/>
      <c r="V9" s="7" t="n"/>
      <c r="W9" s="7" t="n"/>
      <c r="X9" s="7" t="n"/>
    </row>
    <row r="10" ht="21.75" customHeight="1" s="209">
      <c r="A10" s="28" t="n">
        <v>7</v>
      </c>
      <c r="B10" s="28" t="inlineStr">
        <is>
          <t>6329</t>
        </is>
      </c>
      <c r="C10" s="30" t="inlineStr">
        <is>
          <t>D1</t>
        </is>
      </c>
      <c r="D10" s="32" t="inlineStr">
        <is>
          <t>[파이썬 프로그래밍 기초(1) 파이썬의 기본 구조와 기초 문법] 8. 함수의 기초 10</t>
        </is>
      </c>
      <c r="E10" s="34" t="inlineStr">
        <is>
          <t>파이썬 기초 / 함수실습</t>
        </is>
      </c>
      <c r="F10" s="36" t="n">
        <v>46213</v>
      </c>
      <c r="G10" s="28" t="n"/>
      <c r="H10" s="28" t="n"/>
      <c r="I10" s="28" t="n"/>
      <c r="J10" s="54">
        <f>IF(OR(ISNUMBER(SEARCH("보류",K10)),ISNUMBER(SEARCH("미룸",K10)),ISNUMBER(SEARCH("나중에",K10)),ISNUMBER(SEARCH("보류",L10)),ISNUMBER(SEARCH("미룸",L10)),ISNUMBER(SEARCH("나중에",L10))),"보류(나중에 풀기)",IF(AND(F10="",G10="",H10="",I10=""),"미완료",IF(I10&lt;&gt;"","복습3(마스터)",IF(H10&lt;&gt;"","복습2",IF(G10&lt;&gt;"","복습1",IF(ISNUMBER(SEARCH("제미나이",K10)),"복습대기(AI도움)",IF(ISNUMBER(SEARCH("간당간당",K10)),"복습대기(간당간당)",IF(OR(ISNUMBER(SEARCH("아이디어",K10)),ISNUMBER(SEARCH("시간초과",K10)),ISNUMBER(SEARCH("자료구조",K10)),ISNUMBER(SEARCH("경계값",K10)),ISNUMBER(SEARCH("다른 풀이",K10)),ISNUMBER(SEARCH("또풀기",K10))),"복습대기",IF(OR(ISNUMBER(SEARCH("복습필요없음",K10)),ISNUMBER(SEARCH("자력완벽",K10))),"품(복습불필요)",IF(F10&lt;&gt;"","품","미완료"))))))))))</f>
        <v/>
      </c>
      <c r="K10" s="32" t="inlineStr">
        <is>
          <t>-</t>
        </is>
      </c>
      <c r="L10" s="32" t="inlineStr">
        <is>
          <t>💡 [SWEA 공식 제출 인증: 2026-07-10 09:09]</t>
        </is>
      </c>
      <c r="M10" s="28">
        <f>IF(OR(LEFT(J10,2)="보류", LEFT(J10,4)="복습대기", LEFT(J10,3)="복습1", LEFT(J10,3)="복습2"), MAX($M$3:M9)+1, "")</f>
        <v/>
      </c>
      <c r="N10" s="28" t="inlineStr">
        <is>
          <t>W01</t>
        </is>
      </c>
      <c r="O10" s="36" t="n">
        <v>46213</v>
      </c>
      <c r="P10" s="30">
        <f>IF(F10&lt;&gt;"","✅ 완료",IF(O10="","-",IF(TODAY()&gt;O10,"🚨 지연","⏳ 예정")))</f>
        <v/>
      </c>
      <c r="Q10" s="7" t="n"/>
      <c r="R10" s="7" t="n"/>
      <c r="S10" s="7" t="n"/>
      <c r="T10" s="7" t="n"/>
      <c r="U10" s="7" t="n"/>
      <c r="V10" s="7" t="n"/>
      <c r="W10" s="7" t="n"/>
      <c r="X10" s="7" t="n"/>
    </row>
    <row r="11" ht="21.75" customHeight="1" s="209">
      <c r="A11" s="28" t="n">
        <v>8</v>
      </c>
      <c r="B11" s="28" t="inlineStr">
        <is>
          <t>6678</t>
        </is>
      </c>
      <c r="C11" s="30" t="inlineStr">
        <is>
          <t>D1</t>
        </is>
      </c>
      <c r="D11" s="32" t="inlineStr">
        <is>
          <t>[파이썬 프로그래밍 기초(2) 파이썬의 기본 응용] 4. 문자열 4</t>
        </is>
      </c>
      <c r="E11" s="34" t="inlineStr">
        <is>
          <t>문자열 / 기초파싱</t>
        </is>
      </c>
      <c r="F11" s="36" t="n">
        <v>46213</v>
      </c>
      <c r="G11" s="28" t="n"/>
      <c r="H11" s="28" t="n"/>
      <c r="I11" s="28" t="n"/>
      <c r="J11" s="54">
        <f>IF(OR(ISNUMBER(SEARCH("보류",K11)),ISNUMBER(SEARCH("미룸",K11)),ISNUMBER(SEARCH("나중에",K11)),ISNUMBER(SEARCH("보류",L11)),ISNUMBER(SEARCH("미룸",L11)),ISNUMBER(SEARCH("나중에",L11))),"보류(나중에 풀기)",IF(AND(F11="",G11="",H11="",I11=""),"미완료",IF(I11&lt;&gt;"","복습3(마스터)",IF(H11&lt;&gt;"","복습2",IF(G11&lt;&gt;"","복습1",IF(ISNUMBER(SEARCH("제미나이",K11)),"복습대기(AI도움)",IF(ISNUMBER(SEARCH("간당간당",K11)),"복습대기(간당간당)",IF(OR(ISNUMBER(SEARCH("아이디어",K11)),ISNUMBER(SEARCH("시간초과",K11)),ISNUMBER(SEARCH("자료구조",K11)),ISNUMBER(SEARCH("경계값",K11)),ISNUMBER(SEARCH("다른 풀이",K11)),ISNUMBER(SEARCH("또풀기",K11))),"복습대기",IF(OR(ISNUMBER(SEARCH("복습필요없음",K11)),ISNUMBER(SEARCH("자력완벽",K11))),"품(복습불필요)",IF(F11&lt;&gt;"","품","미완료"))))))))))</f>
        <v/>
      </c>
      <c r="K11" s="32" t="inlineStr">
        <is>
          <t>-</t>
        </is>
      </c>
      <c r="L11" s="32" t="inlineStr">
        <is>
          <t>💡 [SWEA 공식 제출 인증: 2026-07-10 09:04]</t>
        </is>
      </c>
      <c r="M11" s="28">
        <f>IF(OR(LEFT(J11,2)="보류", LEFT(J11,4)="복습대기", LEFT(J11,3)="복습1", LEFT(J11,3)="복습2"), MAX($M$3:M10)+1, "")</f>
        <v/>
      </c>
      <c r="N11" s="28" t="inlineStr">
        <is>
          <t>W01</t>
        </is>
      </c>
      <c r="O11" s="36" t="n">
        <v>46213</v>
      </c>
      <c r="P11" s="30">
        <f>IF(F11&lt;&gt;"","✅ 완료",IF(O11="","-",IF(TODAY()&gt;O11,"🚨 지연","⏳ 예정")))</f>
        <v/>
      </c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21.75" customHeight="1" s="209">
      <c r="A12" s="28" t="n">
        <v>9</v>
      </c>
      <c r="B12" s="28" t="inlineStr">
        <is>
          <t>6204</t>
        </is>
      </c>
      <c r="C12" s="30" t="inlineStr">
        <is>
          <t>D1</t>
        </is>
      </c>
      <c r="D12" s="32" t="inlineStr">
        <is>
          <t>[파이썬 프로그래밍 기초(1) 파이썬의 기본 구조와 기초 문법] 5. 연산자 1</t>
        </is>
      </c>
      <c r="E12" s="34" t="inlineStr">
        <is>
          <t>파이썬 기초 / 연산자</t>
        </is>
      </c>
      <c r="F12" s="36" t="n">
        <v>46213</v>
      </c>
      <c r="G12" s="28" t="n"/>
      <c r="H12" s="28" t="n"/>
      <c r="I12" s="28" t="n"/>
      <c r="J12" s="54">
        <f>IF(OR(ISNUMBER(SEARCH("보류",K12)),ISNUMBER(SEARCH("미룸",K12)),ISNUMBER(SEARCH("나중에",K12)),ISNUMBER(SEARCH("보류",L12)),ISNUMBER(SEARCH("미룸",L12)),ISNUMBER(SEARCH("나중에",L12))),"보류(나중에 풀기)",IF(AND(F12="",G12="",H12="",I12=""),"미완료",IF(I12&lt;&gt;"","복습3(마스터)",IF(H12&lt;&gt;"","복습2",IF(G12&lt;&gt;"","복습1",IF(ISNUMBER(SEARCH("제미나이",K12)),"복습대기(AI도움)",IF(ISNUMBER(SEARCH("간당간당",K12)),"복습대기(간당간당)",IF(OR(ISNUMBER(SEARCH("아이디어",K12)),ISNUMBER(SEARCH("시간초과",K12)),ISNUMBER(SEARCH("자료구조",K12)),ISNUMBER(SEARCH("경계값",K12)),ISNUMBER(SEARCH("다른 풀이",K12)),ISNUMBER(SEARCH("또풀기",K12))),"복습대기",IF(OR(ISNUMBER(SEARCH("복습필요없음",K12)),ISNUMBER(SEARCH("자력완벽",K12))),"품(복습불필요)",IF(F12&lt;&gt;"","품","미완료"))))))))))</f>
        <v/>
      </c>
      <c r="K12" s="32" t="inlineStr">
        <is>
          <t>-</t>
        </is>
      </c>
      <c r="L12" s="32" t="inlineStr">
        <is>
          <t>💡 [SWEA 공식 제출 인증: 2026-07-10 09:01]</t>
        </is>
      </c>
      <c r="M12" s="28">
        <f>IF(OR(LEFT(J12,2)="보류", LEFT(J12,4)="복습대기", LEFT(J12,3)="복습1", LEFT(J12,3)="복습2"), MAX($M$3:M11)+1, "")</f>
        <v/>
      </c>
      <c r="N12" s="28" t="inlineStr">
        <is>
          <t>W01</t>
        </is>
      </c>
      <c r="O12" s="36" t="n">
        <v>46213</v>
      </c>
      <c r="P12" s="30">
        <f>IF(F12&lt;&gt;"","✅ 완료",IF(O12="","-",IF(TODAY()&gt;O12,"🚨 지연","⏳ 예정")))</f>
        <v/>
      </c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21.75" customHeight="1" s="209">
      <c r="A13" s="28" t="n">
        <v>10</v>
      </c>
      <c r="B13" s="28" t="inlineStr">
        <is>
          <t>6249</t>
        </is>
      </c>
      <c r="C13" s="30" t="inlineStr">
        <is>
          <t>D1</t>
        </is>
      </c>
      <c r="D13" s="32" t="inlineStr">
        <is>
          <t>[파이썬 프로그래밍 기초(1) 파이썬의 기본 구조와 기초 문법] 7. 흐름과 제어 - 반복 10</t>
        </is>
      </c>
      <c r="E13" s="66" t="inlineStr">
        <is>
          <t>파이썬 기초 / 제어문반복</t>
        </is>
      </c>
      <c r="F13" s="36" t="n">
        <v>46213</v>
      </c>
      <c r="G13" s="28" t="n"/>
      <c r="H13" s="28" t="n"/>
      <c r="I13" s="28" t="n"/>
      <c r="J13" s="54">
        <f>IF(OR(ISNUMBER(SEARCH("보류",K13)),ISNUMBER(SEARCH("미룸",K13)),ISNUMBER(SEARCH("나중에",K13)),ISNUMBER(SEARCH("보류",L13)),ISNUMBER(SEARCH("미룸",L13)),ISNUMBER(SEARCH("나중에",L13))),"보류(나중에 풀기)",IF(AND(F13="",G13="",H13="",I13=""),"미완료",IF(I13&lt;&gt;"","복습3(마스터)",IF(H13&lt;&gt;"","복습2",IF(G13&lt;&gt;"","복습1",IF(ISNUMBER(SEARCH("제미나이",K13)),"복습대기(AI도움)",IF(ISNUMBER(SEARCH("간당간당",K13)),"복습대기(간당간당)",IF(OR(ISNUMBER(SEARCH("아이디어",K13)),ISNUMBER(SEARCH("시간초과",K13)),ISNUMBER(SEARCH("자료구조",K13)),ISNUMBER(SEARCH("경계값",K13)),ISNUMBER(SEARCH("다른 풀이",K13)),ISNUMBER(SEARCH("또풀기",K13))),"복습대기",IF(OR(ISNUMBER(SEARCH("복습필요없음",K13)),ISNUMBER(SEARCH("자력완벽",K13))),"품(복습불필요)",IF(F13&lt;&gt;"","품","미완료"))))))))))</f>
        <v/>
      </c>
      <c r="K13" s="32" t="inlineStr">
        <is>
          <t>-</t>
        </is>
      </c>
      <c r="L13" s="32" t="inlineStr">
        <is>
          <t>💡 [SWEA 공식 제출 인증: 2026-07-10 08:59]</t>
        </is>
      </c>
      <c r="M13" s="28">
        <f>IF(OR(LEFT(J13,2)="보류", LEFT(J13,4)="복습대기", LEFT(J13,3)="복습1", LEFT(J13,3)="복습2"), MAX($M$3:M12)+1, "")</f>
        <v/>
      </c>
      <c r="N13" s="28" t="inlineStr">
        <is>
          <t>W01</t>
        </is>
      </c>
      <c r="O13" s="36" t="n">
        <v>46213</v>
      </c>
      <c r="P13" s="30">
        <f>IF(F13&lt;&gt;"","✅ 완료",IF(O13="","-",IF(TODAY()&gt;O13,"🚨 지연","⏳ 예정")))</f>
        <v/>
      </c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21.75" customHeight="1" s="209">
      <c r="A14" s="28" t="n">
        <v>11</v>
      </c>
      <c r="B14" s="28" t="inlineStr">
        <is>
          <t>6317</t>
        </is>
      </c>
      <c r="C14" s="30" t="inlineStr">
        <is>
          <t>D1</t>
        </is>
      </c>
      <c r="D14" s="32" t="inlineStr">
        <is>
          <t>[파이썬 프로그래밍 기초(1) 파이썬의 기본 구조와 기초 문법] 9. 내장함수 10</t>
        </is>
      </c>
      <c r="E14" s="59" t="inlineStr">
        <is>
          <t>파이썬 기초 / 함수실습</t>
        </is>
      </c>
      <c r="F14" s="36" t="n">
        <v>46216</v>
      </c>
      <c r="G14" s="28" t="n"/>
      <c r="H14" s="28" t="n"/>
      <c r="I14" s="28" t="n"/>
      <c r="J14" s="54">
        <f>IF(OR(ISNUMBER(SEARCH("보류",K14)),ISNUMBER(SEARCH("미룸",K14)),ISNUMBER(SEARCH("나중에",K14)),ISNUMBER(SEARCH("보류",L14)),ISNUMBER(SEARCH("미룸",L14)),ISNUMBER(SEARCH("나중에",L14))),"보류(나중에 풀기)",IF(AND(F14="",G14="",H14="",I14=""),"미완료",IF(I14&lt;&gt;"","복습3(마스터)",IF(H14&lt;&gt;"","복습2",IF(G14&lt;&gt;"","복습1",IF(ISNUMBER(SEARCH("제미나이",K14)),"복습대기(AI도움)",IF(ISNUMBER(SEARCH("간당간당",K14)),"복습대기(간당간당)",IF(OR(ISNUMBER(SEARCH("아이디어",K14)),ISNUMBER(SEARCH("시간초과",K14)),ISNUMBER(SEARCH("자료구조",K14)),ISNUMBER(SEARCH("경계값",K14)),ISNUMBER(SEARCH("다른 풀이",K14)),ISNUMBER(SEARCH("또풀기",K14))),"복습대기",IF(OR(ISNUMBER(SEARCH("복습필요없음",K14)),ISNUMBER(SEARCH("자력완벽",K14))),"품(복습불필요)",IF(F14&lt;&gt;"","품","미완료"))))))))))</f>
        <v/>
      </c>
      <c r="K14" s="32" t="inlineStr">
        <is>
          <t>-</t>
        </is>
      </c>
      <c r="L14" s="32" t="inlineStr">
        <is>
          <t>💡 [SWEA 공식 제출 인증: 2026-07-13 13:56]</t>
        </is>
      </c>
      <c r="M14" s="28">
        <f>IF(OR(LEFT(J14,2)="보류", LEFT(J14,4)="복습대기", LEFT(J14,3)="복습1", LEFT(J14,3)="복습2"), MAX($M$3:M13)+1, "")</f>
        <v/>
      </c>
      <c r="N14" s="28" t="inlineStr">
        <is>
          <t>W01</t>
        </is>
      </c>
      <c r="O14" s="36" t="n">
        <v>46216</v>
      </c>
      <c r="P14" s="30">
        <f>IF(F14&lt;&gt;"","✅ 완료",IF(O14="","-",IF(TODAY()&gt;O14,"🚨 지연","⏳ 예정")))</f>
        <v/>
      </c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21.75" customHeight="1" s="209">
      <c r="A15" s="28" t="n">
        <v>12</v>
      </c>
      <c r="B15" s="28" t="inlineStr">
        <is>
          <t>6318</t>
        </is>
      </c>
      <c r="C15" s="30" t="inlineStr">
        <is>
          <t>D1</t>
        </is>
      </c>
      <c r="D15" s="32" t="inlineStr">
        <is>
          <t>[파이썬 프로그래밍 기초(1) 파이썬의 기본 구조와 기초 문법] 9. 내장함수 11</t>
        </is>
      </c>
      <c r="E15" s="34" t="inlineStr">
        <is>
          <t>파이썬 기초 / 함수실습</t>
        </is>
      </c>
      <c r="F15" s="36" t="n">
        <v>46216</v>
      </c>
      <c r="G15" s="28" t="n"/>
      <c r="H15" s="28" t="n"/>
      <c r="I15" s="28" t="n"/>
      <c r="J15" s="54">
        <f>IF(OR(ISNUMBER(SEARCH("보류",K15)),ISNUMBER(SEARCH("미룸",K15)),ISNUMBER(SEARCH("나중에",K15)),ISNUMBER(SEARCH("보류",L15)),ISNUMBER(SEARCH("미룸",L15)),ISNUMBER(SEARCH("나중에",L15))),"보류(나중에 풀기)",IF(AND(F15="",G15="",H15="",I15=""),"미완료",IF(I15&lt;&gt;"","복습3(마스터)",IF(H15&lt;&gt;"","복습2",IF(G15&lt;&gt;"","복습1",IF(ISNUMBER(SEARCH("제미나이",K15)),"복습대기(AI도움)",IF(ISNUMBER(SEARCH("간당간당",K15)),"복습대기(간당간당)",IF(OR(ISNUMBER(SEARCH("아이디어",K15)),ISNUMBER(SEARCH("시간초과",K15)),ISNUMBER(SEARCH("자료구조",K15)),ISNUMBER(SEARCH("경계값",K15)),ISNUMBER(SEARCH("다른 풀이",K15)),ISNUMBER(SEARCH("또풀기",K15))),"복습대기",IF(OR(ISNUMBER(SEARCH("복습필요없음",K15)),ISNUMBER(SEARCH("자력완벽",K15))),"품(복습불필요)",IF(F15&lt;&gt;"","품","미완료"))))))))))</f>
        <v/>
      </c>
      <c r="K15" s="32" t="inlineStr">
        <is>
          <t>-</t>
        </is>
      </c>
      <c r="L15" s="32" t="inlineStr">
        <is>
          <t>💡 [SWEA 공식 제출 인증: 2026-07-13 11:18]</t>
        </is>
      </c>
      <c r="M15" s="28">
        <f>IF(OR(LEFT(J15,2)="보류", LEFT(J15,4)="복습대기", LEFT(J15,3)="복습1", LEFT(J15,3)="복습2"), MAX($M$3:M14)+1, "")</f>
        <v/>
      </c>
      <c r="N15" s="28" t="inlineStr">
        <is>
          <t>W01</t>
        </is>
      </c>
      <c r="O15" s="36" t="n">
        <v>46216</v>
      </c>
      <c r="P15" s="30">
        <f>IF(F15&lt;&gt;"","✅ 완료",IF(O15="","-",IF(TODAY()&gt;O15,"🚨 지연","⏳ 예정")))</f>
        <v/>
      </c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21.75" customHeight="1" s="209">
      <c r="A16" s="28" t="n">
        <v>13</v>
      </c>
      <c r="B16" s="28" t="inlineStr">
        <is>
          <t>6319</t>
        </is>
      </c>
      <c r="C16" s="30" t="inlineStr">
        <is>
          <t>D1</t>
        </is>
      </c>
      <c r="D16" s="32" t="inlineStr">
        <is>
          <t>[파이썬 프로그래밍 기초(1) 파이썬의 기본 구조와 기초 문법] 8. 함수의 기초 1</t>
        </is>
      </c>
      <c r="E16" s="34" t="inlineStr">
        <is>
          <t>파이썬 기초 / 함수실습</t>
        </is>
      </c>
      <c r="F16" s="36" t="n">
        <v>46216</v>
      </c>
      <c r="G16" s="28" t="n"/>
      <c r="H16" s="28" t="n"/>
      <c r="I16" s="28" t="n"/>
      <c r="J16" s="54">
        <f>IF(OR(ISNUMBER(SEARCH("보류",K16)),ISNUMBER(SEARCH("미룸",K16)),ISNUMBER(SEARCH("나중에",K16)),ISNUMBER(SEARCH("보류",L16)),ISNUMBER(SEARCH("미룸",L16)),ISNUMBER(SEARCH("나중에",L16))),"보류(나중에 풀기)",IF(AND(F16="",G16="",H16="",I16=""),"미완료",IF(I16&lt;&gt;"","복습3(마스터)",IF(H16&lt;&gt;"","복습2",IF(G16&lt;&gt;"","복습1",IF(ISNUMBER(SEARCH("제미나이",K16)),"복습대기(AI도움)",IF(ISNUMBER(SEARCH("간당간당",K16)),"복습대기(간당간당)",IF(OR(ISNUMBER(SEARCH("아이디어",K16)),ISNUMBER(SEARCH("시간초과",K16)),ISNUMBER(SEARCH("자료구조",K16)),ISNUMBER(SEARCH("경계값",K16)),ISNUMBER(SEARCH("다른 풀이",K16)),ISNUMBER(SEARCH("또풀기",K16))),"복습대기",IF(OR(ISNUMBER(SEARCH("복습필요없음",K16)),ISNUMBER(SEARCH("자력완벽",K16))),"품(복습불필요)",IF(F16&lt;&gt;"","품","미완료"))))))))))</f>
        <v/>
      </c>
      <c r="K16" s="32" t="inlineStr">
        <is>
          <t>-</t>
        </is>
      </c>
      <c r="L16" s="32" t="inlineStr">
        <is>
          <t>💡 [SWEA 공식 제출 인증: 2026-07-13 11:07]</t>
        </is>
      </c>
      <c r="M16" s="28">
        <f>IF(OR(LEFT(J16,2)="보류", LEFT(J16,4)="복습대기", LEFT(J16,3)="복습1", LEFT(J16,3)="복습2"), MAX($M$3:M15)+1, "")</f>
        <v/>
      </c>
      <c r="N16" s="28" t="inlineStr">
        <is>
          <t>W01</t>
        </is>
      </c>
      <c r="O16" s="36" t="n">
        <v>46216</v>
      </c>
      <c r="P16" s="30">
        <f>IF(F16&lt;&gt;"","✅ 완료",IF(O16="","-",IF(TODAY()&gt;O16,"🚨 지연","⏳ 예정")))</f>
        <v/>
      </c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21.75" customHeight="1" s="209">
      <c r="A17" s="28" t="n">
        <v>14</v>
      </c>
      <c r="B17" s="28" t="inlineStr">
        <is>
          <t>6320</t>
        </is>
      </c>
      <c r="C17" s="30" t="inlineStr">
        <is>
          <t>D1</t>
        </is>
      </c>
      <c r="D17" s="32" t="inlineStr">
        <is>
          <t>[파이썬 프로그래밍 기초(1) 파이썬의 기본 구조와 기초 문법] 8. 함수의 기초 2</t>
        </is>
      </c>
      <c r="E17" s="59" t="inlineStr">
        <is>
          <t>파이썬 기초 / 함수실습</t>
        </is>
      </c>
      <c r="F17" s="36" t="n">
        <v>46216</v>
      </c>
      <c r="G17" s="28" t="n"/>
      <c r="H17" s="28" t="n"/>
      <c r="I17" s="28" t="n"/>
      <c r="J17" s="54">
        <f>IF(OR(ISNUMBER(SEARCH("보류",K17)),ISNUMBER(SEARCH("미룸",K17)),ISNUMBER(SEARCH("나중에",K17)),ISNUMBER(SEARCH("보류",L17)),ISNUMBER(SEARCH("미룸",L17)),ISNUMBER(SEARCH("나중에",L17))),"보류(나중에 풀기)",IF(AND(F17="",G17="",H17="",I17=""),"미완료",IF(I17&lt;&gt;"","복습3(마스터)",IF(H17&lt;&gt;"","복습2",IF(G17&lt;&gt;"","복습1",IF(ISNUMBER(SEARCH("제미나이",K17)),"복습대기(AI도움)",IF(ISNUMBER(SEARCH("간당간당",K17)),"복습대기(간당간당)",IF(OR(ISNUMBER(SEARCH("아이디어",K17)),ISNUMBER(SEARCH("시간초과",K17)),ISNUMBER(SEARCH("자료구조",K17)),ISNUMBER(SEARCH("경계값",K17)),ISNUMBER(SEARCH("다른 풀이",K17)),ISNUMBER(SEARCH("또풀기",K17))),"복습대기",IF(OR(ISNUMBER(SEARCH("복습필요없음",K17)),ISNUMBER(SEARCH("자력완벽",K17))),"품(복습불필요)",IF(F17&lt;&gt;"","품","미완료"))))))))))</f>
        <v/>
      </c>
      <c r="K17" s="32" t="inlineStr">
        <is>
          <t>-</t>
        </is>
      </c>
      <c r="L17" s="32" t="inlineStr">
        <is>
          <t>💡 [SWEA 공식 제출 인증: 2026-07-13 10:28]</t>
        </is>
      </c>
      <c r="M17" s="28">
        <f>IF(OR(LEFT(J17,2)="보류", LEFT(J17,4)="복습대기", LEFT(J17,3)="복습1", LEFT(J17,3)="복습2"), MAX($M$3:M16)+1, "")</f>
        <v/>
      </c>
      <c r="N17" s="28" t="inlineStr">
        <is>
          <t>W01</t>
        </is>
      </c>
      <c r="O17" s="36" t="n">
        <v>46216</v>
      </c>
      <c r="P17" s="30">
        <f>IF(F17&lt;&gt;"","✅ 완료",IF(O17="","-",IF(TODAY()&gt;O17,"🚨 지연","⏳ 예정")))</f>
        <v/>
      </c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21.75" customHeight="1" s="209">
      <c r="A18" s="28" t="n">
        <v>15</v>
      </c>
      <c r="B18" s="28" t="inlineStr">
        <is>
          <t>6321</t>
        </is>
      </c>
      <c r="C18" s="30" t="inlineStr">
        <is>
          <t>D1</t>
        </is>
      </c>
      <c r="D18" s="32" t="inlineStr">
        <is>
          <t>[파이썬 프로그래밍 기초(1) 파이썬의 기본 구조와 기초 문법] 8. 함수의 기초 3</t>
        </is>
      </c>
      <c r="E18" s="34" t="inlineStr">
        <is>
          <t>파이썬 기초 / 함수실습</t>
        </is>
      </c>
      <c r="F18" s="36" t="n">
        <v>46216</v>
      </c>
      <c r="G18" s="28" t="n"/>
      <c r="H18" s="28" t="n"/>
      <c r="I18" s="28" t="n"/>
      <c r="J18" s="54">
        <f>IF(OR(ISNUMBER(SEARCH("보류",K18)),ISNUMBER(SEARCH("미룸",K18)),ISNUMBER(SEARCH("나중에",K18)),ISNUMBER(SEARCH("보류",L18)),ISNUMBER(SEARCH("미룸",L18)),ISNUMBER(SEARCH("나중에",L18))),"보류(나중에 풀기)",IF(AND(F18="",G18="",H18="",I18=""),"미완료",IF(I18&lt;&gt;"","복습3(마스터)",IF(H18&lt;&gt;"","복습2",IF(G18&lt;&gt;"","복습1",IF(ISNUMBER(SEARCH("제미나이",K18)),"복습대기(AI도움)",IF(ISNUMBER(SEARCH("간당간당",K18)),"복습대기(간당간당)",IF(OR(ISNUMBER(SEARCH("아이디어",K18)),ISNUMBER(SEARCH("시간초과",K18)),ISNUMBER(SEARCH("자료구조",K18)),ISNUMBER(SEARCH("경계값",K18)),ISNUMBER(SEARCH("다른 풀이",K18)),ISNUMBER(SEARCH("또풀기",K18))),"복습대기",IF(OR(ISNUMBER(SEARCH("복습필요없음",K18)),ISNUMBER(SEARCH("자력완벽",K18))),"품(복습불필요)",IF(F18&lt;&gt;"","품","미완료"))))))))))</f>
        <v/>
      </c>
      <c r="K18" s="32" t="inlineStr">
        <is>
          <t>-</t>
        </is>
      </c>
      <c r="L18" s="32" t="inlineStr">
        <is>
          <t>💡 [SWEA 공식 제출 인증: 2026-07-13 10:12]</t>
        </is>
      </c>
      <c r="M18" s="28">
        <f>IF(OR(LEFT(J18,2)="보류", LEFT(J18,4)="복습대기", LEFT(J18,3)="복습1", LEFT(J18,3)="복습2"), MAX($M$3:M17)+1, "")</f>
        <v/>
      </c>
      <c r="N18" s="28" t="inlineStr">
        <is>
          <t>W01</t>
        </is>
      </c>
      <c r="O18" s="36" t="n">
        <v>46216</v>
      </c>
      <c r="P18" s="30">
        <f>IF(F18&lt;&gt;"","✅ 완료",IF(O18="","-",IF(TODAY()&gt;O18,"🚨 지연","⏳ 예정")))</f>
        <v/>
      </c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21.75" customHeight="1" s="209">
      <c r="A19" s="28" t="n">
        <v>16</v>
      </c>
      <c r="B19" s="28" t="inlineStr">
        <is>
          <t>6323</t>
        </is>
      </c>
      <c r="C19" s="30" t="inlineStr">
        <is>
          <t>D1</t>
        </is>
      </c>
      <c r="D19" s="32" t="inlineStr">
        <is>
          <t>[파이썬 프로그래밍 기초(1) 파이썬의 기본 구조와 기초 문법] 8. 함수의 기초 4</t>
        </is>
      </c>
      <c r="E19" s="34" t="inlineStr">
        <is>
          <t>파이썬 기초 / 함수실습</t>
        </is>
      </c>
      <c r="F19" s="36" t="n">
        <v>46216</v>
      </c>
      <c r="G19" s="28" t="n"/>
      <c r="H19" s="28" t="n"/>
      <c r="I19" s="28" t="n"/>
      <c r="J19" s="54">
        <f>IF(OR(ISNUMBER(SEARCH("보류",K19)),ISNUMBER(SEARCH("미룸",K19)),ISNUMBER(SEARCH("나중에",K19)),ISNUMBER(SEARCH("보류",L19)),ISNUMBER(SEARCH("미룸",L19)),ISNUMBER(SEARCH("나중에",L19))),"보류(나중에 풀기)",IF(AND(F19="",G19="",H19="",I19=""),"미완료",IF(I19&lt;&gt;"","복습3(마스터)",IF(H19&lt;&gt;"","복습2",IF(G19&lt;&gt;"","복습1",IF(ISNUMBER(SEARCH("제미나이",K19)),"복습대기(AI도움)",IF(ISNUMBER(SEARCH("간당간당",K19)),"복습대기(간당간당)",IF(OR(ISNUMBER(SEARCH("아이디어",K19)),ISNUMBER(SEARCH("시간초과",K19)),ISNUMBER(SEARCH("자료구조",K19)),ISNUMBER(SEARCH("경계값",K19)),ISNUMBER(SEARCH("다른 풀이",K19)),ISNUMBER(SEARCH("또풀기",K19))),"복습대기",IF(OR(ISNUMBER(SEARCH("복습필요없음",K19)),ISNUMBER(SEARCH("자력완벽",K19))),"품(복습불필요)",IF(F19&lt;&gt;"","품","미완료"))))))))))</f>
        <v/>
      </c>
      <c r="K19" s="32" t="inlineStr">
        <is>
          <t>-</t>
        </is>
      </c>
      <c r="L19" s="32" t="inlineStr">
        <is>
          <t>💡 [SWEA 공식 제출 인증: 2026-07-13 09:11]</t>
        </is>
      </c>
      <c r="M19" s="28">
        <f>IF(OR(LEFT(J19,2)="보류", LEFT(J19,4)="복습대기", LEFT(J19,3)="복습1", LEFT(J19,3)="복습2"), MAX($M$3:M18)+1, "")</f>
        <v/>
      </c>
      <c r="N19" s="28" t="inlineStr">
        <is>
          <t>W01</t>
        </is>
      </c>
      <c r="O19" s="36" t="n">
        <v>46216</v>
      </c>
      <c r="P19" s="30">
        <f>IF(F19&lt;&gt;"","✅ 완료",IF(O19="","-",IF(TODAY()&gt;O19,"🚨 지연","⏳ 예정")))</f>
        <v/>
      </c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21.75" customHeight="1" s="209">
      <c r="A20" s="28" t="n">
        <v>17</v>
      </c>
      <c r="B20" s="28" t="inlineStr">
        <is>
          <t>1545</t>
        </is>
      </c>
      <c r="C20" s="30" t="inlineStr">
        <is>
          <t>D1</t>
        </is>
      </c>
      <c r="D20" s="32" t="inlineStr">
        <is>
          <t>거꾸로 출력해 보아요</t>
        </is>
      </c>
      <c r="E20" s="59" t="inlineStr">
        <is>
          <t>기초 문법 / 단순구현</t>
        </is>
      </c>
      <c r="F20" s="36" t="n">
        <v>46234</v>
      </c>
      <c r="G20" s="28" t="n"/>
      <c r="H20" s="28" t="n"/>
      <c r="I20" s="28" t="n"/>
      <c r="J20" s="54">
        <f>IF(OR(ISNUMBER(SEARCH("보류",K20)),ISNUMBER(SEARCH("미룸",K20)),ISNUMBER(SEARCH("나중에",K20)),ISNUMBER(SEARCH("보류",L20)),ISNUMBER(SEARCH("미룸",L20)),ISNUMBER(SEARCH("나중에",L20))),"보류(나중에 풀기)",IF(AND(F20="",G20="",H20="",I20=""),"미완료",IF(I20&lt;&gt;"","복습3(마스터)",IF(H20&lt;&gt;"","복습2",IF(G20&lt;&gt;"","복습1",IF(ISNUMBER(SEARCH("제미나이",K20)),"복습대기(AI도움)",IF(ISNUMBER(SEARCH("간당간당",K20)),"복습대기(간당간당)",IF(OR(ISNUMBER(SEARCH("아이디어",K20)),ISNUMBER(SEARCH("시간초과",K20)),ISNUMBER(SEARCH("자료구조",K20)),ISNUMBER(SEARCH("경계값",K20)),ISNUMBER(SEARCH("다른 풀이",K20)),ISNUMBER(SEARCH("또풀기",K20))),"복습대기",IF(OR(ISNUMBER(SEARCH("복습필요없음",K20)),ISNUMBER(SEARCH("자력완벽",K20))),"품(복습불필요)",IF(F20&lt;&gt;"","품","미완료"))))))))))</f>
        <v/>
      </c>
      <c r="K20" s="32" t="inlineStr">
        <is>
          <t>-</t>
        </is>
      </c>
      <c r="L20" s="32" t="inlineStr">
        <is>
          <t>💡 [SWEA 공식 제출 인증: 2026-07-31 21:43]</t>
        </is>
      </c>
      <c r="M20" s="28">
        <f>IF(OR(LEFT(J20,2)="보류", LEFT(J20,4)="복습대기", LEFT(J20,3)="복습1", LEFT(J20,3)="복습2"), MAX($M$3:M19)+1, "")</f>
        <v/>
      </c>
      <c r="N20" s="28" t="inlineStr">
        <is>
          <t>W01</t>
        </is>
      </c>
      <c r="O20" s="36" t="n">
        <v>46234</v>
      </c>
      <c r="P20" s="30">
        <f>IF(F20&lt;&gt;"","✅ 완료",IF(O20="","-",IF(TODAY()&gt;O20,"🚨 지연","⏳ 예정")))</f>
        <v/>
      </c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21.75" customHeight="1" s="209">
      <c r="A21" s="28" t="n">
        <v>18</v>
      </c>
      <c r="B21" s="28" t="inlineStr">
        <is>
          <t>2019</t>
        </is>
      </c>
      <c r="C21" s="30" t="inlineStr">
        <is>
          <t>D1</t>
        </is>
      </c>
      <c r="D21" s="32" t="inlineStr">
        <is>
          <t>더블더블</t>
        </is>
      </c>
      <c r="E21" s="34" t="inlineStr">
        <is>
          <t>기초 문법 / 단순구현</t>
        </is>
      </c>
      <c r="F21" s="36" t="n">
        <v>46235</v>
      </c>
      <c r="G21" s="28" t="n"/>
      <c r="H21" s="28" t="n"/>
      <c r="I21" s="28" t="n"/>
      <c r="J21" s="54">
        <f>IF(OR(ISNUMBER(SEARCH("보류",K21)),ISNUMBER(SEARCH("미룸",K21)),ISNUMBER(SEARCH("나중에",K21)),ISNUMBER(SEARCH("보류",L21)),ISNUMBER(SEARCH("미룸",L21)),ISNUMBER(SEARCH("나중에",L21))),"보류(나중에 풀기)",IF(AND(F21="",G21="",H21="",I21=""),"미완료",IF(I21&lt;&gt;"","복습3(마스터)",IF(H21&lt;&gt;"","복습2",IF(G21&lt;&gt;"","복습1",IF(ISNUMBER(SEARCH("제미나이",K21)),"복습대기(AI도움)",IF(ISNUMBER(SEARCH("간당간당",K21)),"복습대기(간당간당)",IF(OR(ISNUMBER(SEARCH("아이디어",K21)),ISNUMBER(SEARCH("시간초과",K21)),ISNUMBER(SEARCH("자료구조",K21)),ISNUMBER(SEARCH("경계값",K21)),ISNUMBER(SEARCH("다른 풀이",K21)),ISNUMBER(SEARCH("또풀기",K21))),"복습대기",IF(OR(ISNUMBER(SEARCH("복습필요없음",K21)),ISNUMBER(SEARCH("자력완벽",K21))),"품(복습불필요)",IF(F21&lt;&gt;"","품","미완료"))))))))))</f>
        <v/>
      </c>
      <c r="K21" s="32" t="inlineStr">
        <is>
          <t>-</t>
        </is>
      </c>
      <c r="L21" s="32" t="inlineStr">
        <is>
          <t>💡 [SWEA 공식 제출 인증: 2026-08-01 18:01]</t>
        </is>
      </c>
      <c r="M21" s="28">
        <f>IF(OR(LEFT(J21,2)="보류", LEFT(J21,4)="복습대기", LEFT(J21,3)="복습1", LEFT(J21,3)="복습2"), MAX($M$3:M20)+1, "")</f>
        <v/>
      </c>
      <c r="N21" s="28" t="inlineStr">
        <is>
          <t>W01</t>
        </is>
      </c>
      <c r="O21" s="36" t="n">
        <v>46235</v>
      </c>
      <c r="P21" s="30">
        <f>IF(F21&lt;&gt;"","✅ 완료",IF(O21="","-",IF(TODAY()&gt;O21,"🚨 지연","⏳ 예정")))</f>
        <v/>
      </c>
      <c r="Q21" s="7" t="n"/>
      <c r="R21" s="7" t="n"/>
      <c r="S21" s="7" t="n"/>
      <c r="T21" s="7" t="n"/>
      <c r="U21" s="7" t="n"/>
      <c r="V21" s="7" t="n"/>
      <c r="W21" s="7" t="n"/>
      <c r="X21" s="7" t="n"/>
    </row>
    <row r="22" ht="21.75" customHeight="1" s="209">
      <c r="A22" s="28" t="n">
        <v>19</v>
      </c>
      <c r="B22" s="28" t="inlineStr">
        <is>
          <t>2058</t>
        </is>
      </c>
      <c r="C22" s="30" t="inlineStr">
        <is>
          <t>D1</t>
        </is>
      </c>
      <c r="D22" s="32" t="inlineStr">
        <is>
          <t>자릿수 더하기</t>
        </is>
      </c>
      <c r="E22" s="34" t="inlineStr">
        <is>
          <t>기초 문법 / 입문</t>
        </is>
      </c>
      <c r="F22" s="36" t="n">
        <v>46237</v>
      </c>
      <c r="G22" s="28" t="n"/>
      <c r="H22" s="28" t="n"/>
      <c r="I22" s="28" t="n"/>
      <c r="J22" s="54">
        <f>IF(OR(ISNUMBER(SEARCH("보류",K22)),ISNUMBER(SEARCH("미룸",K22)),ISNUMBER(SEARCH("나중에",K22)),ISNUMBER(SEARCH("보류",L22)),ISNUMBER(SEARCH("미룸",L22)),ISNUMBER(SEARCH("나중에",L22))),"보류(나중에 풀기)",IF(AND(F22="",G22="",H22="",I22=""),"미완료",IF(I22&lt;&gt;"","복습3(마스터)",IF(H22&lt;&gt;"","복습2",IF(G22&lt;&gt;"","복습1",IF(ISNUMBER(SEARCH("제미나이",K22)),"복습대기(AI도움)",IF(ISNUMBER(SEARCH("간당간당",K22)),"복습대기(간당간당)",IF(OR(ISNUMBER(SEARCH("아이디어",K22)),ISNUMBER(SEARCH("시간초과",K22)),ISNUMBER(SEARCH("자료구조",K22)),ISNUMBER(SEARCH("경계값",K22)),ISNUMBER(SEARCH("다른 풀이",K22)),ISNUMBER(SEARCH("또풀기",K22))),"복습대기",IF(OR(ISNUMBER(SEARCH("복습필요없음",K22)),ISNUMBER(SEARCH("자력완벽",K22))),"품(복습불필요)",IF(F22&lt;&gt;"","품","미완료"))))))))))</f>
        <v/>
      </c>
      <c r="K22" s="32" t="inlineStr">
        <is>
          <t>-</t>
        </is>
      </c>
      <c r="L22" s="32" t="inlineStr">
        <is>
          <t>💡 [SWEA 공식 제출 인증: 2026-08-03 14:49]</t>
        </is>
      </c>
      <c r="M22" s="28">
        <f>IF(OR(LEFT(J22,2)="보류", LEFT(J22,4)="복습대기", LEFT(J22,3)="복습1", LEFT(J22,3)="복습2"), MAX($M$3:M21)+1, "")</f>
        <v/>
      </c>
      <c r="N22" s="28" t="inlineStr">
        <is>
          <t>W01</t>
        </is>
      </c>
      <c r="O22" s="36" t="n">
        <v>46237</v>
      </c>
      <c r="P22" s="30">
        <f>IF(F22&lt;&gt;"","✅ 완료",IF(O22="","-",IF(TODAY()&gt;O22,"🚨 지연","⏳ 예정")))</f>
        <v/>
      </c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21.75" customHeight="1" s="209">
      <c r="A23" s="28" t="n">
        <v>20</v>
      </c>
      <c r="B23" s="28" t="inlineStr">
        <is>
          <t>2070</t>
        </is>
      </c>
      <c r="C23" s="30" t="inlineStr">
        <is>
          <t>D1</t>
        </is>
      </c>
      <c r="D23" s="32" t="inlineStr">
        <is>
          <t>큰 놈, 작은 놈, 같은 놈</t>
        </is>
      </c>
      <c r="E23" s="59" t="inlineStr">
        <is>
          <t>기초 문법 / 입문</t>
        </is>
      </c>
      <c r="F23" s="36" t="n">
        <v>46237</v>
      </c>
      <c r="G23" s="28" t="n"/>
      <c r="H23" s="28" t="n"/>
      <c r="I23" s="28" t="n"/>
      <c r="J23" s="54">
        <f>IF(OR(ISNUMBER(SEARCH("보류",K23)),ISNUMBER(SEARCH("미룸",K23)),ISNUMBER(SEARCH("나중에",K23)),ISNUMBER(SEARCH("보류",L23)),ISNUMBER(SEARCH("미룸",L23)),ISNUMBER(SEARCH("나중에",L23))),"보류(나중에 풀기)",IF(AND(F23="",G23="",H23="",I23=""),"미완료",IF(I23&lt;&gt;"","복습3(마스터)",IF(H23&lt;&gt;"","복습2",IF(G23&lt;&gt;"","복습1",IF(ISNUMBER(SEARCH("제미나이",K23)),"복습대기(AI도움)",IF(ISNUMBER(SEARCH("간당간당",K23)),"복습대기(간당간당)",IF(OR(ISNUMBER(SEARCH("아이디어",K23)),ISNUMBER(SEARCH("시간초과",K23)),ISNUMBER(SEARCH("자료구조",K23)),ISNUMBER(SEARCH("경계값",K23)),ISNUMBER(SEARCH("다른 풀이",K23)),ISNUMBER(SEARCH("또풀기",K23))),"복습대기",IF(OR(ISNUMBER(SEARCH("복습필요없음",K23)),ISNUMBER(SEARCH("자력완벽",K23))),"품(복습불필요)",IF(F23&lt;&gt;"","품","미완료"))))))))))</f>
        <v/>
      </c>
      <c r="K23" s="32" t="inlineStr">
        <is>
          <t>-</t>
        </is>
      </c>
      <c r="L23" s="32" t="inlineStr">
        <is>
          <t>💡 [SWEA 공식 제출 인증: 2026-08-03 14:04]</t>
        </is>
      </c>
      <c r="M23" s="28">
        <f>IF(OR(LEFT(J23,2)="보류", LEFT(J23,4)="복습대기", LEFT(J23,3)="복습1", LEFT(J23,3)="복습2"), MAX($M$3:M22)+1, "")</f>
        <v/>
      </c>
      <c r="N23" s="28" t="inlineStr">
        <is>
          <t>W01</t>
        </is>
      </c>
      <c r="O23" s="36" t="n">
        <v>46237</v>
      </c>
      <c r="P23" s="30">
        <f>IF(F23&lt;&gt;"","✅ 완료",IF(O23="","-",IF(TODAY()&gt;O23,"🚨 지연","⏳ 예정")))</f>
        <v/>
      </c>
      <c r="Q23" s="7" t="n"/>
      <c r="R23" s="7" t="n"/>
      <c r="S23" s="7" t="n"/>
      <c r="T23" s="7" t="n"/>
      <c r="U23" s="7" t="n"/>
      <c r="V23" s="7" t="n"/>
      <c r="W23" s="7" t="n"/>
      <c r="X23" s="7" t="n"/>
    </row>
    <row r="24" ht="21.75" customHeight="1" s="209">
      <c r="A24" s="28" t="n">
        <v>21</v>
      </c>
      <c r="B24" s="28" t="inlineStr">
        <is>
          <t>2071</t>
        </is>
      </c>
      <c r="C24" s="30" t="inlineStr">
        <is>
          <t>D1</t>
        </is>
      </c>
      <c r="D24" s="32" t="inlineStr">
        <is>
          <t>평균값 구하기</t>
        </is>
      </c>
      <c r="E24" s="59" t="inlineStr">
        <is>
          <t>기초 문법 / 입문</t>
        </is>
      </c>
      <c r="F24" s="36" t="n">
        <v>46237</v>
      </c>
      <c r="G24" s="28" t="n"/>
      <c r="H24" s="28" t="n"/>
      <c r="I24" s="28" t="n"/>
      <c r="J24" s="54">
        <f>IF(OR(ISNUMBER(SEARCH("보류",K24)),ISNUMBER(SEARCH("미룸",K24)),ISNUMBER(SEARCH("나중에",K24)),ISNUMBER(SEARCH("보류",L24)),ISNUMBER(SEARCH("미룸",L24)),ISNUMBER(SEARCH("나중에",L24))),"보류(나중에 풀기)",IF(AND(F24="",G24="",H24="",I24=""),"미완료",IF(I24&lt;&gt;"","복습3(마스터)",IF(H24&lt;&gt;"","복습2",IF(G24&lt;&gt;"","복습1",IF(ISNUMBER(SEARCH("제미나이",K24)),"복습대기(AI도움)",IF(ISNUMBER(SEARCH("간당간당",K24)),"복습대기(간당간당)",IF(OR(ISNUMBER(SEARCH("아이디어",K24)),ISNUMBER(SEARCH("시간초과",K24)),ISNUMBER(SEARCH("자료구조",K24)),ISNUMBER(SEARCH("경계값",K24)),ISNUMBER(SEARCH("다른 풀이",K24)),ISNUMBER(SEARCH("또풀기",K24))),"복습대기",IF(OR(ISNUMBER(SEARCH("복습필요없음",K24)),ISNUMBER(SEARCH("자력완벽",K24))),"품(복습불필요)",IF(F24&lt;&gt;"","품","미완료"))))))))))</f>
        <v/>
      </c>
      <c r="K24" s="32" t="inlineStr">
        <is>
          <t>-</t>
        </is>
      </c>
      <c r="L24" s="32" t="inlineStr">
        <is>
          <t>💡 [SWEA 공식 제출 인증: 2026-08-03 13:53]</t>
        </is>
      </c>
      <c r="M24" s="28">
        <f>IF(OR(LEFT(J24,2)="보류", LEFT(J24,4)="복습대기", LEFT(J24,3)="복습1", LEFT(J24,3)="복습2"), MAX($M$3:M23)+1, "")</f>
        <v/>
      </c>
      <c r="N24" s="28" t="inlineStr">
        <is>
          <t>W01</t>
        </is>
      </c>
      <c r="O24" s="36" t="n">
        <v>46237</v>
      </c>
      <c r="P24" s="30">
        <f>IF(F24&lt;&gt;"","✅ 완료",IF(O24="","-",IF(TODAY()&gt;O24,"🚨 지연","⏳ 예정")))</f>
        <v/>
      </c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21.75" customHeight="1" s="209">
      <c r="A25" s="28" t="n">
        <v>22</v>
      </c>
      <c r="B25" s="28" t="inlineStr">
        <is>
          <t>2072</t>
        </is>
      </c>
      <c r="C25" s="30" t="inlineStr">
        <is>
          <t>D1</t>
        </is>
      </c>
      <c r="D25" s="32" t="inlineStr">
        <is>
          <t>홀수만 더하기</t>
        </is>
      </c>
      <c r="E25" s="34" t="inlineStr">
        <is>
          <t>기초 문법 / 입문</t>
        </is>
      </c>
      <c r="F25" s="36" t="n">
        <v>46237</v>
      </c>
      <c r="G25" s="28" t="n"/>
      <c r="H25" s="28" t="n"/>
      <c r="I25" s="28" t="n"/>
      <c r="J25" s="54">
        <f>IF(OR(ISNUMBER(SEARCH("보류",K25)),ISNUMBER(SEARCH("미룸",K25)),ISNUMBER(SEARCH("나중에",K25)),ISNUMBER(SEARCH("보류",L25)),ISNUMBER(SEARCH("미룸",L25)),ISNUMBER(SEARCH("나중에",L25))),"보류(나중에 풀기)",IF(AND(F25="",G25="",H25="",I25=""),"미완료",IF(I25&lt;&gt;"","복습3(마스터)",IF(H25&lt;&gt;"","복습2",IF(G25&lt;&gt;"","복습1",IF(ISNUMBER(SEARCH("제미나이",K25)),"복습대기(AI도움)",IF(ISNUMBER(SEARCH("간당간당",K25)),"복습대기(간당간당)",IF(OR(ISNUMBER(SEARCH("아이디어",K25)),ISNUMBER(SEARCH("시간초과",K25)),ISNUMBER(SEARCH("자료구조",K25)),ISNUMBER(SEARCH("경계값",K25)),ISNUMBER(SEARCH("다른 풀이",K25)),ISNUMBER(SEARCH("또풀기",K25))),"복습대기",IF(OR(ISNUMBER(SEARCH("복습필요없음",K25)),ISNUMBER(SEARCH("자력완벽",K25))),"품(복습불필요)",IF(F25&lt;&gt;"","품","미완료"))))))))))</f>
        <v/>
      </c>
      <c r="K25" s="32" t="inlineStr">
        <is>
          <t>-</t>
        </is>
      </c>
      <c r="L25" s="32" t="inlineStr">
        <is>
          <t>💡 [SWEA 공식 제출 인증: 2026-08-03 13:37]</t>
        </is>
      </c>
      <c r="M25" s="28">
        <f>IF(OR(LEFT(J25,2)="보류", LEFT(J25,4)="복습대기", LEFT(J25,3)="복습1", LEFT(J25,3)="복습2"), MAX($M$3:M24)+1, "")</f>
        <v/>
      </c>
      <c r="N25" s="28" t="inlineStr">
        <is>
          <t>W01</t>
        </is>
      </c>
      <c r="O25" s="36" t="n">
        <v>46237</v>
      </c>
      <c r="P25" s="30">
        <f>IF(F25&lt;&gt;"","✅ 완료",IF(O25="","-",IF(TODAY()&gt;O25,"🚨 지연","⏳ 예정")))</f>
        <v/>
      </c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21.75" customHeight="1" s="209">
      <c r="A26" s="28" t="n">
        <v>23</v>
      </c>
      <c r="B26" s="28" t="inlineStr">
        <is>
          <t>1926</t>
        </is>
      </c>
      <c r="C26" s="30" t="inlineStr">
        <is>
          <t>D2</t>
        </is>
      </c>
      <c r="D26" s="32" t="inlineStr">
        <is>
          <t>간단한 369게임</t>
        </is>
      </c>
      <c r="E26" s="34" t="inlineStr">
        <is>
          <t>문자열 / 구현 (369게임)</t>
        </is>
      </c>
      <c r="F26" s="36" t="n">
        <v>46238</v>
      </c>
      <c r="G26" s="28" t="n"/>
      <c r="H26" s="28" t="n"/>
      <c r="I26" s="28" t="n"/>
      <c r="J26" s="54">
        <f>IF(OR(ISNUMBER(SEARCH("보류",K26)),ISNUMBER(SEARCH("미룸",K26)),ISNUMBER(SEARCH("나중에",K26)),ISNUMBER(SEARCH("보류",L26)),ISNUMBER(SEARCH("미룸",L26)),ISNUMBER(SEARCH("나중에",L26))),"보류(나중에 풀기)",IF(AND(F26="",G26="",H26="",I26=""),"미완료",IF(I26&lt;&gt;"","복습3(마스터)",IF(H26&lt;&gt;"","복습2",IF(G26&lt;&gt;"","복습1",IF(ISNUMBER(SEARCH("제미나이",K26)),"복습대기(AI도움)",IF(ISNUMBER(SEARCH("간당간당",K26)),"복습대기(간당간당)",IF(OR(ISNUMBER(SEARCH("아이디어",K26)),ISNUMBER(SEARCH("시간초과",K26)),ISNUMBER(SEARCH("자료구조",K26)),ISNUMBER(SEARCH("경계값",K26)),ISNUMBER(SEARCH("다른 풀이",K26)),ISNUMBER(SEARCH("또풀기",K26))),"복습대기",IF(OR(ISNUMBER(SEARCH("복습필요없음",K26)),ISNUMBER(SEARCH("자력완벽",K26))),"품(복습불필요)",IF(F26&lt;&gt;"","품","미완료"))))))))))</f>
        <v/>
      </c>
      <c r="K26" s="32" t="inlineStr">
        <is>
          <t>-</t>
        </is>
      </c>
      <c r="L26" s="32" t="inlineStr">
        <is>
          <t>💡 [SWEA 공식 제출 인증: 2026-08-04 17:41]</t>
        </is>
      </c>
      <c r="M26" s="28">
        <f>IF(OR(LEFT(J26,2)="보류", LEFT(J26,4)="복습대기", LEFT(J26,3)="복습1", LEFT(J26,3)="복습2"), MAX($M$3:M25)+1, "")</f>
        <v/>
      </c>
      <c r="N26" s="28" t="inlineStr">
        <is>
          <t>W01</t>
        </is>
      </c>
      <c r="O26" s="36" t="n">
        <v>46238</v>
      </c>
      <c r="P26" s="30">
        <f>IF(F26&lt;&gt;"","✅ 완료",IF(O26="","-",IF(TODAY()&gt;O26,"🚨 지연","⏳ 예정")))</f>
        <v/>
      </c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21.75" customHeight="1" s="209">
      <c r="A27" s="28" t="n">
        <v>24</v>
      </c>
      <c r="B27" s="28" t="inlineStr">
        <is>
          <t>1859</t>
        </is>
      </c>
      <c r="C27" s="30" t="inlineStr">
        <is>
          <t>D2</t>
        </is>
      </c>
      <c r="D27" s="32" t="inlineStr">
        <is>
          <t>백만 장자 프로젝트</t>
        </is>
      </c>
      <c r="E27" s="34" t="inlineStr">
        <is>
          <t>그리디 / 역방향탐색 (백만장자)</t>
        </is>
      </c>
      <c r="F27" s="36" t="n">
        <v>46238</v>
      </c>
      <c r="G27" s="28" t="n"/>
      <c r="H27" s="28" t="n"/>
      <c r="I27" s="28" t="n"/>
      <c r="J27" s="54">
        <f>IF(OR(ISNUMBER(SEARCH("보류",K27)),ISNUMBER(SEARCH("미룸",K27)),ISNUMBER(SEARCH("나중에",K27)),ISNUMBER(SEARCH("보류",L27)),ISNUMBER(SEARCH("미룸",L27)),ISNUMBER(SEARCH("나중에",L27))),"보류(나중에 풀기)",IF(AND(F27="",G27="",H27="",I27=""),"미완료",IF(I27&lt;&gt;"","복습3(마스터)",IF(H27&lt;&gt;"","복습2",IF(G27&lt;&gt;"","복습1",IF(ISNUMBER(SEARCH("제미나이",K27)),"복습대기(AI도움)",IF(ISNUMBER(SEARCH("간당간당",K27)),"복습대기(간당간당)",IF(OR(ISNUMBER(SEARCH("아이디어",K27)),ISNUMBER(SEARCH("시간초과",K27)),ISNUMBER(SEARCH("자료구조",K27)),ISNUMBER(SEARCH("경계값",K27)),ISNUMBER(SEARCH("다른 풀이",K27)),ISNUMBER(SEARCH("또풀기",K27))),"복습대기",IF(OR(ISNUMBER(SEARCH("복습필요없음",K27)),ISNUMBER(SEARCH("자력완벽",K27))),"품(복습불필요)",IF(F27&lt;&gt;"","품","미완료"))))))))))</f>
        <v/>
      </c>
      <c r="K27" s="32" t="inlineStr">
        <is>
          <t>-</t>
        </is>
      </c>
      <c r="L27" s="32" t="inlineStr">
        <is>
          <t>💡 [SWEA 공식 제출 인증: 2026-08-04 16:26]</t>
        </is>
      </c>
      <c r="M27" s="28">
        <f>IF(OR(LEFT(J27,2)="보류", LEFT(J27,4)="복습대기", LEFT(J27,3)="복습1", LEFT(J27,3)="복습2"), MAX($M$3:M26)+1, "")</f>
        <v/>
      </c>
      <c r="N27" s="28" t="inlineStr">
        <is>
          <t>W01</t>
        </is>
      </c>
      <c r="O27" s="36" t="n">
        <v>46238</v>
      </c>
      <c r="P27" s="30">
        <f>IF(F27&lt;&gt;"","✅ 완료",IF(O27="","-",IF(TODAY()&gt;O27,"🚨 지연","⏳ 예정")))</f>
        <v/>
      </c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21.75" customHeight="1" s="209">
      <c r="A28" s="28" t="n">
        <v>25</v>
      </c>
      <c r="B28" s="28" t="inlineStr">
        <is>
          <t>1933</t>
        </is>
      </c>
      <c r="C28" s="30" t="inlineStr">
        <is>
          <t>D1</t>
        </is>
      </c>
      <c r="D28" s="32" t="inlineStr">
        <is>
          <t>간단한 N 의 약수</t>
        </is>
      </c>
      <c r="E28" s="34" t="inlineStr">
        <is>
          <t>수학 / 기초연산</t>
        </is>
      </c>
      <c r="F28" s="36" t="n">
        <v>46238</v>
      </c>
      <c r="G28" s="28" t="n"/>
      <c r="H28" s="28" t="n"/>
      <c r="I28" s="28" t="n"/>
      <c r="J28" s="54">
        <f>IF(OR(ISNUMBER(SEARCH("보류",K28)),ISNUMBER(SEARCH("미룸",K28)),ISNUMBER(SEARCH("나중에",K28)),ISNUMBER(SEARCH("보류",L28)),ISNUMBER(SEARCH("미룸",L28)),ISNUMBER(SEARCH("나중에",L28))),"보류(나중에 풀기)",IF(AND(F28="",G28="",H28="",I28=""),"미완료",IF(I28&lt;&gt;"","복습3(마스터)",IF(H28&lt;&gt;"","복습2",IF(G28&lt;&gt;"","복습1",IF(ISNUMBER(SEARCH("제미나이",K28)),"복습대기(AI도움)",IF(ISNUMBER(SEARCH("간당간당",K28)),"복습대기(간당간당)",IF(OR(ISNUMBER(SEARCH("아이디어",K28)),ISNUMBER(SEARCH("시간초과",K28)),ISNUMBER(SEARCH("자료구조",K28)),ISNUMBER(SEARCH("경계값",K28)),ISNUMBER(SEARCH("다른 풀이",K28)),ISNUMBER(SEARCH("또풀기",K28))),"복습대기",IF(OR(ISNUMBER(SEARCH("복습필요없음",K28)),ISNUMBER(SEARCH("자력완벽",K28))),"품(복습불필요)",IF(F28&lt;&gt;"","품","미완료"))))))))))</f>
        <v/>
      </c>
      <c r="K28" s="32" t="inlineStr">
        <is>
          <t>-</t>
        </is>
      </c>
      <c r="L28" s="32" t="inlineStr">
        <is>
          <t>💡 [SWEA 공식 제출 인증: 2026-08-04 13:49]</t>
        </is>
      </c>
      <c r="M28" s="28">
        <f>IF(OR(LEFT(J28,2)="보류", LEFT(J28,4)="복습대기", LEFT(J28,3)="복습1", LEFT(J28,3)="복습2"), MAX($M$3:M27)+1, "")</f>
        <v/>
      </c>
      <c r="N28" s="28" t="inlineStr">
        <is>
          <t>W01</t>
        </is>
      </c>
      <c r="O28" s="36" t="n">
        <v>46238</v>
      </c>
      <c r="P28" s="30">
        <f>IF(F28&lt;&gt;"","✅ 완료",IF(O28="","-",IF(TODAY()&gt;O28,"🚨 지연","⏳ 예정")))</f>
        <v/>
      </c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21.75" customHeight="1" s="209">
      <c r="A29" s="28" t="n">
        <v>26</v>
      </c>
      <c r="B29" s="28" t="inlineStr">
        <is>
          <t>1938</t>
        </is>
      </c>
      <c r="C29" s="30" t="inlineStr">
        <is>
          <t>D1</t>
        </is>
      </c>
      <c r="D29" s="32" t="inlineStr">
        <is>
          <t>아주 간단한 계산기</t>
        </is>
      </c>
      <c r="E29" s="34" t="inlineStr">
        <is>
          <t>수학 / 기초연산</t>
        </is>
      </c>
      <c r="F29" s="36" t="n">
        <v>46238</v>
      </c>
      <c r="G29" s="28" t="n"/>
      <c r="H29" s="28" t="n"/>
      <c r="I29" s="28" t="n"/>
      <c r="J29" s="54">
        <f>IF(OR(ISNUMBER(SEARCH("보류",K29)),ISNUMBER(SEARCH("미룸",K29)),ISNUMBER(SEARCH("나중에",K29)),ISNUMBER(SEARCH("보류",L29)),ISNUMBER(SEARCH("미룸",L29)),ISNUMBER(SEARCH("나중에",L29))),"보류(나중에 풀기)",IF(AND(F29="",G29="",H29="",I29=""),"미완료",IF(I29&lt;&gt;"","복습3(마스터)",IF(H29&lt;&gt;"","복습2",IF(G29&lt;&gt;"","복습1",IF(ISNUMBER(SEARCH("제미나이",K29)),"복습대기(AI도움)",IF(ISNUMBER(SEARCH("간당간당",K29)),"복습대기(간당간당)",IF(OR(ISNUMBER(SEARCH("아이디어",K29)),ISNUMBER(SEARCH("시간초과",K29)),ISNUMBER(SEARCH("자료구조",K29)),ISNUMBER(SEARCH("경계값",K29)),ISNUMBER(SEARCH("다른 풀이",K29)),ISNUMBER(SEARCH("또풀기",K29))),"복습대기",IF(OR(ISNUMBER(SEARCH("복습필요없음",K29)),ISNUMBER(SEARCH("자력완벽",K29))),"품(복습불필요)",IF(F29&lt;&gt;"","품","미완료"))))))))))</f>
        <v/>
      </c>
      <c r="K29" s="32" t="inlineStr">
        <is>
          <t>-</t>
        </is>
      </c>
      <c r="L29" s="32" t="inlineStr">
        <is>
          <t>💡 [SWEA 공식 제출 인증: 2026-08-04 11:29]</t>
        </is>
      </c>
      <c r="M29" s="28">
        <f>IF(OR(LEFT(J29,2)="보류", LEFT(J29,4)="복습대기", LEFT(J29,3)="복습1", LEFT(J29,3)="복습2"), MAX($M$3:M28)+1, "")</f>
        <v/>
      </c>
      <c r="N29" s="28" t="inlineStr">
        <is>
          <t>W01</t>
        </is>
      </c>
      <c r="O29" s="36" t="n">
        <v>46238</v>
      </c>
      <c r="P29" s="30">
        <f>IF(F29&lt;&gt;"","✅ 완료",IF(O29="","-",IF(TODAY()&gt;O29,"🚨 지연","⏳ 예정")))</f>
        <v/>
      </c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21.75" customHeight="1" s="209">
      <c r="A30" s="28" t="n">
        <v>27</v>
      </c>
      <c r="B30" s="28" t="inlineStr">
        <is>
          <t>2025</t>
        </is>
      </c>
      <c r="C30" s="30" t="inlineStr">
        <is>
          <t>D1</t>
        </is>
      </c>
      <c r="D30" s="32" t="inlineStr">
        <is>
          <t>N줄덧셈</t>
        </is>
      </c>
      <c r="E30" s="34" t="inlineStr">
        <is>
          <t>수학 / 기초연산</t>
        </is>
      </c>
      <c r="F30" s="36" t="n">
        <v>46238</v>
      </c>
      <c r="G30" s="28" t="n"/>
      <c r="H30" s="28" t="n"/>
      <c r="I30" s="28" t="n"/>
      <c r="J30" s="54">
        <f>IF(OR(ISNUMBER(SEARCH("보류",K30)),ISNUMBER(SEARCH("미룸",K30)),ISNUMBER(SEARCH("나중에",K30)),ISNUMBER(SEARCH("보류",L30)),ISNUMBER(SEARCH("미룸",L30)),ISNUMBER(SEARCH("나중에",L30))),"보류(나중에 풀기)",IF(AND(F30="",G30="",H30="",I30=""),"미완료",IF(I30&lt;&gt;"","복습3(마스터)",IF(H30&lt;&gt;"","복습2",IF(G30&lt;&gt;"","복습1",IF(ISNUMBER(SEARCH("제미나이",K30)),"복습대기(AI도움)",IF(ISNUMBER(SEARCH("간당간당",K30)),"복습대기(간당간당)",IF(OR(ISNUMBER(SEARCH("아이디어",K30)),ISNUMBER(SEARCH("시간초과",K30)),ISNUMBER(SEARCH("자료구조",K30)),ISNUMBER(SEARCH("경계값",K30)),ISNUMBER(SEARCH("다른 풀이",K30)),ISNUMBER(SEARCH("또풀기",K30))),"복습대기",IF(OR(ISNUMBER(SEARCH("복습필요없음",K30)),ISNUMBER(SEARCH("자력완벽",K30))),"품(복습불필요)",IF(F30&lt;&gt;"","품","미완료"))))))))))</f>
        <v/>
      </c>
      <c r="K30" s="32" t="inlineStr">
        <is>
          <t>-</t>
        </is>
      </c>
      <c r="L30" s="32" t="inlineStr">
        <is>
          <t>💡 [SWEA 공식 제출 인증: 2026-08-04 11:09]</t>
        </is>
      </c>
      <c r="M30" s="28">
        <f>IF(OR(LEFT(J30,2)="보류", LEFT(J30,4)="복습대기", LEFT(J30,3)="복습1", LEFT(J30,3)="복습2"), MAX($M$3:M29)+1, "")</f>
        <v/>
      </c>
      <c r="N30" s="28" t="inlineStr">
        <is>
          <t>W01</t>
        </is>
      </c>
      <c r="O30" s="36" t="n">
        <v>46238</v>
      </c>
      <c r="P30" s="30">
        <f>IF(F30&lt;&gt;"","✅ 완료",IF(O30="","-",IF(TODAY()&gt;O30,"🚨 지연","⏳ 예정")))</f>
        <v/>
      </c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21.75" customHeight="1" s="209">
      <c r="A31" s="28" t="n">
        <v>28</v>
      </c>
      <c r="B31" s="28" t="inlineStr">
        <is>
          <t>2027</t>
        </is>
      </c>
      <c r="C31" s="30" t="inlineStr">
        <is>
          <t>D1</t>
        </is>
      </c>
      <c r="D31" s="32" t="inlineStr">
        <is>
          <t>대각선 출력하기</t>
        </is>
      </c>
      <c r="E31" s="34" t="inlineStr">
        <is>
          <t>기초 문법 / 단순구현</t>
        </is>
      </c>
      <c r="F31" s="36" t="n">
        <v>46238</v>
      </c>
      <c r="G31" s="28" t="n"/>
      <c r="H31" s="28" t="n"/>
      <c r="I31" s="28" t="n"/>
      <c r="J31" s="54">
        <f>IF(OR(ISNUMBER(SEARCH("보류",K31)),ISNUMBER(SEARCH("미룸",K31)),ISNUMBER(SEARCH("나중에",K31)),ISNUMBER(SEARCH("보류",L31)),ISNUMBER(SEARCH("미룸",L31)),ISNUMBER(SEARCH("나중에",L31))),"보류(나중에 풀기)",IF(AND(F31="",G31="",H31="",I31=""),"미완료",IF(I31&lt;&gt;"","복습3(마스터)",IF(H31&lt;&gt;"","복습2",IF(G31&lt;&gt;"","복습1",IF(ISNUMBER(SEARCH("제미나이",K31)),"복습대기(AI도움)",IF(ISNUMBER(SEARCH("간당간당",K31)),"복습대기(간당간당)",IF(OR(ISNUMBER(SEARCH("아이디어",K31)),ISNUMBER(SEARCH("시간초과",K31)),ISNUMBER(SEARCH("자료구조",K31)),ISNUMBER(SEARCH("경계값",K31)),ISNUMBER(SEARCH("다른 풀이",K31)),ISNUMBER(SEARCH("또풀기",K31))),"복습대기",IF(OR(ISNUMBER(SEARCH("복습필요없음",K31)),ISNUMBER(SEARCH("자력완벽",K31))),"품(복습불필요)",IF(F31&lt;&gt;"","품","미완료"))))))))))</f>
        <v/>
      </c>
      <c r="K31" s="32" t="inlineStr">
        <is>
          <t>-</t>
        </is>
      </c>
      <c r="L31" s="32" t="inlineStr">
        <is>
          <t>💡 [SWEA 공식 제출 인증: 2026-08-04 11:05]</t>
        </is>
      </c>
      <c r="M31" s="28">
        <f>IF(OR(LEFT(J31,2)="보류", LEFT(J31,4)="복습대기", LEFT(J31,3)="복습1", LEFT(J31,3)="복습2"), MAX($M$3:M30)+1, "")</f>
        <v/>
      </c>
      <c r="N31" s="28" t="inlineStr">
        <is>
          <t>W01</t>
        </is>
      </c>
      <c r="O31" s="36" t="n">
        <v>46238</v>
      </c>
      <c r="P31" s="30">
        <f>IF(F31&lt;&gt;"","✅ 완료",IF(O31="","-",IF(TODAY()&gt;O31,"🚨 지연","⏳ 예정")))</f>
        <v/>
      </c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21.75" customHeight="1" s="209">
      <c r="A32" s="28" t="n">
        <v>29</v>
      </c>
      <c r="B32" s="28" t="inlineStr">
        <is>
          <t>2029</t>
        </is>
      </c>
      <c r="C32" s="30" t="inlineStr">
        <is>
          <t>D1</t>
        </is>
      </c>
      <c r="D32" s="32" t="inlineStr">
        <is>
          <t>몫과 나머지 출력하기</t>
        </is>
      </c>
      <c r="E32" s="34" t="inlineStr">
        <is>
          <t>수학 / 기초연산</t>
        </is>
      </c>
      <c r="F32" s="36" t="n">
        <v>46238</v>
      </c>
      <c r="G32" s="28" t="n"/>
      <c r="H32" s="28" t="n"/>
      <c r="I32" s="28" t="n"/>
      <c r="J32" s="54">
        <f>IF(OR(ISNUMBER(SEARCH("보류",K32)),ISNUMBER(SEARCH("미룸",K32)),ISNUMBER(SEARCH("나중에",K32)),ISNUMBER(SEARCH("보류",L32)),ISNUMBER(SEARCH("미룸",L32)),ISNUMBER(SEARCH("나중에",L32))),"보류(나중에 풀기)",IF(AND(F32="",G32="",H32="",I32=""),"미완료",IF(I32&lt;&gt;"","복습3(마스터)",IF(H32&lt;&gt;"","복습2",IF(G32&lt;&gt;"","복습1",IF(ISNUMBER(SEARCH("제미나이",K32)),"복습대기(AI도움)",IF(ISNUMBER(SEARCH("간당간당",K32)),"복습대기(간당간당)",IF(OR(ISNUMBER(SEARCH("아이디어",K32)),ISNUMBER(SEARCH("시간초과",K32)),ISNUMBER(SEARCH("자료구조",K32)),ISNUMBER(SEARCH("경계값",K32)),ISNUMBER(SEARCH("다른 풀이",K32)),ISNUMBER(SEARCH("또풀기",K32))),"복습대기",IF(OR(ISNUMBER(SEARCH("복습필요없음",K32)),ISNUMBER(SEARCH("자력완벽",K32))),"품(복습불필요)",IF(F32&lt;&gt;"","품","미완료"))))))))))</f>
        <v/>
      </c>
      <c r="K32" s="32" t="inlineStr">
        <is>
          <t>-</t>
        </is>
      </c>
      <c r="L32" s="32" t="inlineStr">
        <is>
          <t>💡 [SWEA 공식 제출 인증: 2026-08-04 10:59]</t>
        </is>
      </c>
      <c r="M32" s="28">
        <f>IF(OR(LEFT(J32,2)="보류", LEFT(J32,4)="복습대기", LEFT(J32,3)="복습1", LEFT(J32,3)="복습2"), MAX($M$3:M31)+1, "")</f>
        <v/>
      </c>
      <c r="N32" s="28" t="inlineStr">
        <is>
          <t>W01</t>
        </is>
      </c>
      <c r="O32" s="36" t="n">
        <v>46238</v>
      </c>
      <c r="P32" s="30">
        <f>IF(F32&lt;&gt;"","✅ 완료",IF(O32="","-",IF(TODAY()&gt;O32,"🚨 지연","⏳ 예정")))</f>
        <v/>
      </c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21.75" customHeight="1" s="209">
      <c r="A33" s="28" t="n">
        <v>30</v>
      </c>
      <c r="B33" s="28" t="inlineStr">
        <is>
          <t>2043</t>
        </is>
      </c>
      <c r="C33" s="30" t="inlineStr">
        <is>
          <t>D1</t>
        </is>
      </c>
      <c r="D33" s="32" t="inlineStr">
        <is>
          <t>서랍의 비밀번호</t>
        </is>
      </c>
      <c r="E33" s="34" t="inlineStr">
        <is>
          <t>기초 문법 / 입문</t>
        </is>
      </c>
      <c r="F33" s="36" t="n">
        <v>46238</v>
      </c>
      <c r="G33" s="28" t="n"/>
      <c r="H33" s="28" t="n"/>
      <c r="I33" s="28" t="n"/>
      <c r="J33" s="54">
        <f>IF(OR(ISNUMBER(SEARCH("보류",K33)),ISNUMBER(SEARCH("미룸",K33)),ISNUMBER(SEARCH("나중에",K33)),ISNUMBER(SEARCH("보류",L33)),ISNUMBER(SEARCH("미룸",L33)),ISNUMBER(SEARCH("나중에",L33))),"보류(나중에 풀기)",IF(AND(F33="",G33="",H33="",I33=""),"미완료",IF(I33&lt;&gt;"","복습3(마스터)",IF(H33&lt;&gt;"","복습2",IF(G33&lt;&gt;"","복습1",IF(ISNUMBER(SEARCH("제미나이",K33)),"복습대기(AI도움)",IF(ISNUMBER(SEARCH("간당간당",K33)),"복습대기(간당간당)",IF(OR(ISNUMBER(SEARCH("아이디어",K33)),ISNUMBER(SEARCH("시간초과",K33)),ISNUMBER(SEARCH("자료구조",K33)),ISNUMBER(SEARCH("경계값",K33)),ISNUMBER(SEARCH("다른 풀이",K33)),ISNUMBER(SEARCH("또풀기",K33))),"복습대기",IF(OR(ISNUMBER(SEARCH("복습필요없음",K33)),ISNUMBER(SEARCH("자력완벽",K33))),"품(복습불필요)",IF(F33&lt;&gt;"","품","미완료"))))))))))</f>
        <v/>
      </c>
      <c r="K33" s="32" t="inlineStr">
        <is>
          <t>-</t>
        </is>
      </c>
      <c r="L33" s="32" t="inlineStr">
        <is>
          <t>💡 [SWEA 공식 제출 인증: 2026-08-04 10:50]</t>
        </is>
      </c>
      <c r="M33" s="28">
        <f>IF(OR(LEFT(J33,2)="보류", LEFT(J33,4)="복습대기", LEFT(J33,3)="복습1", LEFT(J33,3)="복습2"), MAX($M$3:M32)+1, "")</f>
        <v/>
      </c>
      <c r="N33" s="28" t="inlineStr">
        <is>
          <t>W01</t>
        </is>
      </c>
      <c r="O33" s="36" t="n">
        <v>46238</v>
      </c>
      <c r="P33" s="30">
        <f>IF(F33&lt;&gt;"","✅ 완료",IF(O33="","-",IF(TODAY()&gt;O33,"🚨 지연","⏳ 예정")))</f>
        <v/>
      </c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21.75" customHeight="1" s="209">
      <c r="A34" s="28" t="n">
        <v>31</v>
      </c>
      <c r="B34" s="28" t="inlineStr">
        <is>
          <t>2046</t>
        </is>
      </c>
      <c r="C34" s="30" t="inlineStr">
        <is>
          <t>D1</t>
        </is>
      </c>
      <c r="D34" s="32" t="inlineStr">
        <is>
          <t>스탬프 찍기</t>
        </is>
      </c>
      <c r="E34" s="34" t="inlineStr">
        <is>
          <t>기초 문법 / 단순구현</t>
        </is>
      </c>
      <c r="F34" s="36" t="n">
        <v>46238</v>
      </c>
      <c r="G34" s="28" t="n"/>
      <c r="H34" s="28" t="n"/>
      <c r="I34" s="28" t="n"/>
      <c r="J34" s="54">
        <f>IF(OR(ISNUMBER(SEARCH("보류",K34)),ISNUMBER(SEARCH("미룸",K34)),ISNUMBER(SEARCH("나중에",K34)),ISNUMBER(SEARCH("보류",L34)),ISNUMBER(SEARCH("미룸",L34)),ISNUMBER(SEARCH("나중에",L34))),"보류(나중에 풀기)",IF(AND(F34="",G34="",H34="",I34=""),"미완료",IF(I34&lt;&gt;"","복습3(마스터)",IF(H34&lt;&gt;"","복습2",IF(G34&lt;&gt;"","복습1",IF(ISNUMBER(SEARCH("제미나이",K34)),"복습대기(AI도움)",IF(ISNUMBER(SEARCH("간당간당",K34)),"복습대기(간당간당)",IF(OR(ISNUMBER(SEARCH("아이디어",K34)),ISNUMBER(SEARCH("시간초과",K34)),ISNUMBER(SEARCH("자료구조",K34)),ISNUMBER(SEARCH("경계값",K34)),ISNUMBER(SEARCH("다른 풀이",K34)),ISNUMBER(SEARCH("또풀기",K34))),"복습대기",IF(OR(ISNUMBER(SEARCH("복습필요없음",K34)),ISNUMBER(SEARCH("자력완벽",K34))),"품(복습불필요)",IF(F34&lt;&gt;"","품","미완료"))))))))))</f>
        <v/>
      </c>
      <c r="K34" s="32" t="inlineStr">
        <is>
          <t>-</t>
        </is>
      </c>
      <c r="L34" s="32" t="inlineStr">
        <is>
          <t>💡 [SWEA 공식 제출 인증: 2026-08-04 10:37]</t>
        </is>
      </c>
      <c r="M34" s="28">
        <f>IF(OR(LEFT(J34,2)="보류", LEFT(J34,4)="복습대기", LEFT(J34,3)="복습1", LEFT(J34,3)="복습2"), MAX($M$3:M33)+1, "")</f>
        <v/>
      </c>
      <c r="N34" s="28" t="inlineStr">
        <is>
          <t>W01</t>
        </is>
      </c>
      <c r="O34" s="36" t="n">
        <v>46238</v>
      </c>
      <c r="P34" s="30">
        <f>IF(F34&lt;&gt;"","✅ 완료",IF(O34="","-",IF(TODAY()&gt;O34,"🚨 지연","⏳ 예정")))</f>
        <v/>
      </c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21.75" customHeight="1" s="209">
      <c r="A35" s="28" t="n">
        <v>32</v>
      </c>
      <c r="B35" s="28" t="inlineStr">
        <is>
          <t>2047</t>
        </is>
      </c>
      <c r="C35" s="30" t="inlineStr">
        <is>
          <t>D1</t>
        </is>
      </c>
      <c r="D35" s="32" t="inlineStr">
        <is>
          <t>신문 헤드라인</t>
        </is>
      </c>
      <c r="E35" s="34" t="inlineStr">
        <is>
          <t>문자열 / 기초파싱</t>
        </is>
      </c>
      <c r="F35" s="36" t="n">
        <v>46238</v>
      </c>
      <c r="G35" s="28" t="n"/>
      <c r="H35" s="28" t="n"/>
      <c r="I35" s="28" t="n"/>
      <c r="J35" s="54">
        <f>IF(OR(ISNUMBER(SEARCH("보류",K35)),ISNUMBER(SEARCH("미룸",K35)),ISNUMBER(SEARCH("나중에",K35)),ISNUMBER(SEARCH("보류",L35)),ISNUMBER(SEARCH("미룸",L35)),ISNUMBER(SEARCH("나중에",L35))),"보류(나중에 풀기)",IF(AND(F35="",G35="",H35="",I35=""),"미완료",IF(I35&lt;&gt;"","복습3(마스터)",IF(H35&lt;&gt;"","복습2",IF(G35&lt;&gt;"","복습1",IF(ISNUMBER(SEARCH("제미나이",K35)),"복습대기(AI도움)",IF(ISNUMBER(SEARCH("간당간당",K35)),"복습대기(간당간당)",IF(OR(ISNUMBER(SEARCH("아이디어",K35)),ISNUMBER(SEARCH("시간초과",K35)),ISNUMBER(SEARCH("자료구조",K35)),ISNUMBER(SEARCH("경계값",K35)),ISNUMBER(SEARCH("다른 풀이",K35)),ISNUMBER(SEARCH("또풀기",K35))),"복습대기",IF(OR(ISNUMBER(SEARCH("복습필요없음",K35)),ISNUMBER(SEARCH("자력완벽",K35))),"품(복습불필요)",IF(F35&lt;&gt;"","품","미완료"))))))))))</f>
        <v/>
      </c>
      <c r="K35" s="32" t="inlineStr">
        <is>
          <t>-</t>
        </is>
      </c>
      <c r="L35" s="32" t="inlineStr">
        <is>
          <t>💡 [SWEA 공식 제출 인증: 2026-08-04 10:26]</t>
        </is>
      </c>
      <c r="M35" s="28">
        <f>IF(OR(LEFT(J35,2)="보류", LEFT(J35,4)="복습대기", LEFT(J35,3)="복습1", LEFT(J35,3)="복습2"), MAX($M$3:M34)+1, "")</f>
        <v/>
      </c>
      <c r="N35" s="28" t="inlineStr">
        <is>
          <t>W01</t>
        </is>
      </c>
      <c r="O35" s="36" t="n">
        <v>46238</v>
      </c>
      <c r="P35" s="30">
        <f>IF(F35&lt;&gt;"","✅ 완료",IF(O35="","-",IF(TODAY()&gt;O35,"🚨 지연","⏳ 예정")))</f>
        <v/>
      </c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21.75" customHeight="1" s="209">
      <c r="A36" s="28" t="n">
        <v>33</v>
      </c>
      <c r="B36" s="28" t="inlineStr">
        <is>
          <t>2050</t>
        </is>
      </c>
      <c r="C36" s="30" t="inlineStr">
        <is>
          <t>D1</t>
        </is>
      </c>
      <c r="D36" s="32" t="inlineStr">
        <is>
          <t>알파벳을 숫자로 변환</t>
        </is>
      </c>
      <c r="E36" s="34" t="inlineStr">
        <is>
          <t>수학 / 기초연산</t>
        </is>
      </c>
      <c r="F36" s="36" t="n">
        <v>46238</v>
      </c>
      <c r="G36" s="28" t="n"/>
      <c r="H36" s="28" t="n"/>
      <c r="I36" s="28" t="n"/>
      <c r="J36" s="54">
        <f>IF(OR(ISNUMBER(SEARCH("보류",K36)),ISNUMBER(SEARCH("미룸",K36)),ISNUMBER(SEARCH("나중에",K36)),ISNUMBER(SEARCH("보류",L36)),ISNUMBER(SEARCH("미룸",L36)),ISNUMBER(SEARCH("나중에",L36))),"보류(나중에 풀기)",IF(AND(F36="",G36="",H36="",I36=""),"미완료",IF(I36&lt;&gt;"","복습3(마스터)",IF(H36&lt;&gt;"","복습2",IF(G36&lt;&gt;"","복습1",IF(ISNUMBER(SEARCH("제미나이",K36)),"복습대기(AI도움)",IF(ISNUMBER(SEARCH("간당간당",K36)),"복습대기(간당간당)",IF(OR(ISNUMBER(SEARCH("아이디어",K36)),ISNUMBER(SEARCH("시간초과",K36)),ISNUMBER(SEARCH("자료구조",K36)),ISNUMBER(SEARCH("경계값",K36)),ISNUMBER(SEARCH("다른 풀이",K36)),ISNUMBER(SEARCH("또풀기",K36))),"복습대기",IF(OR(ISNUMBER(SEARCH("복습필요없음",K36)),ISNUMBER(SEARCH("자력완벽",K36))),"품(복습불필요)",IF(F36&lt;&gt;"","품","미완료"))))))))))</f>
        <v/>
      </c>
      <c r="K36" s="32" t="inlineStr">
        <is>
          <t>-</t>
        </is>
      </c>
      <c r="L36" s="32" t="inlineStr">
        <is>
          <t>💡 [SWEA 공식 제출 인증: 2026-08-04 10:11]</t>
        </is>
      </c>
      <c r="M36" s="28">
        <f>IF(OR(LEFT(J36,2)="보류", LEFT(J36,4)="복습대기", LEFT(J36,3)="복습1", LEFT(J36,3)="복습2"), MAX($M$3:M35)+1, "")</f>
        <v/>
      </c>
      <c r="N36" s="28" t="inlineStr">
        <is>
          <t>W01</t>
        </is>
      </c>
      <c r="O36" s="36" t="n">
        <v>46238</v>
      </c>
      <c r="P36" s="30">
        <f>IF(F36&lt;&gt;"","✅ 완료",IF(O36="","-",IF(TODAY()&gt;O36,"🚨 지연","⏳ 예정")))</f>
        <v/>
      </c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21.75" customHeight="1" s="209">
      <c r="A37" s="28" t="n">
        <v>34</v>
      </c>
      <c r="B37" s="28" t="inlineStr">
        <is>
          <t>2056</t>
        </is>
      </c>
      <c r="C37" s="30" t="inlineStr">
        <is>
          <t>D1</t>
        </is>
      </c>
      <c r="D37" s="32" t="inlineStr">
        <is>
          <t>연월일 달력</t>
        </is>
      </c>
      <c r="E37" s="34" t="inlineStr">
        <is>
          <t>수학 / 기초연산</t>
        </is>
      </c>
      <c r="F37" s="36" t="n">
        <v>46238</v>
      </c>
      <c r="G37" s="28" t="n"/>
      <c r="H37" s="28" t="n"/>
      <c r="I37" s="28" t="n"/>
      <c r="J37" s="54">
        <f>IF(OR(ISNUMBER(SEARCH("보류",K37)),ISNUMBER(SEARCH("미룸",K37)),ISNUMBER(SEARCH("나중에",K37)),ISNUMBER(SEARCH("보류",L37)),ISNUMBER(SEARCH("미룸",L37)),ISNUMBER(SEARCH("나중에",L37))),"보류(나중에 풀기)",IF(AND(F37="",G37="",H37="",I37=""),"미완료",IF(I37&lt;&gt;"","복습3(마스터)",IF(H37&lt;&gt;"","복습2",IF(G37&lt;&gt;"","복습1",IF(ISNUMBER(SEARCH("제미나이",K37)),"복습대기(AI도움)",IF(ISNUMBER(SEARCH("간당간당",K37)),"복습대기(간당간당)",IF(OR(ISNUMBER(SEARCH("아이디어",K37)),ISNUMBER(SEARCH("시간초과",K37)),ISNUMBER(SEARCH("자료구조",K37)),ISNUMBER(SEARCH("경계값",K37)),ISNUMBER(SEARCH("다른 풀이",K37)),ISNUMBER(SEARCH("또풀기",K37))),"복습대기",IF(OR(ISNUMBER(SEARCH("복습필요없음",K37)),ISNUMBER(SEARCH("자력완벽",K37))),"품(복습불필요)",IF(F37&lt;&gt;"","품","미완료"))))))))))</f>
        <v/>
      </c>
      <c r="K37" s="32" t="inlineStr">
        <is>
          <t>-</t>
        </is>
      </c>
      <c r="L37" s="32" t="inlineStr">
        <is>
          <t>💡 [SWEA 공식 제출 인증: 2026-08-04 09:54]</t>
        </is>
      </c>
      <c r="M37" s="28">
        <f>IF(OR(LEFT(J37,2)="보류", LEFT(J37,4)="복습대기", LEFT(J37,3)="복습1", LEFT(J37,3)="복습2"), MAX($M$3:M36)+1, "")</f>
        <v/>
      </c>
      <c r="N37" s="28" t="inlineStr">
        <is>
          <t>W01</t>
        </is>
      </c>
      <c r="O37" s="36" t="n">
        <v>46238</v>
      </c>
      <c r="P37" s="30">
        <f>IF(F37&lt;&gt;"","✅ 완료",IF(O37="","-",IF(TODAY()&gt;O37,"🚨 지연","⏳ 예정")))</f>
        <v/>
      </c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21.75" customHeight="1" s="209">
      <c r="A38" s="28" t="n">
        <v>35</v>
      </c>
      <c r="B38" s="28" t="inlineStr">
        <is>
          <t>1936</t>
        </is>
      </c>
      <c r="C38" s="30" t="inlineStr">
        <is>
          <t>D1</t>
        </is>
      </c>
      <c r="D38" s="32" t="inlineStr">
        <is>
          <t>1대1 가위바위보</t>
        </is>
      </c>
      <c r="E38" s="34" t="inlineStr">
        <is>
          <t>기초 문법 / 입문</t>
        </is>
      </c>
      <c r="F38" s="36" t="n">
        <v>46251</v>
      </c>
      <c r="G38" s="28" t="n"/>
      <c r="H38" s="28" t="n"/>
      <c r="I38" s="28" t="n"/>
      <c r="J38" s="54">
        <f>IF(OR(ISNUMBER(SEARCH("보류",K38)),ISNUMBER(SEARCH("미룸",K38)),ISNUMBER(SEARCH("나중에",K38)),ISNUMBER(SEARCH("보류",L38)),ISNUMBER(SEARCH("미룸",L38)),ISNUMBER(SEARCH("나중에",L38))),"보류(나중에 풀기)",IF(AND(F38="",G38="",H38="",I38=""),"미완료",IF(I38&lt;&gt;"","복습3(마스터)",IF(H38&lt;&gt;"","복습2",IF(G38&lt;&gt;"","복습1",IF(ISNUMBER(SEARCH("제미나이",K38)),"복습대기(AI도움)",IF(ISNUMBER(SEARCH("간당간당",K38)),"복습대기(간당간당)",IF(OR(ISNUMBER(SEARCH("아이디어",K38)),ISNUMBER(SEARCH("시간초과",K38)),ISNUMBER(SEARCH("자료구조",K38)),ISNUMBER(SEARCH("경계값",K38)),ISNUMBER(SEARCH("다른 풀이",K38)),ISNUMBER(SEARCH("또풀기",K38))),"복습대기",IF(OR(ISNUMBER(SEARCH("복습필요없음",K38)),ISNUMBER(SEARCH("자력완벽",K38))),"품(복습불필요)",IF(F38&lt;&gt;"","품","미완료"))))))))))</f>
        <v/>
      </c>
      <c r="K38" s="32" t="inlineStr">
        <is>
          <t>-</t>
        </is>
      </c>
      <c r="L38" s="32" t="inlineStr">
        <is>
          <t>💡 [SWEA 공식 제출 인증: 2026-08-17 12:14]</t>
        </is>
      </c>
      <c r="M38" s="28">
        <f>IF(OR(LEFT(J38,2)="보류", LEFT(J38,4)="복습대기", LEFT(J38,3)="복습1", LEFT(J38,3)="복습2"), MAX($M$3:M37)+1, "")</f>
        <v/>
      </c>
      <c r="N38" s="28" t="inlineStr">
        <is>
          <t>W01</t>
        </is>
      </c>
      <c r="O38" s="36" t="n">
        <v>46251</v>
      </c>
      <c r="P38" s="30">
        <f>IF(F38&lt;&gt;"","✅ 완료",IF(O38="","-",IF(TODAY()&gt;O38,"🚨 지연","⏳ 예정")))</f>
        <v/>
      </c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21.75" customHeight="1" s="209">
      <c r="A39" s="28" t="n">
        <v>36</v>
      </c>
      <c r="B39" s="28" t="inlineStr">
        <is>
          <t>1979</t>
        </is>
      </c>
      <c r="C39" s="30" t="inlineStr">
        <is>
          <t>D2</t>
        </is>
      </c>
      <c r="D39" s="32" t="inlineStr">
        <is>
          <t>어디에 단어가 들어갈 수 있을까</t>
        </is>
      </c>
      <c r="E39" s="34" t="inlineStr">
        <is>
          <t>완전탐색 / 2차원격자 (단어 퍼즐)</t>
        </is>
      </c>
      <c r="F39" s="36" t="n">
        <v>46259</v>
      </c>
      <c r="G39" s="28" t="n"/>
      <c r="H39" s="28" t="n"/>
      <c r="I39" s="28" t="n"/>
      <c r="J39" s="54">
        <f>IF(OR(ISNUMBER(SEARCH("보류",K39)),ISNUMBER(SEARCH("미룸",K39)),ISNUMBER(SEARCH("나중에",K39)),ISNUMBER(SEARCH("보류",L39)),ISNUMBER(SEARCH("미룸",L39)),ISNUMBER(SEARCH("나중에",L39))),"보류(나중에 풀기)",IF(AND(F39="",G39="",H39="",I39=""),"미완료",IF(I39&lt;&gt;"","복습3(마스터)",IF(H39&lt;&gt;"","복습2",IF(G39&lt;&gt;"","복습1",IF(ISNUMBER(SEARCH("제미나이",K39)),"복습대기(AI도움)",IF(ISNUMBER(SEARCH("간당간당",K39)),"복습대기(간당간당)",IF(OR(ISNUMBER(SEARCH("아이디어",K39)),ISNUMBER(SEARCH("시간초과",K39)),ISNUMBER(SEARCH("자료구조",K39)),ISNUMBER(SEARCH("경계값",K39)),ISNUMBER(SEARCH("다른 풀이",K39)),ISNUMBER(SEARCH("또풀기",K39))),"복습대기",IF(OR(ISNUMBER(SEARCH("복습필요없음",K39)),ISNUMBER(SEARCH("자력완벽",K39))),"품(복습불필요)",IF(F39&lt;&gt;"","품","미완료"))))))))))</f>
        <v/>
      </c>
      <c r="K39" s="32" t="inlineStr">
        <is>
          <t>-</t>
        </is>
      </c>
      <c r="L39" s="32" t="inlineStr">
        <is>
          <t>💡 [SWEA 공식 제출 인증: 2026-08-25 15:51]</t>
        </is>
      </c>
      <c r="M39" s="28">
        <f>IF(OR(LEFT(J39,2)="보류", LEFT(J39,4)="복습대기", LEFT(J39,3)="복습1", LEFT(J39,3)="복습2"), MAX($M$3:M38)+1, "")</f>
        <v/>
      </c>
      <c r="N39" s="28" t="inlineStr">
        <is>
          <t>W01</t>
        </is>
      </c>
      <c r="O39" s="36" t="n">
        <v>46259</v>
      </c>
      <c r="P39" s="30">
        <f>IF(F39&lt;&gt;"","✅ 완료",IF(O39="","-",IF(TODAY()&gt;O39,"🚨 지연","⏳ 예정")))</f>
        <v/>
      </c>
      <c r="Q39" s="7" t="n"/>
      <c r="R39" s="7" t="n"/>
      <c r="S39" s="7" t="n"/>
      <c r="T39" s="7" t="n"/>
      <c r="U39" s="7" t="n"/>
      <c r="V39" s="7" t="n"/>
      <c r="W39" s="7" t="n"/>
      <c r="X39" s="7" t="n"/>
    </row>
    <row r="40" ht="21.75" customHeight="1" s="209">
      <c r="A40" s="28" t="n">
        <v>37</v>
      </c>
      <c r="B40" s="28" t="inlineStr">
        <is>
          <t>2063</t>
        </is>
      </c>
      <c r="C40" s="30" t="inlineStr">
        <is>
          <t>D1</t>
        </is>
      </c>
      <c r="D40" s="32" t="inlineStr">
        <is>
          <t>중간값 찾기</t>
        </is>
      </c>
      <c r="E40" s="34" t="inlineStr">
        <is>
          <t>정렬 / 수학 (중간값 찾기)</t>
        </is>
      </c>
      <c r="F40" s="36" t="n">
        <v>46260</v>
      </c>
      <c r="G40" s="28" t="n"/>
      <c r="H40" s="28" t="n"/>
      <c r="I40" s="28" t="n"/>
      <c r="J40" s="54">
        <f>IF(OR(ISNUMBER(SEARCH("보류",K40)),ISNUMBER(SEARCH("미룸",K40)),ISNUMBER(SEARCH("나중에",K40)),ISNUMBER(SEARCH("보류",L40)),ISNUMBER(SEARCH("미룸",L40)),ISNUMBER(SEARCH("나중에",L40))),"보류(나중에 풀기)",IF(AND(F40="",G40="",H40="",I40=""),"미완료",IF(I40&lt;&gt;"","복습3(마스터)",IF(H40&lt;&gt;"","복습2",IF(G40&lt;&gt;"","복습1",IF(ISNUMBER(SEARCH("제미나이",K40)),"복습대기(AI도움)",IF(ISNUMBER(SEARCH("간당간당",K40)),"복습대기(간당간당)",IF(OR(ISNUMBER(SEARCH("아이디어",K40)),ISNUMBER(SEARCH("시간초과",K40)),ISNUMBER(SEARCH("자료구조",K40)),ISNUMBER(SEARCH("경계값",K40)),ISNUMBER(SEARCH("다른 풀이",K40)),ISNUMBER(SEARCH("또풀기",K40))),"복습대기",IF(OR(ISNUMBER(SEARCH("복습필요없음",K40)),ISNUMBER(SEARCH("자력완벽",K40))),"품(복습불필요)",IF(F40&lt;&gt;"","품","미완료"))))))))))</f>
        <v/>
      </c>
      <c r="K40" s="32" t="inlineStr">
        <is>
          <t>✅ 복습필요없음</t>
        </is>
      </c>
      <c r="L40" s="32" t="inlineStr">
        <is>
          <t>💡 [예시1] 1차 풀이 완료 후 오답 원인(단순실수/아이디어부재 등)을 기록하면 대시보드 Watchlist에 실시간 반영됩니다.</t>
        </is>
      </c>
      <c r="M40" s="28">
        <f>IF(OR(LEFT(J40,2)="보류", LEFT(J40,4)="복습대기", LEFT(J40,3)="복습1", LEFT(J40,3)="복습2"), MAX($M$3:M39)+1, "")</f>
        <v/>
      </c>
      <c r="N40" s="28" t="inlineStr">
        <is>
          <t>W01</t>
        </is>
      </c>
      <c r="O40" s="36" t="n">
        <v>46260</v>
      </c>
      <c r="P40" s="30">
        <f>IF(F40&lt;&gt;"","✅ 완료",IF(O40="","-",IF(TODAY()&gt;O40,"🚨 지연","⏳ 예정")))</f>
        <v/>
      </c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21.75" customHeight="1" s="209">
      <c r="A41" s="28" t="n">
        <v>38</v>
      </c>
      <c r="B41" s="28" t="inlineStr">
        <is>
          <t>2068</t>
        </is>
      </c>
      <c r="C41" s="30" t="inlineStr">
        <is>
          <t>D1</t>
        </is>
      </c>
      <c r="D41" s="32" t="inlineStr">
        <is>
          <t>최대수 구하기</t>
        </is>
      </c>
      <c r="E41" s="34" t="inlineStr">
        <is>
          <t>구현 / 수학 (최대수 구하기)</t>
        </is>
      </c>
      <c r="F41" s="36" t="n">
        <v>46260</v>
      </c>
      <c r="G41" s="28" t="n"/>
      <c r="H41" s="28" t="n"/>
      <c r="I41" s="28" t="n"/>
      <c r="J41" s="54">
        <f>IF(OR(ISNUMBER(SEARCH("보류",K41)),ISNUMBER(SEARCH("미룸",K41)),ISNUMBER(SEARCH("나중에",K41)),ISNUMBER(SEARCH("보류",L41)),ISNUMBER(SEARCH("미룸",L41)),ISNUMBER(SEARCH("나중에",L41))),"보류(나중에 풀기)",IF(AND(F41="",G41="",H41="",I41=""),"미완료",IF(I41&lt;&gt;"","복습3(마스터)",IF(H41&lt;&gt;"","복습2",IF(G41&lt;&gt;"","복습1",IF(ISNUMBER(SEARCH("제미나이",K41)),"복습대기(AI도움)",IF(ISNUMBER(SEARCH("간당간당",K41)),"복습대기(간당간당)",IF(OR(ISNUMBER(SEARCH("아이디어",K41)),ISNUMBER(SEARCH("시간초과",K41)),ISNUMBER(SEARCH("자료구조",K41)),ISNUMBER(SEARCH("경계값",K41)),ISNUMBER(SEARCH("다른 풀이",K41)),ISNUMBER(SEARCH("또풀기",K41))),"복습대기",IF(OR(ISNUMBER(SEARCH("복습필요없음",K41)),ISNUMBER(SEARCH("자력완벽",K41))),"품(복습불필요)",IF(F41&lt;&gt;"","품","미완료"))))))))))</f>
        <v/>
      </c>
      <c r="K41" s="32" t="inlineStr">
        <is>
          <t>✅ 복습필요없음</t>
        </is>
      </c>
      <c r="L41" s="32" t="inlineStr">
        <is>
          <t>💡 [예시2] 2차 복습 진행 중인 문항입니다. 시간초과 최적화 로직 정리 필요.</t>
        </is>
      </c>
      <c r="M41" s="28">
        <f>IF(OR(LEFT(J41,2)="보류", LEFT(J41,4)="복습대기", LEFT(J41,3)="복습1", LEFT(J41,3)="복습2"), MAX($M$3:M40)+1, "")</f>
        <v/>
      </c>
      <c r="N41" s="28" t="inlineStr">
        <is>
          <t>W01</t>
        </is>
      </c>
      <c r="O41" s="36" t="n">
        <v>46260</v>
      </c>
      <c r="P41" s="30">
        <f>IF(F41&lt;&gt;"","✅ 완료",IF(O41="","-",IF(TODAY()&gt;O41,"🚨 지연","⏳ 예정")))</f>
        <v/>
      </c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21.75" customHeight="1" s="209">
      <c r="A42" s="28" t="n">
        <v>39</v>
      </c>
      <c r="B42" s="28" t="inlineStr">
        <is>
          <t>8702</t>
        </is>
      </c>
      <c r="C42" s="30" t="inlineStr">
        <is>
          <t>D1</t>
        </is>
      </c>
      <c r="D42" s="32" t="inlineStr">
        <is>
          <t>당근 수확</t>
        </is>
      </c>
      <c r="E42" s="34" t="inlineStr">
        <is>
          <t>누적합 / 시뮬레이션 (당근 수확)</t>
        </is>
      </c>
      <c r="F42" s="36" t="n">
        <v>46260</v>
      </c>
      <c r="G42" s="28" t="n"/>
      <c r="H42" s="28" t="n"/>
      <c r="I42" s="28" t="n"/>
      <c r="J42" s="54">
        <f>IF(OR(ISNUMBER(SEARCH("보류",K42)),ISNUMBER(SEARCH("미룸",K42)),ISNUMBER(SEARCH("나중에",K42)),ISNUMBER(SEARCH("보류",L42)),ISNUMBER(SEARCH("미룸",L42)),ISNUMBER(SEARCH("나중에",L42))),"보류(나중에 풀기)",IF(AND(F42="",G42="",H42="",I42=""),"미완료",IF(I42&lt;&gt;"","복습3(마스터)",IF(H42&lt;&gt;"","복습2",IF(G42&lt;&gt;"","복습1",IF(ISNUMBER(SEARCH("제미나이",K42)),"복습대기(AI도움)",IF(ISNUMBER(SEARCH("간당간당",K42)),"복습대기(간당간당)",IF(OR(ISNUMBER(SEARCH("아이디어",K42)),ISNUMBER(SEARCH("시간초과",K42)),ISNUMBER(SEARCH("자료구조",K42)),ISNUMBER(SEARCH("경계값",K42)),ISNUMBER(SEARCH("다른 풀이",K42)),ISNUMBER(SEARCH("또풀기",K42))),"복습대기",IF(OR(ISNUMBER(SEARCH("복습필요없음",K42)),ISNUMBER(SEARCH("자력완벽",K42))),"품(복습불필요)",IF(F42&lt;&gt;"","품","미완료"))))))))))</f>
        <v/>
      </c>
      <c r="K42" s="32" t="inlineStr">
        <is>
          <t>복습필요없음</t>
        </is>
      </c>
      <c r="L42" s="32" t="inlineStr">
        <is>
          <t>💡 [예시3] 누적합 또는 슬라이딩 윈도우로 시간 복잡도 O(N)으로 개선 필요.</t>
        </is>
      </c>
      <c r="M42" s="28">
        <f>IF(OR(LEFT(J42,2)="보류", LEFT(J42,4)="복습대기", LEFT(J42,3)="복습1", LEFT(J42,3)="복습2"), MAX($M$3:M41)+1, "")</f>
        <v/>
      </c>
      <c r="N42" s="28" t="inlineStr">
        <is>
          <t>W01</t>
        </is>
      </c>
      <c r="O42" s="36" t="n">
        <v>46260</v>
      </c>
      <c r="P42" s="30">
        <f>IF(F42&lt;&gt;"","✅ 완료",IF(O42="","-",IF(TODAY()&gt;O42,"🚨 지연","⏳ 예정")))</f>
        <v/>
      </c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21.75" customHeight="1" s="209">
      <c r="A43" s="28" t="n">
        <v>40</v>
      </c>
      <c r="B43" s="28" t="inlineStr">
        <is>
          <t>1284</t>
        </is>
      </c>
      <c r="C43" s="30" t="inlineStr">
        <is>
          <t>D2</t>
        </is>
      </c>
      <c r="D43" s="32" t="inlineStr">
        <is>
          <t>수도 요금 경쟁</t>
        </is>
      </c>
      <c r="E43" s="59" t="inlineStr">
        <is>
          <t>수학 / 조건문 (수도 요금)</t>
        </is>
      </c>
      <c r="F43" s="36" t="n">
        <v>46260</v>
      </c>
      <c r="G43" s="28" t="n"/>
      <c r="H43" s="28" t="n"/>
      <c r="I43" s="28" t="n"/>
      <c r="J43" s="54">
        <f>IF(OR(ISNUMBER(SEARCH("보류",K43)),ISNUMBER(SEARCH("미룸",K43)),ISNUMBER(SEARCH("나중에",K43)),ISNUMBER(SEARCH("보류",L43)),ISNUMBER(SEARCH("미룸",L43)),ISNUMBER(SEARCH("나중에",L43))),"보류(나중에 풀기)",IF(AND(F43="",G43="",H43="",I43=""),"미완료",IF(I43&lt;&gt;"","복습3(마스터)",IF(H43&lt;&gt;"","복습2",IF(G43&lt;&gt;"","복습1",IF(ISNUMBER(SEARCH("제미나이",K43)),"복습대기(AI도움)",IF(ISNUMBER(SEARCH("간당간당",K43)),"복습대기(간당간당)",IF(OR(ISNUMBER(SEARCH("아이디어",K43)),ISNUMBER(SEARCH("시간초과",K43)),ISNUMBER(SEARCH("자료구조",K43)),ISNUMBER(SEARCH("경계값",K43)),ISNUMBER(SEARCH("다른 풀이",K43)),ISNUMBER(SEARCH("또풀기",K43))),"복습대기",IF(OR(ISNUMBER(SEARCH("복습필요없음",K43)),ISNUMBER(SEARCH("자력완벽",K43))),"품(복습불필요)",IF(F43&lt;&gt;"","품","미완료"))))))))))</f>
        <v/>
      </c>
      <c r="K43" s="32" t="inlineStr">
        <is>
          <t>-</t>
        </is>
      </c>
      <c r="L43" s="32" t="inlineStr">
        <is>
          <t>💡 [SWEA 공식 제출 인증: 2026-08-26 16:11]</t>
        </is>
      </c>
      <c r="M43" s="28">
        <f>IF(OR(LEFT(J43,2)="보류", LEFT(J43,4)="복습대기", LEFT(J43,3)="복습1", LEFT(J43,3)="복습2"), MAX($M$3:M42)+1, "")</f>
        <v/>
      </c>
      <c r="N43" s="28" t="inlineStr">
        <is>
          <t>W01</t>
        </is>
      </c>
      <c r="O43" s="36" t="n">
        <v>46260</v>
      </c>
      <c r="P43" s="30">
        <f>IF(F43&lt;&gt;"","✅ 완료",IF(O43="","-",IF(TODAY()&gt;O43,"🚨 지연","⏳ 예정")))</f>
        <v/>
      </c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21.75" customHeight="1" s="209">
      <c r="A44" s="28" t="n">
        <v>41</v>
      </c>
      <c r="B44" s="28" t="inlineStr">
        <is>
          <t>1946</t>
        </is>
      </c>
      <c r="C44" s="30" t="inlineStr">
        <is>
          <t>D2</t>
        </is>
      </c>
      <c r="D44" s="32" t="inlineStr">
        <is>
          <t>간단한 압축 풀기</t>
        </is>
      </c>
      <c r="E44" s="59" t="inlineStr">
        <is>
          <t>문자열 / 구현 (압축 풀기)</t>
        </is>
      </c>
      <c r="F44" s="36" t="n">
        <v>46260</v>
      </c>
      <c r="G44" s="28" t="n"/>
      <c r="H44" s="28" t="n"/>
      <c r="I44" s="28" t="n"/>
      <c r="J44" s="54">
        <f>IF(OR(ISNUMBER(SEARCH("보류",K44)),ISNUMBER(SEARCH("미룸",K44)),ISNUMBER(SEARCH("나중에",K44)),ISNUMBER(SEARCH("보류",L44)),ISNUMBER(SEARCH("미룸",L44)),ISNUMBER(SEARCH("나중에",L44))),"보류(나중에 풀기)",IF(AND(F44="",G44="",H44="",I44=""),"미완료",IF(I44&lt;&gt;"","복습3(마스터)",IF(H44&lt;&gt;"","복습2",IF(G44&lt;&gt;"","복습1",IF(ISNUMBER(SEARCH("제미나이",K44)),"복습대기(AI도움)",IF(ISNUMBER(SEARCH("간당간당",K44)),"복습대기(간당간당)",IF(OR(ISNUMBER(SEARCH("아이디어",K44)),ISNUMBER(SEARCH("시간초과",K44)),ISNUMBER(SEARCH("자료구조",K44)),ISNUMBER(SEARCH("경계값",K44)),ISNUMBER(SEARCH("다른 풀이",K44)),ISNUMBER(SEARCH("또풀기",K44))),"복습대기",IF(OR(ISNUMBER(SEARCH("복습필요없음",K44)),ISNUMBER(SEARCH("자력완벽",K44))),"품(복습불필요)",IF(F44&lt;&gt;"","품","미완료"))))))))))</f>
        <v/>
      </c>
      <c r="K44" s="32" t="inlineStr">
        <is>
          <t>다른 풀이법 공부</t>
        </is>
      </c>
      <c r="L44" s="32" t="inlineStr">
        <is>
          <t>💡 [SWEA 공식 제출 인증: 2026-08-26 10:27]</t>
        </is>
      </c>
      <c r="M44" s="28">
        <f>IF(OR(LEFT(J44,2)="보류", LEFT(J44,4)="복습대기", LEFT(J44,3)="복습1", LEFT(J44,3)="복습2"), MAX($M$3:M43)+1, "")</f>
        <v/>
      </c>
      <c r="N44" s="28" t="inlineStr">
        <is>
          <t>W01</t>
        </is>
      </c>
      <c r="O44" s="36" t="n">
        <v>46260</v>
      </c>
      <c r="P44" s="30">
        <f>IF(F44&lt;&gt;"","✅ 완료",IF(O44="","-",IF(TODAY()&gt;O44,"🚨 지연","⏳ 예정")))</f>
        <v/>
      </c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21.75" customHeight="1" s="209">
      <c r="A45" s="28" t="n">
        <v>42</v>
      </c>
      <c r="B45" s="28" t="inlineStr">
        <is>
          <t>1974</t>
        </is>
      </c>
      <c r="C45" s="30" t="inlineStr">
        <is>
          <t>D2</t>
        </is>
      </c>
      <c r="D45" s="32" t="inlineStr">
        <is>
          <t>스도쿠 검증</t>
        </is>
      </c>
      <c r="E45" s="59" t="inlineStr">
        <is>
          <t>구현 / 2차원격자 (스도쿠 검증)</t>
        </is>
      </c>
      <c r="F45" s="36" t="n">
        <v>46260</v>
      </c>
      <c r="G45" s="28" t="n"/>
      <c r="H45" s="28" t="n"/>
      <c r="I45" s="28" t="n"/>
      <c r="J45" s="54">
        <f>IF(OR(ISNUMBER(SEARCH("보류",K45)),ISNUMBER(SEARCH("미룸",K45)),ISNUMBER(SEARCH("나중에",K45)),ISNUMBER(SEARCH("보류",L45)),ISNUMBER(SEARCH("미룸",L45)),ISNUMBER(SEARCH("나중에",L45))),"보류(나중에 풀기)",IF(AND(F45="",G45="",H45="",I45=""),"미완료",IF(I45&lt;&gt;"","복습3(마스터)",IF(H45&lt;&gt;"","복습2",IF(G45&lt;&gt;"","복습1",IF(ISNUMBER(SEARCH("제미나이",K45)),"복습대기(AI도움)",IF(ISNUMBER(SEARCH("간당간당",K45)),"복습대기(간당간당)",IF(OR(ISNUMBER(SEARCH("아이디어",K45)),ISNUMBER(SEARCH("시간초과",K45)),ISNUMBER(SEARCH("자료구조",K45)),ISNUMBER(SEARCH("경계값",K45)),ISNUMBER(SEARCH("다른 풀이",K45)),ISNUMBER(SEARCH("또풀기",K45))),"복습대기",IF(OR(ISNUMBER(SEARCH("복습필요없음",K45)),ISNUMBER(SEARCH("자력완벽",K45))),"품(복습불필요)",IF(F45&lt;&gt;"","품","미완료"))))))))))</f>
        <v/>
      </c>
      <c r="K45" s="32" t="inlineStr">
        <is>
          <t>머리풀기용으로 좋음</t>
        </is>
      </c>
      <c r="L45" s="32" t="inlineStr">
        <is>
          <t>💡 [SWEA 공식 제출 인증: 2026-08-26 14:54]</t>
        </is>
      </c>
      <c r="M45" s="28">
        <f>IF(OR(LEFT(J45,2)="보류", LEFT(J45,4)="복습대기", LEFT(J45,3)="복습1", LEFT(J45,3)="복습2"), MAX($M$3:M44)+1, "")</f>
        <v/>
      </c>
      <c r="N45" s="28" t="inlineStr">
        <is>
          <t>W01</t>
        </is>
      </c>
      <c r="O45" s="36" t="n">
        <v>46260</v>
      </c>
      <c r="P45" s="30">
        <f>IF(F45&lt;&gt;"","✅ 완료",IF(O45="","-",IF(TODAY()&gt;O45,"🚨 지연","⏳ 예정")))</f>
        <v/>
      </c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21.75" customHeight="1" s="209">
      <c r="A46" s="28" t="n">
        <v>43</v>
      </c>
      <c r="B46" s="28" t="inlineStr">
        <is>
          <t>21936</t>
        </is>
      </c>
      <c r="C46" s="30" t="inlineStr">
        <is>
          <t>D1</t>
        </is>
      </c>
      <c r="D46" s="32" t="inlineStr">
        <is>
          <t>길이가 M인 회문 찾기</t>
        </is>
      </c>
      <c r="E46" s="59" t="inlineStr">
        <is>
          <t>문자열 / 슬라이딩윈도우 (회문)</t>
        </is>
      </c>
      <c r="F46" s="36" t="n">
        <v>46261</v>
      </c>
      <c r="G46" s="28" t="n"/>
      <c r="H46" s="28" t="n"/>
      <c r="I46" s="28" t="n"/>
      <c r="J46" s="54">
        <f>IF(OR(ISNUMBER(SEARCH("보류",K46)),ISNUMBER(SEARCH("미룸",K46)),ISNUMBER(SEARCH("나중에",K46)),ISNUMBER(SEARCH("보류",L46)),ISNUMBER(SEARCH("미룸",L46)),ISNUMBER(SEARCH("나중에",L46))),"보류(나중에 풀기)",IF(AND(F46="",G46="",H46="",I46=""),"미완료",IF(I46&lt;&gt;"","복습3(마스터)",IF(H46&lt;&gt;"","복습2",IF(G46&lt;&gt;"","복습1",IF(ISNUMBER(SEARCH("제미나이",K46)),"복습대기(AI도움)",IF(ISNUMBER(SEARCH("간당간당",K46)),"복습대기(간당간당)",IF(OR(ISNUMBER(SEARCH("아이디어",K46)),ISNUMBER(SEARCH("시간초과",K46)),ISNUMBER(SEARCH("자료구조",K46)),ISNUMBER(SEARCH("경계값",K46)),ISNUMBER(SEARCH("다른 풀이",K46)),ISNUMBER(SEARCH("또풀기",K46))),"복습대기",IF(OR(ISNUMBER(SEARCH("복습필요없음",K46)),ISNUMBER(SEARCH("자력완벽",K46))),"품(복습불필요)",IF(F46&lt;&gt;"","품","미완료"))))))))))</f>
        <v/>
      </c>
      <c r="K46" s="32" t="inlineStr">
        <is>
          <t>머리풀기용으로 좋음</t>
        </is>
      </c>
      <c r="L46" s="32" t="inlineStr">
        <is>
          <t>💡 [SWEA 공식 제출 인증: 2026-08-27 10:02]</t>
        </is>
      </c>
      <c r="M46" s="28">
        <f>IF(OR(LEFT(J46,2)="보류", LEFT(J46,4)="복습대기", LEFT(J46,3)="복습1", LEFT(J46,3)="복습2"), MAX($M$3:M45)+1, "")</f>
        <v/>
      </c>
      <c r="N46" s="28" t="inlineStr">
        <is>
          <t>W01</t>
        </is>
      </c>
      <c r="O46" s="36" t="n">
        <v>46261</v>
      </c>
      <c r="P46" s="30">
        <f>IF(F46&lt;&gt;"","✅ 완료",IF(O46="","-",IF(TODAY()&gt;O46,"🚨 지연","⏳ 예정")))</f>
        <v/>
      </c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21.75" customHeight="1" s="209">
      <c r="A47" s="28" t="n">
        <v>44</v>
      </c>
      <c r="B47" s="28" t="inlineStr">
        <is>
          <t>22375</t>
        </is>
      </c>
      <c r="C47" s="30" t="inlineStr">
        <is>
          <t>D1</t>
        </is>
      </c>
      <c r="D47" s="32" t="inlineStr">
        <is>
          <t>스위치 조작</t>
        </is>
      </c>
      <c r="E47" s="59" t="inlineStr">
        <is>
          <t>그리디 / 시뮬레이션 (스위치)</t>
        </is>
      </c>
      <c r="F47" s="36" t="n">
        <v>46261</v>
      </c>
      <c r="G47" s="28" t="n"/>
      <c r="H47" s="28" t="n"/>
      <c r="I47" s="28" t="n"/>
      <c r="J47" s="54">
        <f>IF(OR(ISNUMBER(SEARCH("보류",K47)),ISNUMBER(SEARCH("미룸",K47)),ISNUMBER(SEARCH("나중에",K47)),ISNUMBER(SEARCH("보류",L47)),ISNUMBER(SEARCH("미룸",L47)),ISNUMBER(SEARCH("나중에",L47))),"보류(나중에 풀기)",IF(AND(F47="",G47="",H47="",I47=""),"미완료",IF(I47&lt;&gt;"","복습3(마스터)",IF(H47&lt;&gt;"","복습2",IF(G47&lt;&gt;"","복습1",IF(ISNUMBER(SEARCH("제미나이",K47)),"복습대기(AI도움)",IF(ISNUMBER(SEARCH("간당간당",K47)),"복습대기(간당간당)",IF(OR(ISNUMBER(SEARCH("아이디어",K47)),ISNUMBER(SEARCH("시간초과",K47)),ISNUMBER(SEARCH("자료구조",K47)),ISNUMBER(SEARCH("경계값",K47)),ISNUMBER(SEARCH("다른 풀이",K47)),ISNUMBER(SEARCH("또풀기",K47))),"복습대기",IF(OR(ISNUMBER(SEARCH("복습필요없음",K47)),ISNUMBER(SEARCH("자력완벽",K47))),"품(복습불필요)",IF(F47&lt;&gt;"","품","미완료"))))))))))</f>
        <v/>
      </c>
      <c r="K47" s="32" t="inlineStr">
        <is>
          <t>복습필요없음</t>
        </is>
      </c>
      <c r="L47" s="32" t="inlineStr">
        <is>
          <t>💡 [SWEA 공식 제출 인증: 2026-08-27 16:10]</t>
        </is>
      </c>
      <c r="M47" s="28">
        <f>IF(OR(LEFT(J47,2)="보류", LEFT(J47,4)="복습대기", LEFT(J47,3)="복습1", LEFT(J47,3)="복습2"), MAX($M$3:M46)+1, "")</f>
        <v/>
      </c>
      <c r="N47" s="28" t="inlineStr">
        <is>
          <t>W01</t>
        </is>
      </c>
      <c r="O47" s="36" t="n">
        <v>46261</v>
      </c>
      <c r="P47" s="30">
        <f>IF(F47&lt;&gt;"","✅ 완료",IF(O47="","-",IF(TODAY()&gt;O47,"🚨 지연","⏳ 예정")))</f>
        <v/>
      </c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21.75" customHeight="1" s="209">
      <c r="A48" s="28" t="n">
        <v>45</v>
      </c>
      <c r="B48" s="28" t="inlineStr">
        <is>
          <t>23795</t>
        </is>
      </c>
      <c r="C48" s="30" t="inlineStr">
        <is>
          <t>D1</t>
        </is>
      </c>
      <c r="D48" s="32" t="inlineStr">
        <is>
          <t>우주 괴물</t>
        </is>
      </c>
      <c r="E48" s="34" t="inlineStr">
        <is>
          <t>시뮬레이션 / 2차원격자 (우주 괴물)</t>
        </is>
      </c>
      <c r="F48" s="36" t="n">
        <v>46263</v>
      </c>
      <c r="G48" s="28" t="n"/>
      <c r="H48" s="28" t="n"/>
      <c r="I48" s="28" t="n"/>
      <c r="J48" s="54">
        <f>IF(OR(ISNUMBER(SEARCH("보류",K48)),ISNUMBER(SEARCH("미룸",K48)),ISNUMBER(SEARCH("나중에",K48)),ISNUMBER(SEARCH("보류",L48)),ISNUMBER(SEARCH("미룸",L48)),ISNUMBER(SEARCH("나중에",L48))),"보류(나중에 풀기)",IF(AND(F48="",G48="",H48="",I48=""),"미완료",IF(I48&lt;&gt;"","복습3(마스터)",IF(H48&lt;&gt;"","복습2",IF(G48&lt;&gt;"","복습1",IF(ISNUMBER(SEARCH("제미나이",K48)),"복습대기(AI도움)",IF(ISNUMBER(SEARCH("간당간당",K48)),"복습대기(간당간당)",IF(OR(ISNUMBER(SEARCH("아이디어",K48)),ISNUMBER(SEARCH("시간초과",K48)),ISNUMBER(SEARCH("자료구조",K48)),ISNUMBER(SEARCH("경계값",K48)),ISNUMBER(SEARCH("다른 풀이",K48)),ISNUMBER(SEARCH("또풀기",K48))),"복습대기",IF(OR(ISNUMBER(SEARCH("복습필요없음",K48)),ISNUMBER(SEARCH("자력완벽",K48))),"품(복습불필요)",IF(F48&lt;&gt;"","품","미완료"))))))))))</f>
        <v/>
      </c>
      <c r="K48" s="32" t="inlineStr">
        <is>
          <t>-</t>
        </is>
      </c>
      <c r="L48" s="32" t="inlineStr">
        <is>
          <t>💡 [SWEA 공식 제출 인증: 2026-08-29 19:30]</t>
        </is>
      </c>
      <c r="M48" s="28">
        <f>IF(OR(LEFT(J48,2)="보류", LEFT(J48,4)="복습대기", LEFT(J48,3)="복습1", LEFT(J48,3)="복습2"), MAX($M$3:M47)+1, "")</f>
        <v/>
      </c>
      <c r="N48" s="28" t="inlineStr">
        <is>
          <t>W01</t>
        </is>
      </c>
      <c r="O48" s="36" t="n">
        <v>46263</v>
      </c>
      <c r="P48" s="30">
        <f>IF(F48&lt;&gt;"","✅ 완료",IF(O48="","-",IF(TODAY()&gt;O48,"🚨 지연","⏳ 예정")))</f>
        <v/>
      </c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21.75" customHeight="1" s="209">
      <c r="A49" s="28" t="n">
        <v>46</v>
      </c>
      <c r="B49" s="28" t="inlineStr">
        <is>
          <t>3260</t>
        </is>
      </c>
      <c r="C49" s="30" t="inlineStr">
        <is>
          <t>D3</t>
        </is>
      </c>
      <c r="D49" s="32" t="inlineStr">
        <is>
          <t>두 수의 덧셈</t>
        </is>
      </c>
      <c r="E49" s="34" t="inlineStr">
        <is>
          <t>수학 / BigInteger (두 수의 덧셈)</t>
        </is>
      </c>
      <c r="F49" s="36" t="n">
        <v>46266</v>
      </c>
      <c r="G49" s="28" t="n"/>
      <c r="H49" s="28" t="n"/>
      <c r="I49" s="28" t="n"/>
      <c r="J49" s="54">
        <f>IF(OR(ISNUMBER(SEARCH("보류",K49)),ISNUMBER(SEARCH("미룸",K49)),ISNUMBER(SEARCH("나중에",K49)),ISNUMBER(SEARCH("보류",L49)),ISNUMBER(SEARCH("미룸",L49)),ISNUMBER(SEARCH("나중에",L49))),"보류(나중에 풀기)",IF(AND(F49="",G49="",H49="",I49=""),"미완료",IF(I49&lt;&gt;"","복습3(마스터)",IF(H49&lt;&gt;"","복습2",IF(G49&lt;&gt;"","복습1",IF(ISNUMBER(SEARCH("제미나이",K49)),"복습대기(AI도움)",IF(ISNUMBER(SEARCH("간당간당",K49)),"복습대기(간당간당)",IF(OR(ISNUMBER(SEARCH("아이디어",K49)),ISNUMBER(SEARCH("시간초과",K49)),ISNUMBER(SEARCH("자료구조",K49)),ISNUMBER(SEARCH("경계값",K49)),ISNUMBER(SEARCH("다른 풀이",K49)),ISNUMBER(SEARCH("또풀기",K49))),"복습대기",IF(OR(ISNUMBER(SEARCH("복습필요없음",K49)),ISNUMBER(SEARCH("자력완벽",K49))),"품(복습불필요)",IF(F49&lt;&gt;"","품","미완료"))))))))))</f>
        <v/>
      </c>
      <c r="K49" s="32" t="inlineStr">
        <is>
          <t>자료구조/구현미숙</t>
        </is>
      </c>
      <c r="L49" s="32" t="inlineStr">
        <is>
          <t>1차풀이[반복문: 엣지케이스 찾기, 재귀로 구현하기)</t>
        </is>
      </c>
      <c r="M49" s="28">
        <f>IF(OR(LEFT(J49,2)="보류", LEFT(J49,4)="복습대기", LEFT(J49,3)="복습1", LEFT(J49,3)="복습2"), MAX($M$3:M48)+1, "")</f>
        <v/>
      </c>
      <c r="N49" s="28" t="inlineStr">
        <is>
          <t>W02</t>
        </is>
      </c>
      <c r="O49" s="36" t="n">
        <v>46266</v>
      </c>
      <c r="P49" s="30">
        <f>IF(F49&lt;&gt;"","✅ 완료",IF(O49="","-",IF(TODAY()&gt;O49,"🚨 지연","⏳ 예정")))</f>
        <v/>
      </c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21.75" customHeight="1" s="209">
      <c r="A50" s="28" t="n">
        <v>47</v>
      </c>
      <c r="B50" s="28" t="inlineStr">
        <is>
          <t>27018</t>
        </is>
      </c>
      <c r="C50" s="30" t="inlineStr">
        <is>
          <t>D1</t>
        </is>
      </c>
      <c r="D50" s="32" t="inlineStr">
        <is>
          <t>다이얼 자물쇠 조합 수</t>
        </is>
      </c>
      <c r="E50" s="34" t="inlineStr">
        <is>
          <t>완전탐색 / 수학 (다이얼 자물쇠)</t>
        </is>
      </c>
      <c r="F50" s="36" t="n">
        <v>46267</v>
      </c>
      <c r="G50" s="28" t="n"/>
      <c r="H50" s="28" t="n"/>
      <c r="I50" s="28" t="n"/>
      <c r="J50" s="54">
        <f>IF(OR(ISNUMBER(SEARCH("보류",K50)),ISNUMBER(SEARCH("미룸",K50)),ISNUMBER(SEARCH("나중에",K50)),ISNUMBER(SEARCH("보류",L50)),ISNUMBER(SEARCH("미룸",L50)),ISNUMBER(SEARCH("나중에",L50))),"보류(나중에 풀기)",IF(AND(F50="",G50="",H50="",I50=""),"미완료",IF(I50&lt;&gt;"","복습3(마스터)",IF(H50&lt;&gt;"","복습2",IF(G50&lt;&gt;"","복습1",IF(ISNUMBER(SEARCH("제미나이",K50)),"복습대기(AI도움)",IF(ISNUMBER(SEARCH("간당간당",K50)),"복습대기(간당간당)",IF(OR(ISNUMBER(SEARCH("아이디어",K50)),ISNUMBER(SEARCH("시간초과",K50)),ISNUMBER(SEARCH("자료구조",K50)),ISNUMBER(SEARCH("경계값",K50)),ISNUMBER(SEARCH("다른 풀이",K50)),ISNUMBER(SEARCH("또풀기",K50))),"복습대기",IF(OR(ISNUMBER(SEARCH("복습필요없음",K50)),ISNUMBER(SEARCH("자력완벽",K50))),"품(복습불필요)",IF(F50&lt;&gt;"","품","미완료"))))))))))</f>
        <v/>
      </c>
      <c r="K50" s="32" t="inlineStr">
        <is>
          <t>머리풀기용으로 좋음</t>
        </is>
      </c>
      <c r="L50" s="32" t="inlineStr">
        <is>
          <t>💡 [SWEA 공식 제출 인증: 2026-09-02 12:08]</t>
        </is>
      </c>
      <c r="M50" s="28">
        <f>IF(OR(LEFT(J50,2)="보류", LEFT(J50,4)="복습대기", LEFT(J50,3)="복습1", LEFT(J50,3)="복습2"), MAX($M$3:M49)+1, "")</f>
        <v/>
      </c>
      <c r="N50" s="28" t="inlineStr">
        <is>
          <t>W02</t>
        </is>
      </c>
      <c r="O50" s="36" t="n">
        <v>46267</v>
      </c>
      <c r="P50" s="30">
        <f>IF(F50&lt;&gt;"","✅ 완료",IF(O50="","-",IF(TODAY()&gt;O50,"🚨 지연","⏳ 예정")))</f>
        <v/>
      </c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21.75" customHeight="1" s="209">
      <c r="A51" s="28" t="n">
        <v>48</v>
      </c>
      <c r="B51" s="28" t="inlineStr">
        <is>
          <t>27023</t>
        </is>
      </c>
      <c r="C51" s="30" t="inlineStr">
        <is>
          <t>D1</t>
        </is>
      </c>
      <c r="D51" s="32" t="inlineStr">
        <is>
          <t>은행 번호표 발급기</t>
        </is>
      </c>
      <c r="E51" s="34" t="inlineStr">
        <is>
          <t>자료구조 (큐) / 구현 (번호표)</t>
        </is>
      </c>
      <c r="F51" s="36" t="n">
        <v>46267</v>
      </c>
      <c r="G51" s="28" t="n"/>
      <c r="H51" s="28" t="n"/>
      <c r="I51" s="28" t="n"/>
      <c r="J51" s="54">
        <f>IF(OR(ISNUMBER(SEARCH("보류",K51)),ISNUMBER(SEARCH("미룸",K51)),ISNUMBER(SEARCH("나중에",K51)),ISNUMBER(SEARCH("보류",L51)),ISNUMBER(SEARCH("미룸",L51)),ISNUMBER(SEARCH("나중에",L51))),"보류(나중에 풀기)",IF(AND(F51="",G51="",H51="",I51=""),"미완료",IF(I51&lt;&gt;"","복습3(마스터)",IF(H51&lt;&gt;"","복습2",IF(G51&lt;&gt;"","복습1",IF(ISNUMBER(SEARCH("제미나이",K51)),"복습대기(AI도움)",IF(ISNUMBER(SEARCH("간당간당",K51)),"복습대기(간당간당)",IF(OR(ISNUMBER(SEARCH("아이디어",K51)),ISNUMBER(SEARCH("시간초과",K51)),ISNUMBER(SEARCH("자료구조",K51)),ISNUMBER(SEARCH("경계값",K51)),ISNUMBER(SEARCH("다른 풀이",K51)),ISNUMBER(SEARCH("또풀기",K51))),"복습대기",IF(OR(ISNUMBER(SEARCH("복습필요없음",K51)),ISNUMBER(SEARCH("자력완벽",K51))),"품(복습불필요)",IF(F51&lt;&gt;"","품","미완료"))))))))))</f>
        <v/>
      </c>
      <c r="K51" s="32" t="inlineStr">
        <is>
          <t>머리풀기용으로 좋음</t>
        </is>
      </c>
      <c r="L51" s="32" t="inlineStr">
        <is>
          <t>💡 [SWEA 공식 제출 인증: 2026-09-02 15:34]</t>
        </is>
      </c>
      <c r="M51" s="28">
        <f>IF(OR(LEFT(J51,2)="보류", LEFT(J51,4)="복습대기", LEFT(J51,3)="복습1", LEFT(J51,3)="복습2"), MAX($M$3:M50)+1, "")</f>
        <v/>
      </c>
      <c r="N51" s="28" t="inlineStr">
        <is>
          <t>W02</t>
        </is>
      </c>
      <c r="O51" s="36" t="n">
        <v>46267</v>
      </c>
      <c r="P51" s="30">
        <f>IF(F51&lt;&gt;"","✅ 완료",IF(O51="","-",IF(TODAY()&gt;O51,"🚨 지연","⏳ 예정")))</f>
        <v/>
      </c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21.75" customHeight="1" s="209">
      <c r="A52" s="28" t="n">
        <v>49</v>
      </c>
      <c r="B52" s="28" t="inlineStr">
        <is>
          <t>1204</t>
        </is>
      </c>
      <c r="C52" s="30" t="inlineStr">
        <is>
          <t>D2</t>
        </is>
      </c>
      <c r="D52" s="32" t="inlineStr">
        <is>
          <t>최빈수 구하기</t>
        </is>
      </c>
      <c r="E52" s="34" t="inlineStr">
        <is>
          <t>구현 / 카운팅배열 (최빈수)</t>
        </is>
      </c>
      <c r="F52" s="36" t="n">
        <v>46267</v>
      </c>
      <c r="G52" s="28" t="n"/>
      <c r="H52" s="28" t="n"/>
      <c r="I52" s="28" t="n"/>
      <c r="J52" s="54">
        <f>IF(OR(ISNUMBER(SEARCH("보류",K52)),ISNUMBER(SEARCH("미룸",K52)),ISNUMBER(SEARCH("나중에",K52)),ISNUMBER(SEARCH("보류",L52)),ISNUMBER(SEARCH("미룸",L52)),ISNUMBER(SEARCH("나중에",L52))),"보류(나중에 풀기)",IF(AND(F52="",G52="",H52="",I52=""),"미완료",IF(I52&lt;&gt;"","복습3(마스터)",IF(H52&lt;&gt;"","복습2",IF(G52&lt;&gt;"","복습1",IF(ISNUMBER(SEARCH("제미나이",K52)),"복습대기(AI도움)",IF(ISNUMBER(SEARCH("간당간당",K52)),"복습대기(간당간당)",IF(OR(ISNUMBER(SEARCH("아이디어",K52)),ISNUMBER(SEARCH("시간초과",K52)),ISNUMBER(SEARCH("자료구조",K52)),ISNUMBER(SEARCH("경계값",K52)),ISNUMBER(SEARCH("다른 풀이",K52)),ISNUMBER(SEARCH("또풀기",K52))),"복습대기",IF(OR(ISNUMBER(SEARCH("복습필요없음",K52)),ISNUMBER(SEARCH("자력완벽",K52))),"품(복습불필요)",IF(F52&lt;&gt;"","품","미완료"))))))))))</f>
        <v/>
      </c>
      <c r="K52" s="32" t="inlineStr">
        <is>
          <t>머리풀기용으로 좋음</t>
        </is>
      </c>
      <c r="L52" s="32" t="inlineStr">
        <is>
          <t>💡 [SWEA 공식 제출 인증: 2026-09-02 17:49]</t>
        </is>
      </c>
      <c r="M52" s="28">
        <f>IF(OR(LEFT(J52,2)="보류", LEFT(J52,4)="복습대기", LEFT(J52,3)="복습1", LEFT(J52,3)="복습2"), MAX($M$3:M51)+1, "")</f>
        <v/>
      </c>
      <c r="N52" s="28" t="inlineStr">
        <is>
          <t>W02</t>
        </is>
      </c>
      <c r="O52" s="36" t="n">
        <v>46267</v>
      </c>
      <c r="P52" s="30">
        <f>IF(F52&lt;&gt;"","✅ 완료",IF(O52="","-",IF(TODAY()&gt;O52,"🚨 지연","⏳ 예정")))</f>
        <v/>
      </c>
      <c r="Q52" s="7" t="n"/>
      <c r="R52" s="7" t="n"/>
      <c r="S52" s="7" t="n"/>
      <c r="T52" s="7" t="n"/>
      <c r="U52" s="7" t="n"/>
      <c r="V52" s="7" t="n"/>
      <c r="W52" s="7" t="n"/>
      <c r="X52" s="7" t="n"/>
    </row>
    <row r="53" ht="21.75" customHeight="1" s="209">
      <c r="A53" s="28" t="n">
        <v>50</v>
      </c>
      <c r="B53" s="28" t="inlineStr">
        <is>
          <t>1288</t>
        </is>
      </c>
      <c r="C53" s="30" t="inlineStr">
        <is>
          <t>D2</t>
        </is>
      </c>
      <c r="D53" s="32" t="inlineStr">
        <is>
          <t>새로운 불면증 치료법</t>
        </is>
      </c>
      <c r="E53" s="34" t="inlineStr">
        <is>
          <t>비트마스킹 / 수학 (불면증 치료)</t>
        </is>
      </c>
      <c r="F53" s="36" t="n">
        <v>46268</v>
      </c>
      <c r="G53" s="28" t="n"/>
      <c r="H53" s="28" t="n"/>
      <c r="I53" s="28" t="n"/>
      <c r="J53" s="54">
        <f>IF(OR(ISNUMBER(SEARCH("보류",K53)),ISNUMBER(SEARCH("미룸",K53)),ISNUMBER(SEARCH("나중에",K53)),ISNUMBER(SEARCH("보류",L53)),ISNUMBER(SEARCH("미룸",L53)),ISNUMBER(SEARCH("나중에",L53))),"보류(나중에 풀기)",IF(AND(F53="",G53="",H53="",I53=""),"미완료",IF(I53&lt;&gt;"","복습3(마스터)",IF(H53&lt;&gt;"","복습2",IF(G53&lt;&gt;"","복습1",IF(ISNUMBER(SEARCH("제미나이",K53)),"복습대기(AI도움)",IF(ISNUMBER(SEARCH("간당간당",K53)),"복습대기(간당간당)",IF(OR(ISNUMBER(SEARCH("아이디어",K53)),ISNUMBER(SEARCH("시간초과",K53)),ISNUMBER(SEARCH("자료구조",K53)),ISNUMBER(SEARCH("경계값",K53)),ISNUMBER(SEARCH("다른 풀이",K53)),ISNUMBER(SEARCH("또풀기",K53))),"복습대기",IF(OR(ISNUMBER(SEARCH("복습필요없음",K53)),ISNUMBER(SEARCH("자력완벽",K53))),"품(복습불필요)",IF(F53&lt;&gt;"","품","미완료"))))))))))</f>
        <v/>
      </c>
      <c r="K53" s="32" t="inlineStr">
        <is>
          <t>-</t>
        </is>
      </c>
      <c r="L53" s="32" t="inlineStr">
        <is>
          <t>💡 [SWEA 공식 제출 인증: 2026-09-03 12:08]</t>
        </is>
      </c>
      <c r="M53" s="28">
        <f>IF(OR(LEFT(J53,2)="보류", LEFT(J53,4)="복습대기", LEFT(J53,3)="복습1", LEFT(J53,3)="복습2"), MAX($M$3:M52)+1, "")</f>
        <v/>
      </c>
      <c r="N53" s="28" t="inlineStr">
        <is>
          <t>W02</t>
        </is>
      </c>
      <c r="O53" s="36" t="n">
        <v>46268</v>
      </c>
      <c r="P53" s="30">
        <f>IF(F53&lt;&gt;"","✅ 완료",IF(O53="","-",IF(TODAY()&gt;O53,"🚨 지연","⏳ 예정")))</f>
        <v/>
      </c>
      <c r="Q53" s="7" t="n"/>
      <c r="R53" s="7" t="n"/>
      <c r="S53" s="7" t="n"/>
      <c r="T53" s="7" t="n"/>
      <c r="U53" s="7" t="n"/>
      <c r="V53" s="7" t="n"/>
      <c r="W53" s="7" t="n"/>
      <c r="X53" s="7" t="n"/>
    </row>
    <row r="54" ht="21.75" customHeight="1" s="209">
      <c r="A54" s="28" t="n">
        <v>51</v>
      </c>
      <c r="B54" s="28" t="inlineStr">
        <is>
          <t>1945</t>
        </is>
      </c>
      <c r="C54" s="30" t="inlineStr">
        <is>
          <t>D2</t>
        </is>
      </c>
      <c r="D54" s="32" t="inlineStr">
        <is>
          <t>간단한 소인수분해</t>
        </is>
      </c>
      <c r="E54" s="28" t="inlineStr">
        <is>
          <t>수학 / 소인수분해</t>
        </is>
      </c>
      <c r="F54" s="36" t="n">
        <v>46269</v>
      </c>
      <c r="G54" s="28" t="n"/>
      <c r="H54" s="28" t="n"/>
      <c r="I54" s="28" t="n"/>
      <c r="J54" s="54">
        <f>IF(OR(ISNUMBER(SEARCH("보류",K54)),ISNUMBER(SEARCH("미룸",K54)),ISNUMBER(SEARCH("나중에",K54)),ISNUMBER(SEARCH("보류",L54)),ISNUMBER(SEARCH("미룸",L54)),ISNUMBER(SEARCH("나중에",L54))),"보류(나중에 풀기)",IF(AND(F54="",G54="",H54="",I54=""),"미완료",IF(I54&lt;&gt;"","복습3(마스터)",IF(H54&lt;&gt;"","복습2",IF(G54&lt;&gt;"","복습1",IF(ISNUMBER(SEARCH("제미나이",K54)),"복습대기(AI도움)",IF(ISNUMBER(SEARCH("간당간당",K54)),"복습대기(간당간당)",IF(OR(ISNUMBER(SEARCH("아이디어",K54)),ISNUMBER(SEARCH("시간초과",K54)),ISNUMBER(SEARCH("자료구조",K54)),ISNUMBER(SEARCH("경계값",K54)),ISNUMBER(SEARCH("다른 풀이",K54)),ISNUMBER(SEARCH("또풀기",K54))),"복습대기",IF(OR(ISNUMBER(SEARCH("복습필요없음",K54)),ISNUMBER(SEARCH("자력완벽",K54))),"품(복습불필요)",IF(F54&lt;&gt;"","품","미완료"))))))))))</f>
        <v/>
      </c>
      <c r="K54" s="32" t="inlineStr">
        <is>
          <t>-</t>
        </is>
      </c>
      <c r="L54" s="32" t="inlineStr">
        <is>
          <t>💡 [SWEA 공식 제출 인증: 2026-09-04 17:45]</t>
        </is>
      </c>
      <c r="M54" s="28">
        <f>IF(OR(LEFT(J54,2)="보류", LEFT(J54,4)="복습대기", LEFT(J54,3)="복습1", LEFT(J54,3)="복습2"), MAX($M$3:M53)+1, "")</f>
        <v/>
      </c>
      <c r="N54" s="28" t="inlineStr">
        <is>
          <t>W02</t>
        </is>
      </c>
      <c r="O54" s="36" t="n">
        <v>46269</v>
      </c>
      <c r="P54" s="30">
        <f>IF(F54&lt;&gt;"","✅ 완료",IF(O54="","-",IF(TODAY()&gt;O54,"🚨 지연","⏳ 예정")))</f>
        <v/>
      </c>
      <c r="Q54" s="7" t="n"/>
      <c r="R54" s="7" t="n"/>
      <c r="S54" s="7" t="n"/>
      <c r="T54" s="7" t="n"/>
      <c r="U54" s="7" t="n"/>
      <c r="V54" s="7" t="n"/>
      <c r="W54" s="7" t="n"/>
      <c r="X54" s="7" t="n"/>
    </row>
    <row r="55" ht="21.75" customHeight="1" s="209">
      <c r="A55" s="28" t="n">
        <v>52</v>
      </c>
      <c r="B55" s="28" t="inlineStr">
        <is>
          <t>1954</t>
        </is>
      </c>
      <c r="C55" s="30" t="inlineStr">
        <is>
          <t>D2</t>
        </is>
      </c>
      <c r="D55" s="32" t="inlineStr">
        <is>
          <t>달팽이 숫자</t>
        </is>
      </c>
      <c r="E55" s="28" t="inlineStr">
        <is>
          <t>시뮬레이션 / 2차원격자 (달팽이)</t>
        </is>
      </c>
      <c r="F55" s="36" t="n">
        <v>46271</v>
      </c>
      <c r="G55" s="28" t="n"/>
      <c r="H55" s="28" t="n"/>
      <c r="I55" s="28" t="n"/>
      <c r="J55" s="54">
        <f>IF(OR(ISNUMBER(SEARCH("보류",K55)),ISNUMBER(SEARCH("미룸",K55)),ISNUMBER(SEARCH("나중에",K55)),ISNUMBER(SEARCH("보류",L55)),ISNUMBER(SEARCH("미룸",L55)),ISNUMBER(SEARCH("나중에",L55))),"보류(나중에 풀기)",IF(AND(F55="",G55="",H55="",I55=""),"미완료",IF(I55&lt;&gt;"","복습3(마스터)",IF(H55&lt;&gt;"","복습2",IF(G55&lt;&gt;"","복습1",IF(ISNUMBER(SEARCH("제미나이",K55)),"복습대기(AI도움)",IF(ISNUMBER(SEARCH("간당간당",K55)),"복습대기(간당간당)",IF(OR(ISNUMBER(SEARCH("아이디어",K55)),ISNUMBER(SEARCH("시간초과",K55)),ISNUMBER(SEARCH("자료구조",K55)),ISNUMBER(SEARCH("경계값",K55)),ISNUMBER(SEARCH("다른 풀이",K55)),ISNUMBER(SEARCH("또풀기",K55))),"복습대기",IF(OR(ISNUMBER(SEARCH("복습필요없음",K55)),ISNUMBER(SEARCH("자력완벽",K55))),"품(복습불필요)",IF(F55&lt;&gt;"","품","미완료"))))))))))</f>
        <v/>
      </c>
      <c r="K55" s="32" t="inlineStr">
        <is>
          <t>머리풀기용으로 좋음</t>
        </is>
      </c>
      <c r="L55" s="32" t="inlineStr">
        <is>
          <t>💡 [SWEA 공식 제출 인증: 2026-09-06 09:30]</t>
        </is>
      </c>
      <c r="M55" s="28">
        <f>IF(OR(LEFT(J55,2)="보류", LEFT(J55,4)="복습대기", LEFT(J55,3)="복습1", LEFT(J55,3)="복습2"), MAX($M$3:M54)+1, "")</f>
        <v/>
      </c>
      <c r="N55" s="28" t="inlineStr">
        <is>
          <t>W02</t>
        </is>
      </c>
      <c r="O55" s="36" t="n">
        <v>46271</v>
      </c>
      <c r="P55" s="30">
        <f>IF(F55&lt;&gt;"","✅ 완료",IF(O55="","-",IF(TODAY()&gt;O55,"🚨 지연","⏳ 예정")))</f>
        <v/>
      </c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21.75" customHeight="1" s="209">
      <c r="A56" s="28" t="n">
        <v>53</v>
      </c>
      <c r="B56" s="28" t="inlineStr">
        <is>
          <t>1966</t>
        </is>
      </c>
      <c r="C56" s="30" t="inlineStr">
        <is>
          <t>D2</t>
        </is>
      </c>
      <c r="D56" s="32" t="inlineStr">
        <is>
          <t>숫자를 정렬하자</t>
        </is>
      </c>
      <c r="E56" s="28" t="inlineStr">
        <is>
          <t>정렬 / 구현</t>
        </is>
      </c>
      <c r="F56" s="36" t="n">
        <v>46272</v>
      </c>
      <c r="G56" s="28" t="n"/>
      <c r="H56" s="28" t="n"/>
      <c r="I56" s="28" t="n"/>
      <c r="J56" s="54">
        <f>IF(OR(ISNUMBER(SEARCH("보류",K56)),ISNUMBER(SEARCH("미룸",K56)),ISNUMBER(SEARCH("나중에",K56)),ISNUMBER(SEARCH("보류",L56)),ISNUMBER(SEARCH("미룸",L56)),ISNUMBER(SEARCH("나중에",L56))),"보류(나중에 풀기)",IF(AND(F56="",G56="",H56="",I56=""),"미완료",IF(I56&lt;&gt;"","복습3(마스터)",IF(H56&lt;&gt;"","복습2",IF(G56&lt;&gt;"","복습1",IF(ISNUMBER(SEARCH("제미나이",K56)),"복습대기(AI도움)",IF(ISNUMBER(SEARCH("간당간당",K56)),"복습대기(간당간당)",IF(OR(ISNUMBER(SEARCH("아이디어",K56)),ISNUMBER(SEARCH("시간초과",K56)),ISNUMBER(SEARCH("자료구조",K56)),ISNUMBER(SEARCH("경계값",K56)),ISNUMBER(SEARCH("다른 풀이",K56)),ISNUMBER(SEARCH("또풀기",K56))),"복습대기",IF(OR(ISNUMBER(SEARCH("복습필요없음",K56)),ISNUMBER(SEARCH("자력완벽",K56))),"품(복습불필요)",IF(F56&lt;&gt;"","품","미완료"))))))))))</f>
        <v/>
      </c>
      <c r="K56" s="32" t="inlineStr">
        <is>
          <t>-</t>
        </is>
      </c>
      <c r="L56" s="32" t="inlineStr">
        <is>
          <t>💡 [SWEA 공식 제출 인증: 2026-09-07 17:19]</t>
        </is>
      </c>
      <c r="M56" s="28">
        <f>IF(OR(LEFT(J56,2)="보류", LEFT(J56,4)="복습대기", LEFT(J56,3)="복습1", LEFT(J56,3)="복습2"), MAX($M$3:M55)+1, "")</f>
        <v/>
      </c>
      <c r="N56" s="28" t="inlineStr">
        <is>
          <t>W03</t>
        </is>
      </c>
      <c r="O56" s="36" t="n">
        <v>46272</v>
      </c>
      <c r="P56" s="30">
        <f>IF(F56&lt;&gt;"","✅ 완료",IF(O56="","-",IF(TODAY()&gt;O56,"🚨 지연","⏳ 예정")))</f>
        <v/>
      </c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21.75" customHeight="1" s="209">
      <c r="A57" s="28" t="n">
        <v>54</v>
      </c>
      <c r="B57" s="28" t="inlineStr">
        <is>
          <t>1970</t>
        </is>
      </c>
      <c r="C57" s="30" t="inlineStr">
        <is>
          <t>D2</t>
        </is>
      </c>
      <c r="D57" s="32" t="inlineStr">
        <is>
          <t>쉬운 거스름돈</t>
        </is>
      </c>
      <c r="E57" s="28" t="inlineStr">
        <is>
          <t>그리디 / 수학 (쉬운 거스름돈)</t>
        </is>
      </c>
      <c r="F57" s="36" t="n">
        <v>46273</v>
      </c>
      <c r="G57" s="28" t="n"/>
      <c r="H57" s="28" t="n"/>
      <c r="I57" s="28" t="n"/>
      <c r="J57" s="54">
        <f>IF(OR(ISNUMBER(SEARCH("보류",K57)),ISNUMBER(SEARCH("미룸",K57)),ISNUMBER(SEARCH("나중에",K57)),ISNUMBER(SEARCH("보류",L57)),ISNUMBER(SEARCH("미룸",L57)),ISNUMBER(SEARCH("나중에",L57))),"보류(나중에 풀기)",IF(AND(F57="",G57="",H57="",I57=""),"미완료",IF(I57&lt;&gt;"","복습3(마스터)",IF(H57&lt;&gt;"","복습2",IF(G57&lt;&gt;"","복습1",IF(ISNUMBER(SEARCH("제미나이",K57)),"복습대기(AI도움)",IF(ISNUMBER(SEARCH("간당간당",K57)),"복습대기(간당간당)",IF(OR(ISNUMBER(SEARCH("아이디어",K57)),ISNUMBER(SEARCH("시간초과",K57)),ISNUMBER(SEARCH("자료구조",K57)),ISNUMBER(SEARCH("경계값",K57)),ISNUMBER(SEARCH("다른 풀이",K57)),ISNUMBER(SEARCH("또풀기",K57))),"복습대기",IF(OR(ISNUMBER(SEARCH("복습필요없음",K57)),ISNUMBER(SEARCH("자력완벽",K57))),"품(복습불필요)",IF(F57&lt;&gt;"","품","미완료"))))))))))</f>
        <v/>
      </c>
      <c r="K57" s="32" t="inlineStr">
        <is>
          <t>-</t>
        </is>
      </c>
      <c r="L57" s="32" t="inlineStr">
        <is>
          <t>💡 [SWEA 공식 제출 인증: 2026-09-08 09:03]</t>
        </is>
      </c>
      <c r="M57" s="28">
        <f>IF(OR(LEFT(J57,2)="보류", LEFT(J57,4)="복습대기", LEFT(J57,3)="복습1", LEFT(J57,3)="복습2"), MAX($M$3:M56)+1, "")</f>
        <v/>
      </c>
      <c r="N57" s="28" t="inlineStr">
        <is>
          <t>W03</t>
        </is>
      </c>
      <c r="O57" s="36" t="n">
        <v>46273</v>
      </c>
      <c r="P57" s="30">
        <f>IF(F57&lt;&gt;"","✅ 완료",IF(O57="","-",IF(TODAY()&gt;O57,"🚨 지연","⏳ 예정")))</f>
        <v/>
      </c>
      <c r="Q57" s="7" t="n"/>
      <c r="R57" s="7" t="n"/>
      <c r="S57" s="7" t="n"/>
      <c r="T57" s="7" t="n"/>
      <c r="U57" s="7" t="n"/>
      <c r="V57" s="7" t="n"/>
      <c r="W57" s="7" t="n"/>
      <c r="X57" s="7" t="n"/>
    </row>
    <row r="58" ht="21.75" customHeight="1" s="209">
      <c r="A58" s="28" t="n">
        <v>55</v>
      </c>
      <c r="B58" s="28" t="inlineStr">
        <is>
          <t>1984</t>
        </is>
      </c>
      <c r="C58" s="30" t="inlineStr">
        <is>
          <t>D2</t>
        </is>
      </c>
      <c r="D58" s="32" t="inlineStr">
        <is>
          <t>중간 평균값 구하기</t>
        </is>
      </c>
      <c r="E58" s="28" t="inlineStr">
        <is>
          <t>수학 / 구현 (중간 평균값)</t>
        </is>
      </c>
      <c r="F58" s="36" t="n">
        <v>46273</v>
      </c>
      <c r="G58" s="28" t="n"/>
      <c r="H58" s="28" t="n"/>
      <c r="I58" s="28" t="n"/>
      <c r="J58" s="54">
        <f>IF(OR(ISNUMBER(SEARCH("보류",K58)),ISNUMBER(SEARCH("미룸",K58)),ISNUMBER(SEARCH("나중에",K58)),ISNUMBER(SEARCH("보류",L58)),ISNUMBER(SEARCH("미룸",L58)),ISNUMBER(SEARCH("나중에",L58))),"보류(나중에 풀기)",IF(AND(F58="",G58="",H58="",I58=""),"미완료",IF(I58&lt;&gt;"","복습3(마스터)",IF(H58&lt;&gt;"","복습2",IF(G58&lt;&gt;"","복습1",IF(ISNUMBER(SEARCH("제미나이",K58)),"복습대기(AI도움)",IF(ISNUMBER(SEARCH("간당간당",K58)),"복습대기(간당간당)",IF(OR(ISNUMBER(SEARCH("아이디어",K58)),ISNUMBER(SEARCH("시간초과",K58)),ISNUMBER(SEARCH("자료구조",K58)),ISNUMBER(SEARCH("경계값",K58)),ISNUMBER(SEARCH("다른 풀이",K58)),ISNUMBER(SEARCH("또풀기",K58))),"복습대기",IF(OR(ISNUMBER(SEARCH("복습필요없음",K58)),ISNUMBER(SEARCH("자력완벽",K58))),"품(복습불필요)",IF(F58&lt;&gt;"","품","미완료"))))))))))</f>
        <v/>
      </c>
      <c r="K58" s="32" t="inlineStr">
        <is>
          <t>-</t>
        </is>
      </c>
      <c r="L58" s="32" t="inlineStr">
        <is>
          <t>💡 [SWEA 공식 제출 인증: 2026-09-08 10:33]</t>
        </is>
      </c>
      <c r="M58" s="28">
        <f>IF(OR(LEFT(J58,2)="보류", LEFT(J58,4)="복습대기", LEFT(J58,3)="복습1", LEFT(J58,3)="복습2"), MAX($M$3:M57)+1, "")</f>
        <v/>
      </c>
      <c r="N58" s="28" t="inlineStr">
        <is>
          <t>W03</t>
        </is>
      </c>
      <c r="O58" s="36" t="n">
        <v>46273</v>
      </c>
      <c r="P58" s="30">
        <f>IF(F58&lt;&gt;"","✅ 완료",IF(O58="","-",IF(TODAY()&gt;O58,"🚨 지연","⏳ 예정")))</f>
        <v/>
      </c>
      <c r="Q58" s="7" t="n"/>
      <c r="R58" s="7" t="n"/>
      <c r="S58" s="7" t="n"/>
      <c r="T58" s="7" t="n"/>
      <c r="U58" s="7" t="n"/>
      <c r="V58" s="7" t="n"/>
      <c r="W58" s="7" t="n"/>
      <c r="X58" s="7" t="n"/>
    </row>
    <row r="59" ht="21.75" customHeight="1" s="209">
      <c r="A59" s="28" t="n">
        <v>56</v>
      </c>
      <c r="B59" s="28" t="inlineStr">
        <is>
          <t>1989</t>
        </is>
      </c>
      <c r="C59" s="30" t="inlineStr">
        <is>
          <t>D2</t>
        </is>
      </c>
      <c r="D59" s="32" t="inlineStr">
        <is>
          <t>초심자의 회문 검사</t>
        </is>
      </c>
      <c r="E59" s="28" t="inlineStr">
        <is>
          <t>문자열 / 회문 (회문 검사)</t>
        </is>
      </c>
      <c r="F59" s="36" t="n">
        <v>46273</v>
      </c>
      <c r="G59" s="28" t="n"/>
      <c r="H59" s="28" t="n"/>
      <c r="I59" s="28" t="n"/>
      <c r="J59" s="54">
        <f>IF(OR(ISNUMBER(SEARCH("보류",K59)),ISNUMBER(SEARCH("미룸",K59)),ISNUMBER(SEARCH("나중에",K59)),ISNUMBER(SEARCH("보류",L59)),ISNUMBER(SEARCH("미룸",L59)),ISNUMBER(SEARCH("나중에",L59))),"보류(나중에 풀기)",IF(AND(F59="",G59="",H59="",I59=""),"미완료",IF(I59&lt;&gt;"","복습3(마스터)",IF(H59&lt;&gt;"","복습2",IF(G59&lt;&gt;"","복습1",IF(ISNUMBER(SEARCH("제미나이",K59)),"복습대기(AI도움)",IF(ISNUMBER(SEARCH("간당간당",K59)),"복습대기(간당간당)",IF(OR(ISNUMBER(SEARCH("아이디어",K59)),ISNUMBER(SEARCH("시간초과",K59)),ISNUMBER(SEARCH("자료구조",K59)),ISNUMBER(SEARCH("경계값",K59)),ISNUMBER(SEARCH("다른 풀이",K59)),ISNUMBER(SEARCH("또풀기",K59))),"복습대기",IF(OR(ISNUMBER(SEARCH("복습필요없음",K59)),ISNUMBER(SEARCH("자력완벽",K59))),"품(복습불필요)",IF(F59&lt;&gt;"","품","미완료"))))))))))</f>
        <v/>
      </c>
      <c r="K59" s="32" t="inlineStr">
        <is>
          <t>-</t>
        </is>
      </c>
      <c r="L59" s="32" t="inlineStr">
        <is>
          <t>💡 [SWEA 공식 제출 인증: 2026-09-08 10:47]</t>
        </is>
      </c>
      <c r="M59" s="28">
        <f>IF(OR(LEFT(J59,2)="보류", LEFT(J59,4)="복습대기", LEFT(J59,3)="복습1", LEFT(J59,3)="복습2"), MAX($M$3:M58)+1, "")</f>
        <v/>
      </c>
      <c r="N59" s="28" t="inlineStr">
        <is>
          <t>W03</t>
        </is>
      </c>
      <c r="O59" s="36" t="n">
        <v>46273</v>
      </c>
      <c r="P59" s="30">
        <f>IF(F59&lt;&gt;"","✅ 완료",IF(O59="","-",IF(TODAY()&gt;O59,"🚨 지연","⏳ 예정")))</f>
        <v/>
      </c>
      <c r="Q59" s="7" t="n"/>
      <c r="R59" s="7" t="n"/>
      <c r="S59" s="7" t="n"/>
      <c r="T59" s="7" t="n"/>
      <c r="U59" s="7" t="n"/>
      <c r="V59" s="7" t="n"/>
      <c r="W59" s="7" t="n"/>
      <c r="X59" s="7" t="n"/>
    </row>
    <row r="60" ht="21.75" customHeight="1" s="209">
      <c r="A60" s="28" t="n">
        <v>57</v>
      </c>
      <c r="B60" s="28" t="inlineStr">
        <is>
          <t>14229</t>
        </is>
      </c>
      <c r="C60" s="30" t="inlineStr">
        <is>
          <t>D2</t>
        </is>
      </c>
      <c r="D60" s="32" t="inlineStr">
        <is>
          <t>백만 개의 정수 정렬</t>
        </is>
      </c>
      <c r="E60" s="28" t="inlineStr">
        <is>
          <t>정렬 / 알고리즘 (백만개 정렬)</t>
        </is>
      </c>
      <c r="F60" s="36" t="n">
        <v>46273</v>
      </c>
      <c r="G60" s="28" t="n"/>
      <c r="H60" s="28" t="n"/>
      <c r="I60" s="28" t="n"/>
      <c r="J60" s="54">
        <f>IF(OR(ISNUMBER(SEARCH("보류",K60)),ISNUMBER(SEARCH("미룸",K60)),ISNUMBER(SEARCH("나중에",K60)),ISNUMBER(SEARCH("보류",L60)),ISNUMBER(SEARCH("미룸",L60)),ISNUMBER(SEARCH("나중에",L60))),"보류(나중에 풀기)",IF(AND(F60="",G60="",H60="",I60=""),"미완료",IF(I60&lt;&gt;"","복습3(마스터)",IF(H60&lt;&gt;"","복습2",IF(G60&lt;&gt;"","복습1",IF(ISNUMBER(SEARCH("제미나이",K60)),"복습대기(AI도움)",IF(ISNUMBER(SEARCH("간당간당",K60)),"복습대기(간당간당)",IF(OR(ISNUMBER(SEARCH("아이디어",K60)),ISNUMBER(SEARCH("시간초과",K60)),ISNUMBER(SEARCH("자료구조",K60)),ISNUMBER(SEARCH("경계값",K60)),ISNUMBER(SEARCH("다른 풀이",K60)),ISNUMBER(SEARCH("또풀기",K60))),"복습대기",IF(OR(ISNUMBER(SEARCH("복습필요없음",K60)),ISNUMBER(SEARCH("자력완벽",K60))),"품(복습불필요)",IF(F60&lt;&gt;"","품","미완료"))))))))))</f>
        <v/>
      </c>
      <c r="K60" s="32" t="inlineStr">
        <is>
          <t>쓰레기문제</t>
        </is>
      </c>
      <c r="L60" s="32" t="inlineStr">
        <is>
          <t>💡 [SWEA 공식 제출 인증: 2026-09-08 11:07]</t>
        </is>
      </c>
      <c r="M60" s="28">
        <f>IF(OR(LEFT(J60,2)="보류", LEFT(J60,4)="복습대기", LEFT(J60,3)="복습1", LEFT(J60,3)="복습2"), MAX($M$3:M59)+1, "")</f>
        <v/>
      </c>
      <c r="N60" s="28" t="inlineStr">
        <is>
          <t>W03</t>
        </is>
      </c>
      <c r="O60" s="36" t="n">
        <v>46273</v>
      </c>
      <c r="P60" s="30">
        <f>IF(F60&lt;&gt;"","✅ 완료",IF(O60="","-",IF(TODAY()&gt;O60,"🚨 지연","⏳ 예정")))</f>
        <v/>
      </c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21.75" customHeight="1" s="209">
      <c r="A61" s="28" t="n">
        <v>58</v>
      </c>
      <c r="B61" s="28" t="inlineStr">
        <is>
          <t>26923</t>
        </is>
      </c>
      <c r="C61" s="30" t="inlineStr">
        <is>
          <t>D2</t>
        </is>
      </c>
      <c r="D61" s="32" t="inlineStr">
        <is>
          <t>일일 방문자 수 변동 폭</t>
        </is>
      </c>
      <c r="E61" s="28" t="inlineStr">
        <is>
          <t>구현 / 수학 (방문자 변동 폭)</t>
        </is>
      </c>
      <c r="F61" s="36" t="n">
        <v>46273</v>
      </c>
      <c r="G61" s="28" t="n"/>
      <c r="H61" s="28" t="n"/>
      <c r="I61" s="28" t="n"/>
      <c r="J61" s="54">
        <f>IF(OR(ISNUMBER(SEARCH("보류",K61)),ISNUMBER(SEARCH("미룸",K61)),ISNUMBER(SEARCH("나중에",K61)),ISNUMBER(SEARCH("보류",L61)),ISNUMBER(SEARCH("미룸",L61)),ISNUMBER(SEARCH("나중에",L61))),"보류(나중에 풀기)",IF(AND(F61="",G61="",H61="",I61=""),"미완료",IF(I61&lt;&gt;"","복습3(마스터)",IF(H61&lt;&gt;"","복습2",IF(G61&lt;&gt;"","복습1",IF(ISNUMBER(SEARCH("제미나이",K61)),"복습대기(AI도움)",IF(ISNUMBER(SEARCH("간당간당",K61)),"복습대기(간당간당)",IF(OR(ISNUMBER(SEARCH("아이디어",K61)),ISNUMBER(SEARCH("시간초과",K61)),ISNUMBER(SEARCH("자료구조",K61)),ISNUMBER(SEARCH("경계값",K61)),ISNUMBER(SEARCH("다른 풀이",K61)),ISNUMBER(SEARCH("또풀기",K61))),"복습대기",IF(OR(ISNUMBER(SEARCH("복습필요없음",K61)),ISNUMBER(SEARCH("자력완벽",K61))),"품(복습불필요)",IF(F61&lt;&gt;"","품","미완료"))))))))))</f>
        <v/>
      </c>
      <c r="K61" s="32" t="inlineStr">
        <is>
          <t>-</t>
        </is>
      </c>
      <c r="L61" s="32" t="inlineStr">
        <is>
          <t>💡 [SWEA 공식 제출 인증: 2026-09-08 12:03]</t>
        </is>
      </c>
      <c r="M61" s="28">
        <f>IF(OR(LEFT(J61,2)="보류", LEFT(J61,4)="복습대기", LEFT(J61,3)="복습1", LEFT(J61,3)="복습2"), MAX($M$3:M60)+1, "")</f>
        <v/>
      </c>
      <c r="N61" s="28" t="inlineStr">
        <is>
          <t>W03</t>
        </is>
      </c>
      <c r="O61" s="36" t="n">
        <v>46273</v>
      </c>
      <c r="P61" s="30">
        <f>IF(F61&lt;&gt;"","✅ 완료",IF(O61="","-",IF(TODAY()&gt;O61,"🚨 지연","⏳ 예정")))</f>
        <v/>
      </c>
      <c r="Q61" s="7" t="n"/>
      <c r="R61" s="7" t="n"/>
      <c r="S61" s="7" t="n"/>
      <c r="T61" s="7" t="n"/>
      <c r="U61" s="7" t="n"/>
      <c r="V61" s="7" t="n"/>
      <c r="W61" s="7" t="n"/>
      <c r="X61" s="7" t="n"/>
    </row>
    <row r="62" ht="21.75" customHeight="1" s="209">
      <c r="A62" s="28" t="n">
        <v>59</v>
      </c>
      <c r="B62" s="28" t="inlineStr">
        <is>
          <t>26925</t>
        </is>
      </c>
      <c r="C62" s="30" t="inlineStr">
        <is>
          <t>D2</t>
        </is>
      </c>
      <c r="D62" s="32" t="inlineStr">
        <is>
          <t>걷기 앱 기간 활동량 차이</t>
        </is>
      </c>
      <c r="E62" s="28" t="inlineStr">
        <is>
          <t>구현 / 수학 (활동량 차이)</t>
        </is>
      </c>
      <c r="F62" s="36" t="n">
        <v>46273</v>
      </c>
      <c r="G62" s="28" t="n"/>
      <c r="H62" s="28" t="n"/>
      <c r="I62" s="28" t="n"/>
      <c r="J62" s="54">
        <f>IF(OR(ISNUMBER(SEARCH("보류",K62)),ISNUMBER(SEARCH("미룸",K62)),ISNUMBER(SEARCH("나중에",K62)),ISNUMBER(SEARCH("보류",L62)),ISNUMBER(SEARCH("미룸",L62)),ISNUMBER(SEARCH("나중에",L62))),"보류(나중에 풀기)",IF(AND(F62="",G62="",H62="",I62=""),"미완료",IF(I62&lt;&gt;"","복습3(마스터)",IF(H62&lt;&gt;"","복습2",IF(G62&lt;&gt;"","복습1",IF(ISNUMBER(SEARCH("제미나이",K62)),"복습대기(AI도움)",IF(ISNUMBER(SEARCH("간당간당",K62)),"복습대기(간당간당)",IF(OR(ISNUMBER(SEARCH("아이디어",K62)),ISNUMBER(SEARCH("시간초과",K62)),ISNUMBER(SEARCH("자료구조",K62)),ISNUMBER(SEARCH("경계값",K62)),ISNUMBER(SEARCH("다른 풀이",K62)),ISNUMBER(SEARCH("또풀기",K62))),"복습대기",IF(OR(ISNUMBER(SEARCH("복습필요없음",K62)),ISNUMBER(SEARCH("자력완벽",K62))),"품(복습불필요)",IF(F62&lt;&gt;"","품","미완료"))))))))))</f>
        <v/>
      </c>
      <c r="K62" s="32" t="inlineStr">
        <is>
          <t>-</t>
        </is>
      </c>
      <c r="L62" s="32" t="inlineStr">
        <is>
          <t>💡 [SWEA 공식 제출 인증: 2026-09-08 14:04]</t>
        </is>
      </c>
      <c r="M62" s="28">
        <f>IF(OR(LEFT(J62,2)="보류", LEFT(J62,4)="복습대기", LEFT(J62,3)="복습1", LEFT(J62,3)="복습2"), MAX($M$3:M61)+1, "")</f>
        <v/>
      </c>
      <c r="N62" s="28" t="inlineStr">
        <is>
          <t>W03</t>
        </is>
      </c>
      <c r="O62" s="36" t="n">
        <v>46273</v>
      </c>
      <c r="P62" s="30">
        <f>IF(F62&lt;&gt;"","✅ 완료",IF(O62="","-",IF(TODAY()&gt;O62,"🚨 지연","⏳ 예정")))</f>
        <v/>
      </c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21.75" customHeight="1" s="209">
      <c r="A63" s="28" t="n">
        <v>60</v>
      </c>
      <c r="B63" s="28" t="inlineStr">
        <is>
          <t>26926</t>
        </is>
      </c>
      <c r="C63" s="30" t="inlineStr">
        <is>
          <t>D2</t>
        </is>
      </c>
      <c r="D63" s="32" t="inlineStr">
        <is>
          <t>책장 정리 점수</t>
        </is>
      </c>
      <c r="E63" s="28" t="inlineStr">
        <is>
          <t>구현 / 시뮬레이션 (책장 정리)</t>
        </is>
      </c>
      <c r="F63" s="36" t="n">
        <v>46273</v>
      </c>
      <c r="G63" s="28" t="n"/>
      <c r="H63" s="28" t="n"/>
      <c r="I63" s="28" t="n"/>
      <c r="J63" s="54">
        <f>IF(OR(ISNUMBER(SEARCH("보류",K63)),ISNUMBER(SEARCH("미룸",K63)),ISNUMBER(SEARCH("나중에",K63)),ISNUMBER(SEARCH("보류",L63)),ISNUMBER(SEARCH("미룸",L63)),ISNUMBER(SEARCH("나중에",L63))),"보류(나중에 풀기)",IF(AND(F63="",G63="",H63="",I63=""),"미완료",IF(I63&lt;&gt;"","복습3(마스터)",IF(H63&lt;&gt;"","복습2",IF(G63&lt;&gt;"","복습1",IF(ISNUMBER(SEARCH("제미나이",K63)),"복습대기(AI도움)",IF(ISNUMBER(SEARCH("간당간당",K63)),"복습대기(간당간당)",IF(OR(ISNUMBER(SEARCH("아이디어",K63)),ISNUMBER(SEARCH("시간초과",K63)),ISNUMBER(SEARCH("자료구조",K63)),ISNUMBER(SEARCH("경계값",K63)),ISNUMBER(SEARCH("다른 풀이",K63)),ISNUMBER(SEARCH("또풀기",K63))),"복습대기",IF(OR(ISNUMBER(SEARCH("복습필요없음",K63)),ISNUMBER(SEARCH("자력완벽",K63))),"품(복습불필요)",IF(F63&lt;&gt;"","품","미완료"))))))))))</f>
        <v/>
      </c>
      <c r="K63" s="32" t="inlineStr">
        <is>
          <t>-</t>
        </is>
      </c>
      <c r="L63" s="32" t="inlineStr">
        <is>
          <t>💡 [SWEA 공식 제출 인증: 2026-09-08 14:38]</t>
        </is>
      </c>
      <c r="M63" s="28">
        <f>IF(OR(LEFT(J63,2)="보류", LEFT(J63,4)="복습대기", LEFT(J63,3)="복습1", LEFT(J63,3)="복습2"), MAX($M$3:M62)+1, "")</f>
        <v/>
      </c>
      <c r="N63" s="28" t="inlineStr">
        <is>
          <t>W03</t>
        </is>
      </c>
      <c r="O63" s="36" t="n">
        <v>46273</v>
      </c>
      <c r="P63" s="30">
        <f>IF(F63&lt;&gt;"","✅ 완료",IF(O63="","-",IF(TODAY()&gt;O63,"🚨 지연","⏳ 예정")))</f>
        <v/>
      </c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21.75" customHeight="1" s="209">
      <c r="A64" s="28" t="n">
        <v>61</v>
      </c>
      <c r="B64" s="28" t="inlineStr">
        <is>
          <t>26927</t>
        </is>
      </c>
      <c r="C64" s="30" t="inlineStr">
        <is>
          <t>D2</t>
        </is>
      </c>
      <c r="D64" s="32" t="inlineStr">
        <is>
          <t>다트 최다 점수 집계</t>
        </is>
      </c>
      <c r="E64" s="28" t="inlineStr">
        <is>
          <t>구현 / 카운팅 (다트 점수)</t>
        </is>
      </c>
      <c r="F64" s="36" t="n">
        <v>46273</v>
      </c>
      <c r="G64" s="28" t="n"/>
      <c r="H64" s="28" t="n"/>
      <c r="I64" s="28" t="n"/>
      <c r="J64" s="54">
        <f>IF(OR(ISNUMBER(SEARCH("보류",K64)),ISNUMBER(SEARCH("미룸",K64)),ISNUMBER(SEARCH("나중에",K64)),ISNUMBER(SEARCH("보류",L64)),ISNUMBER(SEARCH("미룸",L64)),ISNUMBER(SEARCH("나중에",L64))),"보류(나중에 풀기)",IF(AND(F64="",G64="",H64="",I64=""),"미완료",IF(I64&lt;&gt;"","복습3(마스터)",IF(H64&lt;&gt;"","복습2",IF(G64&lt;&gt;"","복습1",IF(ISNUMBER(SEARCH("제미나이",K64)),"복습대기(AI도움)",IF(ISNUMBER(SEARCH("간당간당",K64)),"복습대기(간당간당)",IF(OR(ISNUMBER(SEARCH("아이디어",K64)),ISNUMBER(SEARCH("시간초과",K64)),ISNUMBER(SEARCH("자료구조",K64)),ISNUMBER(SEARCH("경계값",K64)),ISNUMBER(SEARCH("다른 풀이",K64)),ISNUMBER(SEARCH("또풀기",K64))),"복습대기",IF(OR(ISNUMBER(SEARCH("복습필요없음",K64)),ISNUMBER(SEARCH("자력완벽",K64))),"품(복습불필요)",IF(F64&lt;&gt;"","품","미완료"))))))))))</f>
        <v/>
      </c>
      <c r="K64" s="32" t="inlineStr">
        <is>
          <t>-</t>
        </is>
      </c>
      <c r="L64" s="32" t="inlineStr">
        <is>
          <t>💡 [SWEA 공식 제출 인증: 2026-09-08 17:17]</t>
        </is>
      </c>
      <c r="M64" s="28">
        <f>IF(OR(LEFT(J64,2)="보류", LEFT(J64,4)="복습대기", LEFT(J64,3)="복습1", LEFT(J64,3)="복습2"), MAX($M$3:M63)+1, "")</f>
        <v/>
      </c>
      <c r="N64" s="28" t="inlineStr">
        <is>
          <t>W03</t>
        </is>
      </c>
      <c r="O64" s="36" t="n">
        <v>46273</v>
      </c>
      <c r="P64" s="30">
        <f>IF(F64&lt;&gt;"","✅ 완료",IF(O64="","-",IF(TODAY()&gt;O64,"🚨 지연","⏳ 예정")))</f>
        <v/>
      </c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21.75" customHeight="1" s="209">
      <c r="A65" s="28" t="n">
        <v>62</v>
      </c>
      <c r="B65" s="28" t="inlineStr">
        <is>
          <t>1986</t>
        </is>
      </c>
      <c r="C65" s="30" t="inlineStr">
        <is>
          <t>D2</t>
        </is>
      </c>
      <c r="D65" s="32" t="inlineStr">
        <is>
          <t>지그재그 숫자</t>
        </is>
      </c>
      <c r="E65" s="28" t="inlineStr">
        <is>
          <t>수학 / 구현 (지그재그 숫자)</t>
        </is>
      </c>
      <c r="F65" s="36" t="n">
        <v>46274</v>
      </c>
      <c r="G65" s="28" t="n"/>
      <c r="H65" s="28" t="n"/>
      <c r="I65" s="28" t="n"/>
      <c r="J65" s="54">
        <f>IF(OR(ISNUMBER(SEARCH("보류",K65)),ISNUMBER(SEARCH("미룸",K65)),ISNUMBER(SEARCH("나중에",K65)),ISNUMBER(SEARCH("보류",L65)),ISNUMBER(SEARCH("미룸",L65)),ISNUMBER(SEARCH("나중에",L65))),"보류(나중에 풀기)",IF(AND(F65="",G65="",H65="",I65=""),"미완료",IF(I65&lt;&gt;"","복습3(마스터)",IF(H65&lt;&gt;"","복습2",IF(G65&lt;&gt;"","복습1",IF(ISNUMBER(SEARCH("제미나이",K65)),"복습대기(AI도움)",IF(ISNUMBER(SEARCH("간당간당",K65)),"복습대기(간당간당)",IF(OR(ISNUMBER(SEARCH("아이디어",K65)),ISNUMBER(SEARCH("시간초과",K65)),ISNUMBER(SEARCH("자료구조",K65)),ISNUMBER(SEARCH("경계값",K65)),ISNUMBER(SEARCH("다른 풀이",K65)),ISNUMBER(SEARCH("또풀기",K65))),"복습대기",IF(OR(ISNUMBER(SEARCH("복습필요없음",K65)),ISNUMBER(SEARCH("자력완벽",K65))),"품(복습불필요)",IF(F65&lt;&gt;"","품","미완료"))))))))))</f>
        <v/>
      </c>
      <c r="K65" s="32" t="inlineStr">
        <is>
          <t>-</t>
        </is>
      </c>
      <c r="L65" s="32" t="inlineStr">
        <is>
          <t>💡 [SWEA 공식 제출 인증: 2026-09-09 15:19]</t>
        </is>
      </c>
      <c r="M65" s="28">
        <f>IF(OR(LEFT(J65,2)="보류", LEFT(J65,4)="복습대기", LEFT(J65,3)="복습1", LEFT(J65,3)="복습2"), MAX($M$3:M64)+1, "")</f>
        <v/>
      </c>
      <c r="N65" s="28" t="inlineStr">
        <is>
          <t>W03</t>
        </is>
      </c>
      <c r="O65" s="36" t="n">
        <v>46274</v>
      </c>
      <c r="P65" s="30">
        <f>IF(F65&lt;&gt;"","✅ 완료",IF(O65="","-",IF(TODAY()&gt;O65,"🚨 지연","⏳ 예정")))</f>
        <v/>
      </c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21.75" customHeight="1" s="209">
      <c r="A66" s="28" t="n">
        <v>63</v>
      </c>
      <c r="B66" s="28" t="inlineStr">
        <is>
          <t>2001</t>
        </is>
      </c>
      <c r="C66" s="30" t="inlineStr">
        <is>
          <t>D2</t>
        </is>
      </c>
      <c r="D66" s="32" t="inlineStr">
        <is>
          <t>파리 퇴치</t>
        </is>
      </c>
      <c r="E66" s="28" t="inlineStr">
        <is>
          <t>누적합 / 2차원격자 (파리 퇴치)</t>
        </is>
      </c>
      <c r="F66" s="36" t="n">
        <v>46274</v>
      </c>
      <c r="G66" s="28" t="n"/>
      <c r="H66" s="28" t="n"/>
      <c r="I66" s="28" t="n"/>
      <c r="J66" s="54">
        <f>IF(OR(ISNUMBER(SEARCH("보류",K66)),ISNUMBER(SEARCH("미룸",K66)),ISNUMBER(SEARCH("나중에",K66)),ISNUMBER(SEARCH("보류",L66)),ISNUMBER(SEARCH("미룸",L66)),ISNUMBER(SEARCH("나중에",L66))),"보류(나중에 풀기)",IF(AND(F66="",G66="",H66="",I66=""),"미완료",IF(I66&lt;&gt;"","복습3(마스터)",IF(H66&lt;&gt;"","복습2",IF(G66&lt;&gt;"","복습1",IF(ISNUMBER(SEARCH("제미나이",K66)),"복습대기(AI도움)",IF(ISNUMBER(SEARCH("간당간당",K66)),"복습대기(간당간당)",IF(OR(ISNUMBER(SEARCH("아이디어",K66)),ISNUMBER(SEARCH("시간초과",K66)),ISNUMBER(SEARCH("자료구조",K66)),ISNUMBER(SEARCH("경계값",K66)),ISNUMBER(SEARCH("다른 풀이",K66)),ISNUMBER(SEARCH("또풀기",K66))),"복습대기",IF(OR(ISNUMBER(SEARCH("복습필요없음",K66)),ISNUMBER(SEARCH("자력완벽",K66))),"품(복습불필요)",IF(F66&lt;&gt;"","품","미완료"))))))))))</f>
        <v/>
      </c>
      <c r="K66" s="32" t="inlineStr">
        <is>
          <t>-</t>
        </is>
      </c>
      <c r="L66" s="32" t="inlineStr">
        <is>
          <t>💡 [SWEA 공식 제출 인증: 2026-09-09 14:56]</t>
        </is>
      </c>
      <c r="M66" s="28">
        <f>IF(OR(LEFT(J66,2)="보류", LEFT(J66,4)="복습대기", LEFT(J66,3)="복습1", LEFT(J66,3)="복습2"), MAX($M$3:M65)+1, "")</f>
        <v/>
      </c>
      <c r="N66" s="28" t="inlineStr">
        <is>
          <t>W03</t>
        </is>
      </c>
      <c r="O66" s="36" t="n">
        <v>46274</v>
      </c>
      <c r="P66" s="30">
        <f>IF(F66&lt;&gt;"","✅ 완료",IF(O66="","-",IF(TODAY()&gt;O66,"🚨 지연","⏳ 예정")))</f>
        <v/>
      </c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21.75" customHeight="1" s="209">
      <c r="A67" s="28" t="n">
        <v>64</v>
      </c>
      <c r="B67" s="28" t="inlineStr">
        <is>
          <t>2005</t>
        </is>
      </c>
      <c r="C67" s="30" t="inlineStr">
        <is>
          <t>D2</t>
        </is>
      </c>
      <c r="D67" s="32" t="inlineStr">
        <is>
          <t>파스칼의 삼각형</t>
        </is>
      </c>
      <c r="E67" s="28" t="inlineStr">
        <is>
          <t>동적계획법 (DP) / 구현 (파스칼)</t>
        </is>
      </c>
      <c r="F67" s="36" t="n">
        <v>46274</v>
      </c>
      <c r="G67" s="28" t="n"/>
      <c r="H67" s="28" t="n"/>
      <c r="I67" s="28" t="n"/>
      <c r="J67" s="54">
        <f>IF(OR(ISNUMBER(SEARCH("보류",K67)),ISNUMBER(SEARCH("미룸",K67)),ISNUMBER(SEARCH("나중에",K67)),ISNUMBER(SEARCH("보류",L67)),ISNUMBER(SEARCH("미룸",L67)),ISNUMBER(SEARCH("나중에",L67))),"보류(나중에 풀기)",IF(AND(F67="",G67="",H67="",I67=""),"미완료",IF(I67&lt;&gt;"","복습3(마스터)",IF(H67&lt;&gt;"","복습2",IF(G67&lt;&gt;"","복습1",IF(ISNUMBER(SEARCH("제미나이",K67)),"복습대기(AI도움)",IF(ISNUMBER(SEARCH("간당간당",K67)),"복습대기(간당간당)",IF(OR(ISNUMBER(SEARCH("아이디어",K67)),ISNUMBER(SEARCH("시간초과",K67)),ISNUMBER(SEARCH("자료구조",K67)),ISNUMBER(SEARCH("경계값",K67)),ISNUMBER(SEARCH("다른 풀이",K67)),ISNUMBER(SEARCH("또풀기",K67))),"복습대기",IF(OR(ISNUMBER(SEARCH("복습필요없음",K67)),ISNUMBER(SEARCH("자력완벽",K67))),"품(복습불필요)",IF(F67&lt;&gt;"","품","미완료"))))))))))</f>
        <v/>
      </c>
      <c r="K67" s="32" t="inlineStr">
        <is>
          <t>-</t>
        </is>
      </c>
      <c r="L67" s="32" t="inlineStr">
        <is>
          <t>💡 [SWEA 공식 제출 인증: 2026-09-09 12:10]</t>
        </is>
      </c>
      <c r="M67" s="28">
        <f>IF(OR(LEFT(J67,2)="보류", LEFT(J67,4)="복습대기", LEFT(J67,3)="복습1", LEFT(J67,3)="복습2"), MAX($M$3:M66)+1, "")</f>
        <v/>
      </c>
      <c r="N67" s="28" t="inlineStr">
        <is>
          <t>W03</t>
        </is>
      </c>
      <c r="O67" s="36" t="n">
        <v>46274</v>
      </c>
      <c r="P67" s="30">
        <f>IF(F67&lt;&gt;"","✅ 완료",IF(O67="","-",IF(TODAY()&gt;O67,"🚨 지연","⏳ 예정")))</f>
        <v/>
      </c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21.75" customHeight="1" s="209">
      <c r="A68" s="28" t="n">
        <v>65</v>
      </c>
      <c r="B68" s="28" t="inlineStr">
        <is>
          <t>2007</t>
        </is>
      </c>
      <c r="C68" s="30" t="inlineStr">
        <is>
          <t>D2</t>
        </is>
      </c>
      <c r="D68" s="32" t="inlineStr">
        <is>
          <t>패턴 마디의 길이</t>
        </is>
      </c>
      <c r="E68" s="28" t="inlineStr">
        <is>
          <t>문자열 / 구현 (패턴 마디)</t>
        </is>
      </c>
      <c r="F68" s="36" t="n">
        <v>46274</v>
      </c>
      <c r="G68" s="28" t="n"/>
      <c r="H68" s="28" t="n"/>
      <c r="I68" s="28" t="n"/>
      <c r="J68" s="54">
        <f>IF(OR(ISNUMBER(SEARCH("보류",K68)),ISNUMBER(SEARCH("미룸",K68)),ISNUMBER(SEARCH("나중에",K68)),ISNUMBER(SEARCH("보류",L68)),ISNUMBER(SEARCH("미룸",L68)),ISNUMBER(SEARCH("나중에",L68))),"보류(나중에 풀기)",IF(AND(F68="",G68="",H68="",I68=""),"미완료",IF(I68&lt;&gt;"","복습3(마스터)",IF(H68&lt;&gt;"","복습2",IF(G68&lt;&gt;"","복습1",IF(ISNUMBER(SEARCH("제미나이",K68)),"복습대기(AI도움)",IF(ISNUMBER(SEARCH("간당간당",K68)),"복습대기(간당간당)",IF(OR(ISNUMBER(SEARCH("아이디어",K68)),ISNUMBER(SEARCH("시간초과",K68)),ISNUMBER(SEARCH("자료구조",K68)),ISNUMBER(SEARCH("경계값",K68)),ISNUMBER(SEARCH("다른 풀이",K68)),ISNUMBER(SEARCH("또풀기",K68))),"복습대기",IF(OR(ISNUMBER(SEARCH("복습필요없음",K68)),ISNUMBER(SEARCH("자력완벽",K68))),"품(복습불필요)",IF(F68&lt;&gt;"","품","미완료"))))))))))</f>
        <v/>
      </c>
      <c r="K68" s="32" t="inlineStr">
        <is>
          <t>복습필요없음</t>
        </is>
      </c>
      <c r="L68" s="32" t="inlineStr">
        <is>
          <t>💡 [SWEA 공식 제출 인증: 2026-09-09 09:39]</t>
        </is>
      </c>
      <c r="M68" s="28">
        <f>IF(OR(LEFT(J68,2)="보류", LEFT(J68,4)="복습대기", LEFT(J68,3)="복습1", LEFT(J68,3)="복습2"), MAX($M$3:M67)+1, "")</f>
        <v/>
      </c>
      <c r="N68" s="28" t="inlineStr">
        <is>
          <t>W03</t>
        </is>
      </c>
      <c r="O68" s="36" t="n">
        <v>46274</v>
      </c>
      <c r="P68" s="30">
        <f>IF(F68&lt;&gt;"","✅ 완료",IF(O68="","-",IF(TODAY()&gt;O68,"🚨 지연","⏳ 예정")))</f>
        <v/>
      </c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21.75" customHeight="1" s="209">
      <c r="A69" s="28" t="n">
        <v>66</v>
      </c>
      <c r="B69" s="28" t="inlineStr">
        <is>
          <t>21425</t>
        </is>
      </c>
      <c r="C69" s="30" t="inlineStr">
        <is>
          <t>D2</t>
        </is>
      </c>
      <c r="D69" s="32" t="inlineStr">
        <is>
          <t>+=</t>
        </is>
      </c>
      <c r="E69" s="34" t="inlineStr">
        <is>
          <t>수학 / 그리디 (+=)</t>
        </is>
      </c>
      <c r="F69" s="36" t="n">
        <v>46274</v>
      </c>
      <c r="G69" s="28" t="n"/>
      <c r="H69" s="28" t="n"/>
      <c r="I69" s="28" t="n"/>
      <c r="J69" s="54">
        <f>IF(OR(ISNUMBER(SEARCH("보류",K69)),ISNUMBER(SEARCH("미룸",K69)),ISNUMBER(SEARCH("나중에",K69)),ISNUMBER(SEARCH("보류",L69)),ISNUMBER(SEARCH("미룸",L69)),ISNUMBER(SEARCH("나중에",L69))),"보류(나중에 풀기)",IF(AND(F69="",G69="",H69="",I69=""),"미완료",IF(I69&lt;&gt;"","복습3(마스터)",IF(H69&lt;&gt;"","복습2",IF(G69&lt;&gt;"","복습1",IF(ISNUMBER(SEARCH("제미나이",K69)),"복습대기(AI도움)",IF(ISNUMBER(SEARCH("간당간당",K69)),"복습대기(간당간당)",IF(OR(ISNUMBER(SEARCH("아이디어",K69)),ISNUMBER(SEARCH("시간초과",K69)),ISNUMBER(SEARCH("자료구조",K69)),ISNUMBER(SEARCH("경계값",K69)),ISNUMBER(SEARCH("다른 풀이",K69)),ISNUMBER(SEARCH("또풀기",K69))),"복습대기",IF(OR(ISNUMBER(SEARCH("복습필요없음",K69)),ISNUMBER(SEARCH("자력완벽",K69))),"품(복습불필요)",IF(F69&lt;&gt;"","품","미완료"))))))))))</f>
        <v/>
      </c>
      <c r="K69" s="32" t="inlineStr">
        <is>
          <t>복습필요없음</t>
        </is>
      </c>
      <c r="L69" s="32" t="inlineStr">
        <is>
          <t>💡 [SWEA 공식 제출 인증: 2026-09-09 08:37]</t>
        </is>
      </c>
      <c r="M69" s="28">
        <f>IF(OR(LEFT(J69,2)="보류", LEFT(J69,4)="복습대기", LEFT(J69,3)="복습1", LEFT(J69,3)="복습2"), MAX($M$3:M68)+1, "")</f>
        <v/>
      </c>
      <c r="N69" s="28" t="inlineStr">
        <is>
          <t>W03</t>
        </is>
      </c>
      <c r="O69" s="36" t="n">
        <v>46274</v>
      </c>
      <c r="P69" s="30">
        <f>IF(F69&lt;&gt;"","✅ 완료",IF(O69="","-",IF(TODAY()&gt;O69,"🚨 지연","⏳ 예정")))</f>
        <v/>
      </c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21.75" customHeight="1" s="209">
      <c r="A70" s="28" t="n">
        <v>67</v>
      </c>
      <c r="B70" s="28" t="inlineStr">
        <is>
          <t>10760</t>
        </is>
      </c>
      <c r="C70" s="30" t="inlineStr">
        <is>
          <t>D2</t>
        </is>
      </c>
      <c r="D70" s="32" t="inlineStr">
        <is>
          <t>우주선착륙2</t>
        </is>
      </c>
      <c r="E70" s="34" t="inlineStr">
        <is>
          <t>시뮬레이션 / 2차원격자 (우주선착륙2)</t>
        </is>
      </c>
      <c r="F70" s="36" t="n">
        <v>46275</v>
      </c>
      <c r="G70" s="28" t="n"/>
      <c r="H70" s="28" t="n"/>
      <c r="I70" s="28" t="n"/>
      <c r="J70" s="54">
        <f>IF(OR(ISNUMBER(SEARCH("보류",K70)),ISNUMBER(SEARCH("미룸",K70)),ISNUMBER(SEARCH("나중에",K70)),ISNUMBER(SEARCH("보류",L70)),ISNUMBER(SEARCH("미룸",L70)),ISNUMBER(SEARCH("나중에",L70))),"보류(나중에 풀기)",IF(AND(F70="",G70="",H70="",I70=""),"미완료",IF(I70&lt;&gt;"","복습3(마스터)",IF(H70&lt;&gt;"","복습2",IF(G70&lt;&gt;"","복습1",IF(ISNUMBER(SEARCH("제미나이",K70)),"복습대기(AI도움)",IF(ISNUMBER(SEARCH("간당간당",K70)),"복습대기(간당간당)",IF(OR(ISNUMBER(SEARCH("아이디어",K70)),ISNUMBER(SEARCH("시간초과",K70)),ISNUMBER(SEARCH("자료구조",K70)),ISNUMBER(SEARCH("경계값",K70)),ISNUMBER(SEARCH("다른 풀이",K70)),ISNUMBER(SEARCH("또풀기",K70))),"복습대기",IF(OR(ISNUMBER(SEARCH("복습필요없음",K70)),ISNUMBER(SEARCH("자력완벽",K70))),"품(복습불필요)",IF(F70&lt;&gt;"","품","미완료"))))))))))</f>
        <v/>
      </c>
      <c r="K70" s="32" t="inlineStr">
        <is>
          <t>-</t>
        </is>
      </c>
      <c r="L70" s="32" t="inlineStr">
        <is>
          <t>💡 [SWEA 공식 제출 인증: 2026-09-10 15:59]</t>
        </is>
      </c>
      <c r="M70" s="28">
        <f>IF(OR(LEFT(J70,2)="보류", LEFT(J70,4)="복습대기", LEFT(J70,3)="복습1", LEFT(J70,3)="복습2"), MAX($M$3:M69)+1, "")</f>
        <v/>
      </c>
      <c r="N70" s="28" t="inlineStr">
        <is>
          <t>W03</t>
        </is>
      </c>
      <c r="O70" s="36" t="n">
        <v>46275</v>
      </c>
      <c r="P70" s="30">
        <f>IF(F70&lt;&gt;"","✅ 완료",IF(O70="","-",IF(TODAY()&gt;O70,"🚨 지연","⏳ 예정")))</f>
        <v/>
      </c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21.75" customHeight="1" s="209">
      <c r="A71" s="28" t="n">
        <v>68</v>
      </c>
      <c r="B71" s="28" t="inlineStr">
        <is>
          <t>12712</t>
        </is>
      </c>
      <c r="C71" s="30" t="inlineStr">
        <is>
          <t>D2</t>
        </is>
      </c>
      <c r="D71" s="32" t="inlineStr">
        <is>
          <t>파리퇴치3</t>
        </is>
      </c>
      <c r="E71" s="34" t="inlineStr">
        <is>
          <t>시뮬레이션 / 2차원격자 (파리퇴치3)</t>
        </is>
      </c>
      <c r="F71" s="36" t="n">
        <v>46275</v>
      </c>
      <c r="G71" s="28" t="n"/>
      <c r="H71" s="28" t="n"/>
      <c r="I71" s="28" t="n"/>
      <c r="J71" s="54">
        <f>IF(OR(ISNUMBER(SEARCH("보류",K71)),ISNUMBER(SEARCH("미룸",K71)),ISNUMBER(SEARCH("나중에",K71)),ISNUMBER(SEARCH("보류",L71)),ISNUMBER(SEARCH("미룸",L71)),ISNUMBER(SEARCH("나중에",L71))),"보류(나중에 풀기)",IF(AND(F71="",G71="",H71="",I71=""),"미완료",IF(I71&lt;&gt;"","복습3(마스터)",IF(H71&lt;&gt;"","복습2",IF(G71&lt;&gt;"","복습1",IF(ISNUMBER(SEARCH("제미나이",K71)),"복습대기(AI도움)",IF(ISNUMBER(SEARCH("간당간당",K71)),"복습대기(간당간당)",IF(OR(ISNUMBER(SEARCH("아이디어",K71)),ISNUMBER(SEARCH("시간초과",K71)),ISNUMBER(SEARCH("자료구조",K71)),ISNUMBER(SEARCH("경계값",K71)),ISNUMBER(SEARCH("다른 풀이",K71)),ISNUMBER(SEARCH("또풀기",K71))),"복습대기",IF(OR(ISNUMBER(SEARCH("복습필요없음",K71)),ISNUMBER(SEARCH("자력완벽",K71))),"품(복습불필요)",IF(F71&lt;&gt;"","품","미완료"))))))))))</f>
        <v/>
      </c>
      <c r="K71" s="32" t="inlineStr">
        <is>
          <t>-</t>
        </is>
      </c>
      <c r="L71" s="32" t="inlineStr">
        <is>
          <t>💡 [SWEA 공식 제출 인증: 2026-09-10 12:11]</t>
        </is>
      </c>
      <c r="M71" s="28">
        <f>IF(OR(LEFT(J71,2)="보류", LEFT(J71,4)="복습대기", LEFT(J71,3)="복습1", LEFT(J71,3)="복습2"), MAX($M$3:M70)+1, "")</f>
        <v/>
      </c>
      <c r="N71" s="28" t="inlineStr">
        <is>
          <t>W03</t>
        </is>
      </c>
      <c r="O71" s="36" t="n">
        <v>46275</v>
      </c>
      <c r="P71" s="30">
        <f>IF(F71&lt;&gt;"","✅ 완료",IF(O71="","-",IF(TODAY()&gt;O71,"🚨 지연","⏳ 예정")))</f>
        <v/>
      </c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21.75" customHeight="1" s="209">
      <c r="A72" s="28" t="n">
        <v>69</v>
      </c>
      <c r="B72" s="28" t="inlineStr">
        <is>
          <t>1961</t>
        </is>
      </c>
      <c r="C72" s="30" t="inlineStr">
        <is>
          <t>D2</t>
        </is>
      </c>
      <c r="D72" s="32" t="inlineStr">
        <is>
          <t>숫자 배열 회전</t>
        </is>
      </c>
      <c r="E72" s="34" t="inlineStr">
        <is>
          <t>시뮬레이션 / 배열회전</t>
        </is>
      </c>
      <c r="F72" s="36" t="n">
        <v>46275</v>
      </c>
      <c r="G72" s="28" t="n"/>
      <c r="H72" s="28" t="n"/>
      <c r="I72" s="28" t="n"/>
      <c r="J72" s="54">
        <f>IF(OR(ISNUMBER(SEARCH("보류",K72)),ISNUMBER(SEARCH("미룸",K72)),ISNUMBER(SEARCH("나중에",K72)),ISNUMBER(SEARCH("보류",L72)),ISNUMBER(SEARCH("미룸",L72)),ISNUMBER(SEARCH("나중에",L72))),"보류(나중에 풀기)",IF(AND(F72="",G72="",H72="",I72=""),"미완료",IF(I72&lt;&gt;"","복습3(마스터)",IF(H72&lt;&gt;"","복습2",IF(G72&lt;&gt;"","복습1",IF(ISNUMBER(SEARCH("제미나이",K72)),"복습대기(AI도움)",IF(ISNUMBER(SEARCH("간당간당",K72)),"복습대기(간당간당)",IF(OR(ISNUMBER(SEARCH("아이디어",K72)),ISNUMBER(SEARCH("시간초과",K72)),ISNUMBER(SEARCH("자료구조",K72)),ISNUMBER(SEARCH("경계값",K72)),ISNUMBER(SEARCH("다른 풀이",K72)),ISNUMBER(SEARCH("또풀기",K72))),"복습대기",IF(OR(ISNUMBER(SEARCH("복습필요없음",K72)),ISNUMBER(SEARCH("자력완벽",K72))),"품(복습불필요)",IF(F72&lt;&gt;"","품","미완료"))))))))))</f>
        <v/>
      </c>
      <c r="K72" s="32" t="inlineStr">
        <is>
          <t>머리풀기용으로 좋음</t>
        </is>
      </c>
      <c r="L72" s="32" t="inlineStr">
        <is>
          <t>💡 [SWEA 공식 제출 인증: 2026-09-10 23:51]</t>
        </is>
      </c>
      <c r="M72" s="28">
        <f>IF(OR(LEFT(J72,2)="보류", LEFT(J72,4)="복습대기", LEFT(J72,3)="복습1", LEFT(J72,3)="복습2"), MAX($M$3:M71)+1, "")</f>
        <v/>
      </c>
      <c r="N72" s="28" t="inlineStr">
        <is>
          <t>W03</t>
        </is>
      </c>
      <c r="O72" s="36" t="n">
        <v>46275</v>
      </c>
      <c r="P72" s="30">
        <f>IF(F72&lt;&gt;"","✅ 완료",IF(O72="","-",IF(TODAY()&gt;O72,"🚨 지연","⏳ 예정")))</f>
        <v/>
      </c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21.75" customHeight="1" s="209">
      <c r="A73" s="28" t="n">
        <v>70</v>
      </c>
      <c r="B73" s="28" t="inlineStr">
        <is>
          <t>1976</t>
        </is>
      </c>
      <c r="C73" s="30" t="inlineStr">
        <is>
          <t>D2</t>
        </is>
      </c>
      <c r="D73" s="32" t="inlineStr">
        <is>
          <t>시각 덧셈</t>
        </is>
      </c>
      <c r="E73" s="34" t="inlineStr">
        <is>
          <t>수학 / 시각 덧셈</t>
        </is>
      </c>
      <c r="F73" s="36" t="n">
        <v>46275</v>
      </c>
      <c r="G73" s="28" t="n"/>
      <c r="H73" s="28" t="n"/>
      <c r="I73" s="28" t="n"/>
      <c r="J73" s="54">
        <f>IF(OR(ISNUMBER(SEARCH("보류",K73)),ISNUMBER(SEARCH("미룸",K73)),ISNUMBER(SEARCH("나중에",K73)),ISNUMBER(SEARCH("보류",L73)),ISNUMBER(SEARCH("미룸",L73)),ISNUMBER(SEARCH("나중에",L73))),"보류(나중에 풀기)",IF(AND(F73="",G73="",H73="",I73=""),"미완료",IF(I73&lt;&gt;"","복습3(마스터)",IF(H73&lt;&gt;"","복습2",IF(G73&lt;&gt;"","복습1",IF(ISNUMBER(SEARCH("제미나이",K73)),"복습대기(AI도움)",IF(ISNUMBER(SEARCH("간당간당",K73)),"복습대기(간당간당)",IF(OR(ISNUMBER(SEARCH("아이디어",K73)),ISNUMBER(SEARCH("시간초과",K73)),ISNUMBER(SEARCH("자료구조",K73)),ISNUMBER(SEARCH("경계값",K73)),ISNUMBER(SEARCH("다른 풀이",K73)),ISNUMBER(SEARCH("또풀기",K73))),"복습대기",IF(OR(ISNUMBER(SEARCH("복습필요없음",K73)),ISNUMBER(SEARCH("자력완벽",K73))),"품(복습불필요)",IF(F73&lt;&gt;"","품","미완료"))))))))))</f>
        <v/>
      </c>
      <c r="K73" s="32" t="inlineStr">
        <is>
          <t>-</t>
        </is>
      </c>
      <c r="L73" s="32" t="inlineStr">
        <is>
          <t>💡 [SWEA 공식 제출 인증: 2026-09-10 17:16]</t>
        </is>
      </c>
      <c r="M73" s="28">
        <f>IF(OR(LEFT(J73,2)="보류", LEFT(J73,4)="복습대기", LEFT(J73,3)="복습1", LEFT(J73,3)="복습2"), MAX($M$3:M72)+1, "")</f>
        <v/>
      </c>
      <c r="N73" s="28" t="inlineStr">
        <is>
          <t>W03</t>
        </is>
      </c>
      <c r="O73" s="36" t="n">
        <v>46275</v>
      </c>
      <c r="P73" s="30">
        <f>IF(F73&lt;&gt;"","✅ 완료",IF(O73="","-",IF(TODAY()&gt;O73,"🚨 지연","⏳ 예정")))</f>
        <v/>
      </c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21.75" customHeight="1" s="209">
      <c r="A74" s="28" t="n">
        <v>71</v>
      </c>
      <c r="B74" s="28" t="inlineStr">
        <is>
          <t>1983</t>
        </is>
      </c>
      <c r="C74" s="30" t="inlineStr">
        <is>
          <t>D2</t>
        </is>
      </c>
      <c r="D74" s="32" t="inlineStr">
        <is>
          <t>조교의 성적 매기기</t>
        </is>
      </c>
      <c r="E74" s="34" t="inlineStr">
        <is>
          <t>정렬 / 구현 (조교의 성적)</t>
        </is>
      </c>
      <c r="F74" s="36" t="n">
        <v>46275</v>
      </c>
      <c r="G74" s="28" t="n"/>
      <c r="H74" s="28" t="n"/>
      <c r="I74" s="28" t="n"/>
      <c r="J74" s="54">
        <f>IF(OR(ISNUMBER(SEARCH("보류",K74)),ISNUMBER(SEARCH("미룸",K74)),ISNUMBER(SEARCH("나중에",K74)),ISNUMBER(SEARCH("보류",L74)),ISNUMBER(SEARCH("미룸",L74)),ISNUMBER(SEARCH("나중에",L74))),"보류(나중에 풀기)",IF(AND(F74="",G74="",H74="",I74=""),"미완료",IF(I74&lt;&gt;"","복습3(마스터)",IF(H74&lt;&gt;"","복습2",IF(G74&lt;&gt;"","복습1",IF(ISNUMBER(SEARCH("제미나이",K74)),"복습대기(AI도움)",IF(ISNUMBER(SEARCH("간당간당",K74)),"복습대기(간당간당)",IF(OR(ISNUMBER(SEARCH("아이디어",K74)),ISNUMBER(SEARCH("시간초과",K74)),ISNUMBER(SEARCH("자료구조",K74)),ISNUMBER(SEARCH("경계값",K74)),ISNUMBER(SEARCH("다른 풀이",K74)),ISNUMBER(SEARCH("또풀기",K74))),"복습대기",IF(OR(ISNUMBER(SEARCH("복습필요없음",K74)),ISNUMBER(SEARCH("자력완벽",K74))),"품(복습불필요)",IF(F74&lt;&gt;"","품","미완료"))))))))))</f>
        <v/>
      </c>
      <c r="K74" s="32" t="inlineStr">
        <is>
          <t>-</t>
        </is>
      </c>
      <c r="L74" s="32" t="inlineStr">
        <is>
          <t>💡 [SWEA 공식 제출 인증: 2026-09-10 16:49]</t>
        </is>
      </c>
      <c r="M74" s="28">
        <f>IF(OR(LEFT(J74,2)="보류", LEFT(J74,4)="복습대기", LEFT(J74,3)="복습1", LEFT(J74,3)="복습2"), MAX($M$3:M73)+1, "")</f>
        <v/>
      </c>
      <c r="N74" s="28" t="inlineStr">
        <is>
          <t>W03</t>
        </is>
      </c>
      <c r="O74" s="36" t="n">
        <v>46275</v>
      </c>
      <c r="P74" s="30">
        <f>IF(F74&lt;&gt;"","✅ 완료",IF(O74="","-",IF(TODAY()&gt;O74,"🚨 지연","⏳ 예정")))</f>
        <v/>
      </c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21.75" customHeight="1" s="209">
      <c r="A75" s="28" t="n">
        <v>72</v>
      </c>
      <c r="B75" s="28" t="inlineStr">
        <is>
          <t>26928</t>
        </is>
      </c>
      <c r="C75" s="30" t="inlineStr">
        <is>
          <t>D2</t>
        </is>
      </c>
      <c r="D75" s="32" t="inlineStr">
        <is>
          <t>사전 펼치기 시합</t>
        </is>
      </c>
      <c r="E75" s="34" t="inlineStr">
        <is>
          <t>이진탐색 / 수학 (사전 펼치기)</t>
        </is>
      </c>
      <c r="F75" s="36" t="n">
        <v>46276</v>
      </c>
      <c r="G75" s="28" t="n"/>
      <c r="H75" s="28" t="n"/>
      <c r="I75" s="28" t="n"/>
      <c r="J75" s="54">
        <f>IF(OR(ISNUMBER(SEARCH("보류",K75)),ISNUMBER(SEARCH("미룸",K75)),ISNUMBER(SEARCH("나중에",K75)),ISNUMBER(SEARCH("보류",L75)),ISNUMBER(SEARCH("미룸",L75)),ISNUMBER(SEARCH("나중에",L75))),"보류(나중에 풀기)",IF(AND(F75="",G75="",H75="",I75=""),"미완료",IF(I75&lt;&gt;"","복습3(마스터)",IF(H75&lt;&gt;"","복습2",IF(G75&lt;&gt;"","복습1",IF(ISNUMBER(SEARCH("제미나이",K75)),"복습대기(AI도움)",IF(ISNUMBER(SEARCH("간당간당",K75)),"복습대기(간당간당)",IF(OR(ISNUMBER(SEARCH("아이디어",K75)),ISNUMBER(SEARCH("시간초과",K75)),ISNUMBER(SEARCH("자료구조",K75)),ISNUMBER(SEARCH("경계값",K75)),ISNUMBER(SEARCH("다른 풀이",K75)),ISNUMBER(SEARCH("또풀기",K75))),"복습대기",IF(OR(ISNUMBER(SEARCH("복습필요없음",K75)),ISNUMBER(SEARCH("자력완벽",K75))),"품(복습불필요)",IF(F75&lt;&gt;"","품","미완료"))))))))))</f>
        <v/>
      </c>
      <c r="K75" s="32" t="inlineStr">
        <is>
          <t>머리풀기용으로 좋음</t>
        </is>
      </c>
      <c r="L75" s="32" t="inlineStr">
        <is>
          <t>💡 [SWEA 공식 제출 인증: 2026-09-11 12:21]</t>
        </is>
      </c>
      <c r="M75" s="28">
        <f>IF(OR(LEFT(J75,2)="보류", LEFT(J75,4)="복습대기", LEFT(J75,3)="복습1", LEFT(J75,3)="복습2"), MAX($M$3:M74)+1, "")</f>
        <v/>
      </c>
      <c r="N75" s="28" t="inlineStr">
        <is>
          <t>W03</t>
        </is>
      </c>
      <c r="O75" s="36" t="n">
        <v>46276</v>
      </c>
      <c r="P75" s="30">
        <f>IF(F75&lt;&gt;"","✅ 완료",IF(O75="","-",IF(TODAY()&gt;O75,"🚨 지연","⏳ 예정")))</f>
        <v/>
      </c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21.75" customHeight="1" s="209">
      <c r="A76" s="28" t="n">
        <v>73</v>
      </c>
      <c r="B76" s="28" t="inlineStr">
        <is>
          <t>26930</t>
        </is>
      </c>
      <c r="C76" s="30" t="inlineStr">
        <is>
          <t>D2</t>
        </is>
      </c>
      <c r="D76" s="32" t="inlineStr">
        <is>
          <t>코드 편집기의 괄호 짝 검사</t>
        </is>
      </c>
      <c r="E76" s="34" t="inlineStr">
        <is>
          <t>자료구조 (스택 / 괄호 검사)</t>
        </is>
      </c>
      <c r="F76" s="36" t="n">
        <v>46276</v>
      </c>
      <c r="G76" s="28" t="n"/>
      <c r="H76" s="28" t="n"/>
      <c r="I76" s="28" t="n"/>
      <c r="J76" s="54">
        <f>IF(OR(ISNUMBER(SEARCH("보류",K76)),ISNUMBER(SEARCH("미룸",K76)),ISNUMBER(SEARCH("나중에",K76)),ISNUMBER(SEARCH("보류",L76)),ISNUMBER(SEARCH("미룸",L76)),ISNUMBER(SEARCH("나중에",L76))),"보류(나중에 풀기)",IF(AND(F76="",G76="",H76="",I76=""),"미완료",IF(I76&lt;&gt;"","복습3(마스터)",IF(H76&lt;&gt;"","복습2",IF(G76&lt;&gt;"","복습1",IF(ISNUMBER(SEARCH("제미나이",K76)),"복습대기(AI도움)",IF(ISNUMBER(SEARCH("간당간당",K76)),"복습대기(간당간당)",IF(OR(ISNUMBER(SEARCH("아이디어",K76)),ISNUMBER(SEARCH("시간초과",K76)),ISNUMBER(SEARCH("자료구조",K76)),ISNUMBER(SEARCH("경계값",K76)),ISNUMBER(SEARCH("다른 풀이",K76)),ISNUMBER(SEARCH("또풀기",K76))),"복습대기",IF(OR(ISNUMBER(SEARCH("복습필요없음",K76)),ISNUMBER(SEARCH("자력완벽",K76))),"품(복습불필요)",IF(F76&lt;&gt;"","품","미완료"))))))))))</f>
        <v/>
      </c>
      <c r="K76" s="32" t="inlineStr">
        <is>
          <t>-</t>
        </is>
      </c>
      <c r="L76" s="32" t="inlineStr">
        <is>
          <t>💡 [SWEA 공식 제출 인증: 2026-09-11 10:53]</t>
        </is>
      </c>
      <c r="M76" s="28">
        <f>IF(OR(LEFT(J76,2)="보류", LEFT(J76,4)="복습대기", LEFT(J76,3)="복습1", LEFT(J76,3)="복습2"), MAX($M$3:M75)+1, "")</f>
        <v/>
      </c>
      <c r="N76" s="28" t="inlineStr">
        <is>
          <t>W03</t>
        </is>
      </c>
      <c r="O76" s="36" t="n">
        <v>46276</v>
      </c>
      <c r="P76" s="30">
        <f>IF(F76&lt;&gt;"","✅ 완료",IF(O76="","-",IF(TODAY()&gt;O76,"🚨 지연","⏳ 예정")))</f>
        <v/>
      </c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21.75" customHeight="1" s="209">
      <c r="A77" s="28" t="n">
        <v>74</v>
      </c>
      <c r="B77" s="28" t="inlineStr">
        <is>
          <t>26931</t>
        </is>
      </c>
      <c r="C77" s="30" t="inlineStr">
        <is>
          <t>D2</t>
        </is>
      </c>
      <c r="D77" s="32" t="inlineStr">
        <is>
          <t>컨베이어 벨트 상자 정리</t>
        </is>
      </c>
      <c r="E77" s="34" t="inlineStr">
        <is>
          <t>시뮬레이션 / 큐 (컨베이어 벨트)</t>
        </is>
      </c>
      <c r="F77" s="36" t="n">
        <v>46276</v>
      </c>
      <c r="G77" s="28" t="n"/>
      <c r="H77" s="28" t="n"/>
      <c r="I77" s="28" t="n"/>
      <c r="J77" s="54">
        <f>IF(OR(ISNUMBER(SEARCH("보류",K77)),ISNUMBER(SEARCH("미룸",K77)),ISNUMBER(SEARCH("나중에",K77)),ISNUMBER(SEARCH("보류",L77)),ISNUMBER(SEARCH("미룸",L77)),ISNUMBER(SEARCH("나중에",L77))),"보류(나중에 풀기)",IF(AND(F77="",G77="",H77="",I77=""),"미완료",IF(I77&lt;&gt;"","복습3(마스터)",IF(H77&lt;&gt;"","복습2",IF(G77&lt;&gt;"","복습1",IF(ISNUMBER(SEARCH("제미나이",K77)),"복습대기(AI도움)",IF(ISNUMBER(SEARCH("간당간당",K77)),"복습대기(간당간당)",IF(OR(ISNUMBER(SEARCH("아이디어",K77)),ISNUMBER(SEARCH("시간초과",K77)),ISNUMBER(SEARCH("자료구조",K77)),ISNUMBER(SEARCH("경계값",K77)),ISNUMBER(SEARCH("다른 풀이",K77)),ISNUMBER(SEARCH("또풀기",K77))),"복습대기",IF(OR(ISNUMBER(SEARCH("복습필요없음",K77)),ISNUMBER(SEARCH("자력완벽",K77))),"품(복습불필요)",IF(F77&lt;&gt;"","품","미완료"))))))))))</f>
        <v/>
      </c>
      <c r="K77" s="32" t="inlineStr">
        <is>
          <t>-</t>
        </is>
      </c>
      <c r="L77" s="32" t="inlineStr">
        <is>
          <t>💡 [SWEA 공식 제출 인증: 2026-09-11 14:20]</t>
        </is>
      </c>
      <c r="M77" s="28">
        <f>IF(OR(LEFT(J77,2)="보류", LEFT(J77,4)="복습대기", LEFT(J77,3)="복습1", LEFT(J77,3)="복습2"), MAX($M$3:M76)+1, "")</f>
        <v/>
      </c>
      <c r="N77" s="28" t="inlineStr">
        <is>
          <t>W03</t>
        </is>
      </c>
      <c r="O77" s="36" t="n">
        <v>46276</v>
      </c>
      <c r="P77" s="30">
        <f>IF(F77&lt;&gt;"","✅ 완료",IF(O77="","-",IF(TODAY()&gt;O77,"🚨 지연","⏳ 예정")))</f>
        <v/>
      </c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21.75" customHeight="1" s="209">
      <c r="A78" s="28" t="n">
        <v>75</v>
      </c>
      <c r="B78" s="28" t="inlineStr">
        <is>
          <t>1225</t>
        </is>
      </c>
      <c r="C78" s="30" t="inlineStr">
        <is>
          <t>D3</t>
        </is>
      </c>
      <c r="D78" s="32" t="inlineStr">
        <is>
          <t>암호생성기</t>
        </is>
      </c>
      <c r="E78" s="34" t="inlineStr">
        <is>
          <t>자료구조 (큐 / 암호생성기)</t>
        </is>
      </c>
      <c r="F78" s="36" t="n">
        <v>46276</v>
      </c>
      <c r="G78" s="36" t="n">
        <v>46276</v>
      </c>
      <c r="H78" s="28" t="n"/>
      <c r="I78" s="28" t="n"/>
      <c r="J78" s="54">
        <f>IF(OR(ISNUMBER(SEARCH("보류",K78)),ISNUMBER(SEARCH("미룸",K78)),ISNUMBER(SEARCH("나중에",K78)),ISNUMBER(SEARCH("보류",L78)),ISNUMBER(SEARCH("미룸",L78)),ISNUMBER(SEARCH("나중에",L78))),"보류(나중에 풀기)",IF(AND(F78="",G78="",H78="",I78=""),"미완료",IF(I78&lt;&gt;"","복습3(마스터)",IF(H78&lt;&gt;"","복습2",IF(G78&lt;&gt;"","복습1",IF(ISNUMBER(SEARCH("제미나이",K78)),"복습대기(AI도움)",IF(ISNUMBER(SEARCH("간당간당",K78)),"복습대기(간당간당)",IF(OR(ISNUMBER(SEARCH("아이디어",K78)),ISNUMBER(SEARCH("시간초과",K78)),ISNUMBER(SEARCH("자료구조",K78)),ISNUMBER(SEARCH("경계값",K78)),ISNUMBER(SEARCH("다른 풀이",K78)),ISNUMBER(SEARCH("또풀기",K78))),"복습대기",IF(OR(ISNUMBER(SEARCH("복습필요없음",K78)),ISNUMBER(SEARCH("자력완벽",K78))),"품(복습불필요)",IF(F78&lt;&gt;"","품","미완료"))))))))))</f>
        <v/>
      </c>
      <c r="K78" s="32" t="inlineStr">
        <is>
          <t>-</t>
        </is>
      </c>
      <c r="L78" s="32" t="inlineStr">
        <is>
          <t>💡 [SWEA 공식 제출 인증: 2026-09-11 09:45]</t>
        </is>
      </c>
      <c r="M78" s="28">
        <f>IF(OR(LEFT(J78,2)="보류", LEFT(J78,4)="복습대기", LEFT(J78,3)="복습1", LEFT(J78,3)="복습2"), MAX($M$3:M77)+1, "")</f>
        <v/>
      </c>
      <c r="N78" s="28" t="inlineStr">
        <is>
          <t>W03</t>
        </is>
      </c>
      <c r="O78" s="36" t="n">
        <v>46276</v>
      </c>
      <c r="P78" s="30">
        <f>IF(F78&lt;&gt;"","✅ 완료",IF(O78="","-",IF(TODAY()&gt;O78,"🚨 지연","⏳ 예정")))</f>
        <v/>
      </c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21.75" customHeight="1" s="209">
      <c r="A79" s="28" t="n">
        <v>76</v>
      </c>
      <c r="B79" s="28" t="inlineStr">
        <is>
          <t>26933</t>
        </is>
      </c>
      <c r="C79" s="30" t="inlineStr">
        <is>
          <t>D2</t>
        </is>
      </c>
      <c r="D79" s="32" t="inlineStr">
        <is>
          <t>삼색 칩 대회</t>
        </is>
      </c>
      <c r="E79" s="34" t="inlineStr">
        <is>
          <t>시뮬레이션 / 구현 (삼색 칩)</t>
        </is>
      </c>
      <c r="F79" s="36" t="n">
        <v>46279</v>
      </c>
      <c r="G79" s="28" t="n"/>
      <c r="H79" s="28" t="n"/>
      <c r="I79" s="28" t="n"/>
      <c r="J79" s="54">
        <f>IF(OR(ISNUMBER(SEARCH("보류",K79)),ISNUMBER(SEARCH("미룸",K79)),ISNUMBER(SEARCH("나중에",K79)),ISNUMBER(SEARCH("보류",L79)),ISNUMBER(SEARCH("미룸",L79)),ISNUMBER(SEARCH("나중에",L79))),"보류(나중에 풀기)",IF(AND(F79="",G79="",H79="",I79=""),"미완료",IF(I79&lt;&gt;"","복습3(마스터)",IF(H79&lt;&gt;"","복습2",IF(G79&lt;&gt;"","복습1",IF(ISNUMBER(SEARCH("제미나이",K79)),"복습대기(AI도움)",IF(ISNUMBER(SEARCH("간당간당",K79)),"복습대기(간당간당)",IF(OR(ISNUMBER(SEARCH("아이디어",K79)),ISNUMBER(SEARCH("시간초과",K79)),ISNUMBER(SEARCH("자료구조",K79)),ISNUMBER(SEARCH("경계값",K79)),ISNUMBER(SEARCH("다른 풀이",K79)),ISNUMBER(SEARCH("또풀기",K79))),"복습대기",IF(OR(ISNUMBER(SEARCH("복습필요없음",K79)),ISNUMBER(SEARCH("자력완벽",K79))),"품(복습불필요)",IF(F79&lt;&gt;"","품","미완료"))))))))))</f>
        <v/>
      </c>
      <c r="K79" s="32" t="inlineStr">
        <is>
          <t>-</t>
        </is>
      </c>
      <c r="L79" s="32" t="inlineStr">
        <is>
          <t>💡 [SWEA 공식 제출 인증: 2026-09-14 16:19]</t>
        </is>
      </c>
      <c r="M79" s="28">
        <f>IF(OR(LEFT(J79,2)="보류", LEFT(J79,4)="복습대기", LEFT(J79,3)="복습1", LEFT(J79,3)="복습2"), MAX($M$3:M78)+1, "")</f>
        <v/>
      </c>
      <c r="N79" s="28" t="inlineStr">
        <is>
          <t>W04</t>
        </is>
      </c>
      <c r="O79" s="36" t="n">
        <v>46279</v>
      </c>
      <c r="P79" s="30">
        <f>IF(F79&lt;&gt;"","✅ 완료",IF(O79="","-",IF(TODAY()&gt;O79,"🚨 지연","⏳ 예정")))</f>
        <v/>
      </c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21.75" customHeight="1" s="209">
      <c r="A80" s="28" t="n">
        <v>77</v>
      </c>
      <c r="B80" s="28" t="inlineStr">
        <is>
          <t>26938</t>
        </is>
      </c>
      <c r="C80" s="30" t="inlineStr">
        <is>
          <t>D2</t>
        </is>
      </c>
      <c r="D80" s="32" t="inlineStr">
        <is>
          <t>하위 조직 인원수 세기</t>
        </is>
      </c>
      <c r="E80" s="34" t="inlineStr">
        <is>
          <t>트리 / DFS (하위 조직 인원)</t>
        </is>
      </c>
      <c r="F80" s="36" t="n">
        <v>46279</v>
      </c>
      <c r="G80" s="28" t="n"/>
      <c r="H80" s="28" t="n"/>
      <c r="I80" s="28" t="n"/>
      <c r="J80" s="54">
        <f>IF(OR(ISNUMBER(SEARCH("보류",K80)),ISNUMBER(SEARCH("미룸",K80)),ISNUMBER(SEARCH("나중에",K80)),ISNUMBER(SEARCH("보류",L80)),ISNUMBER(SEARCH("미룸",L80)),ISNUMBER(SEARCH("나중에",L80))),"보류(나중에 풀기)",IF(AND(F80="",G80="",H80="",I80=""),"미완료",IF(I80&lt;&gt;"","복습3(마스터)",IF(H80&lt;&gt;"","복습2",IF(G80&lt;&gt;"","복습1",IF(ISNUMBER(SEARCH("제미나이",K80)),"복습대기(AI도움)",IF(ISNUMBER(SEARCH("간당간당",K80)),"복습대기(간당간당)",IF(OR(ISNUMBER(SEARCH("아이디어",K80)),ISNUMBER(SEARCH("시간초과",K80)),ISNUMBER(SEARCH("자료구조",K80)),ISNUMBER(SEARCH("경계값",K80)),ISNUMBER(SEARCH("다른 풀이",K80)),ISNUMBER(SEARCH("또풀기",K80))),"복습대기",IF(OR(ISNUMBER(SEARCH("복습필요없음",K80)),ISNUMBER(SEARCH("자력완벽",K80))),"품(복습불필요)",IF(F80&lt;&gt;"","품","미완료"))))))))))</f>
        <v/>
      </c>
      <c r="K80" s="32" t="inlineStr">
        <is>
          <t>🤖 제미나이 도움</t>
        </is>
      </c>
      <c r="L80" s="32" t="inlineStr">
        <is>
          <t>💡 [SWEA 공식 제출 인증: 2026-09-14 17:23]</t>
        </is>
      </c>
      <c r="M80" s="28">
        <f>IF(OR(LEFT(J80,2)="보류", LEFT(J80,4)="복습대기", LEFT(J80,3)="복습1", LEFT(J80,3)="복습2"), MAX($M$3:M79)+1, "")</f>
        <v/>
      </c>
      <c r="N80" s="28" t="inlineStr">
        <is>
          <t>W04</t>
        </is>
      </c>
      <c r="O80" s="36" t="n">
        <v>46279</v>
      </c>
      <c r="P80" s="30">
        <f>IF(F80&lt;&gt;"","✅ 완료",IF(O80="","-",IF(TODAY()&gt;O80,"🚨 지연","⏳ 예정")))</f>
        <v/>
      </c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21.75" customHeight="1" s="209">
      <c r="A81" s="28" t="n">
        <v>78</v>
      </c>
      <c r="B81" s="28" t="inlineStr">
        <is>
          <t>14510</t>
        </is>
      </c>
      <c r="C81" s="30" t="inlineStr">
        <is>
          <t>D2</t>
        </is>
      </c>
      <c r="D81" s="32" t="inlineStr">
        <is>
          <t>나무 높이</t>
        </is>
      </c>
      <c r="E81" s="34" t="inlineStr">
        <is>
          <t>그리디 / 시뮬레이션 (나무 높이)</t>
        </is>
      </c>
      <c r="F81" s="36" t="n">
        <v>46280</v>
      </c>
      <c r="G81" s="36" t="n">
        <v>46280</v>
      </c>
      <c r="H81" s="28" t="n"/>
      <c r="I81" s="28" t="n"/>
      <c r="J81" s="54">
        <f>IF(OR(ISNUMBER(SEARCH("보류",K81)),ISNUMBER(SEARCH("미룸",K81)),ISNUMBER(SEARCH("나중에",K81)),ISNUMBER(SEARCH("보류",L81)),ISNUMBER(SEARCH("미룸",L81)),ISNUMBER(SEARCH("나중에",L81))),"보류(나중에 풀기)",IF(AND(F81="",G81="",H81="",I81=""),"미완료",IF(I81&lt;&gt;"","복습3(마스터)",IF(H81&lt;&gt;"","복습2",IF(G81&lt;&gt;"","복습1",IF(ISNUMBER(SEARCH("제미나이",K81)),"복습대기(AI도움)",IF(ISNUMBER(SEARCH("간당간당",K81)),"복습대기(간당간당)",IF(OR(ISNUMBER(SEARCH("아이디어",K81)),ISNUMBER(SEARCH("시간초과",K81)),ISNUMBER(SEARCH("자료구조",K81)),ISNUMBER(SEARCH("경계값",K81)),ISNUMBER(SEARCH("다른 풀이",K81)),ISNUMBER(SEARCH("또풀기",K81))),"복습대기",IF(OR(ISNUMBER(SEARCH("복습필요없음",K81)),ISNUMBER(SEARCH("자력완벽",K81))),"품(복습불필요)",IF(F81&lt;&gt;"","품","미완료"))))))))))</f>
        <v/>
      </c>
      <c r="K81" s="32" t="inlineStr">
        <is>
          <t>보류(나중에 풀기)</t>
        </is>
      </c>
      <c r="L81" s="32" t="inlineStr">
        <is>
          <t>경계값/예외케이스 복잡하여 나중에 푸는 것으로 보류</t>
        </is>
      </c>
      <c r="M81" s="28">
        <f>IF(OR(LEFT(J81,2)="보류", LEFT(J81,4)="복습대기", LEFT(J81,3)="복습1", LEFT(J81,3)="복습2"), MAX($M$3:M80)+1, "")</f>
        <v/>
      </c>
      <c r="N81" s="28" t="inlineStr">
        <is>
          <t>W04</t>
        </is>
      </c>
      <c r="O81" s="36" t="n">
        <v>46280</v>
      </c>
      <c r="P81" s="30">
        <f>IF(F81&lt;&gt;"","✅ 완료",IF(O81="","-",IF(TODAY()&gt;O81,"🚨 지연","⏳ 예정")))</f>
        <v/>
      </c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21.75" customHeight="1" s="209">
      <c r="A82" s="28" t="n">
        <v>79</v>
      </c>
      <c r="B82" s="28" t="inlineStr">
        <is>
          <t>26940</t>
        </is>
      </c>
      <c r="C82" s="30" t="inlineStr">
        <is>
          <t>D2</t>
        </is>
      </c>
      <c r="D82" s="32" t="inlineStr">
        <is>
          <t>우선 처리판</t>
        </is>
      </c>
      <c r="E82" s="34" t="inlineStr">
        <is>
          <t>자료구조 (우선순위큐 / 우선처리판)</t>
        </is>
      </c>
      <c r="F82" s="36" t="n">
        <v>46280</v>
      </c>
      <c r="G82" s="28" t="n"/>
      <c r="H82" s="28" t="n"/>
      <c r="I82" s="28" t="n"/>
      <c r="J82" s="54">
        <f>IF(OR(ISNUMBER(SEARCH("보류",K82)),ISNUMBER(SEARCH("미룸",K82)),ISNUMBER(SEARCH("나중에",K82)),ISNUMBER(SEARCH("보류",L82)),ISNUMBER(SEARCH("미룸",L82)),ISNUMBER(SEARCH("나중에",L82))),"보류(나중에 풀기)",IF(AND(F82="",G82="",H82="",I82=""),"미완료",IF(I82&lt;&gt;"","복습3(마스터)",IF(H82&lt;&gt;"","복습2",IF(G82&lt;&gt;"","복습1",IF(ISNUMBER(SEARCH("제미나이",K82)),"복습대기(AI도움)",IF(ISNUMBER(SEARCH("간당간당",K82)),"복습대기(간당간당)",IF(OR(ISNUMBER(SEARCH("아이디어",K82)),ISNUMBER(SEARCH("시간초과",K82)),ISNUMBER(SEARCH("자료구조",K82)),ISNUMBER(SEARCH("경계값",K82)),ISNUMBER(SEARCH("다른 풀이",K82)),ISNUMBER(SEARCH("또풀기",K82))),"복습대기",IF(OR(ISNUMBER(SEARCH("복습필요없음",K82)),ISNUMBER(SEARCH("자력완벽",K82))),"품(복습불필요)",IF(F82&lt;&gt;"","품","미완료"))))))))))</f>
        <v/>
      </c>
      <c r="K82" s="32" t="inlineStr">
        <is>
          <t>🤖 제미나이 도움</t>
        </is>
      </c>
      <c r="L82" s="32" t="n"/>
      <c r="M82" s="28">
        <f>IF(OR(LEFT(J82,2)="보류", LEFT(J82,4)="복습대기", LEFT(J82,3)="복습1", LEFT(J82,3)="복습2"), MAX($M$3:M81)+1, "")</f>
        <v/>
      </c>
      <c r="N82" s="28" t="inlineStr">
        <is>
          <t>W04</t>
        </is>
      </c>
      <c r="O82" s="36" t="n">
        <v>46280</v>
      </c>
      <c r="P82" s="30">
        <f>IF(F82&lt;&gt;"","✅ 완료",IF(O82="","-",IF(TODAY()&gt;O82,"🚨 지연","⏳ 예정")))</f>
        <v/>
      </c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21.75" customHeight="1" s="209">
      <c r="A83" s="28" t="n">
        <v>80</v>
      </c>
      <c r="B83" s="28" t="inlineStr">
        <is>
          <t>20230</t>
        </is>
      </c>
      <c r="C83" s="30" t="inlineStr">
        <is>
          <t>D2</t>
        </is>
      </c>
      <c r="D83" s="32" t="inlineStr">
        <is>
          <t>풍선팡 보너스게임2</t>
        </is>
      </c>
      <c r="E83" s="59" t="inlineStr">
        <is>
          <t>시뮬레이션 / 2차원격자 (풍선팡)</t>
        </is>
      </c>
      <c r="F83" s="36" t="n">
        <v>46280</v>
      </c>
      <c r="G83" s="28" t="n"/>
      <c r="H83" s="28" t="n"/>
      <c r="I83" s="28" t="n"/>
      <c r="J83" s="54">
        <f>IF(OR(ISNUMBER(SEARCH("보류",K83)),ISNUMBER(SEARCH("미룸",K83)),ISNUMBER(SEARCH("나중에",K83)),ISNUMBER(SEARCH("보류",L83)),ISNUMBER(SEARCH("미룸",L83)),ISNUMBER(SEARCH("나중에",L83))),"보류(나중에 풀기)",IF(AND(F83="",G83="",H83="",I83=""),"미완료",IF(I83&lt;&gt;"","복습3(마스터)",IF(H83&lt;&gt;"","복습2",IF(G83&lt;&gt;"","복습1",IF(ISNUMBER(SEARCH("제미나이",K83)),"복습대기(AI도움)",IF(ISNUMBER(SEARCH("간당간당",K83)),"복습대기(간당간당)",IF(OR(ISNUMBER(SEARCH("아이디어",K83)),ISNUMBER(SEARCH("시간초과",K83)),ISNUMBER(SEARCH("자료구조",K83)),ISNUMBER(SEARCH("경계값",K83)),ISNUMBER(SEARCH("다른 풀이",K83)),ISNUMBER(SEARCH("또풀기",K83))),"복습대기",IF(OR(ISNUMBER(SEARCH("복습필요없음",K83)),ISNUMBER(SEARCH("자력완벽",K83))),"품(복습불필요)",IF(F83&lt;&gt;"","품","미완료"))))))))))</f>
        <v/>
      </c>
      <c r="K83" s="32" t="inlineStr">
        <is>
          <t>✅ 복습필요없음</t>
        </is>
      </c>
      <c r="L83" s="32" t="inlineStr">
        <is>
          <t>💡 [SWEA 공식 제출 인증: 2026-09-15 17:48]</t>
        </is>
      </c>
      <c r="M83" s="28">
        <f>IF(OR(LEFT(J83,2)="보류", LEFT(J83,4)="복습대기", LEFT(J83,3)="복습1", LEFT(J83,3)="복습2"), MAX($M$3:M82)+1, "")</f>
        <v/>
      </c>
      <c r="N83" s="28" t="inlineStr">
        <is>
          <t>W04</t>
        </is>
      </c>
      <c r="O83" s="36" t="n">
        <v>46280</v>
      </c>
      <c r="P83" s="30">
        <f>IF(F83&lt;&gt;"","✅ 완료",IF(O83="","-",IF(TODAY()&gt;O83,"🚨 지연","⏳ 예정")))</f>
        <v/>
      </c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21.75" customHeight="1" s="209">
      <c r="A84" s="28" t="n">
        <v>81</v>
      </c>
      <c r="B84" s="28" t="inlineStr">
        <is>
          <t>1928</t>
        </is>
      </c>
      <c r="C84" s="30" t="inlineStr">
        <is>
          <t>D2</t>
        </is>
      </c>
      <c r="D84" s="32" t="inlineStr">
        <is>
          <t>Base64 Decoder</t>
        </is>
      </c>
      <c r="E84" s="66" t="inlineStr">
        <is>
          <t>문자열 / 비트연산 (Base64)</t>
        </is>
      </c>
      <c r="F84" s="36" t="n">
        <v>46280</v>
      </c>
      <c r="G84" s="28" t="n"/>
      <c r="H84" s="28" t="n"/>
      <c r="I84" s="28" t="n"/>
      <c r="J84" s="54">
        <f>IF(OR(ISNUMBER(SEARCH("보류",K84)),ISNUMBER(SEARCH("미룸",K84)),ISNUMBER(SEARCH("나중에",K84)),ISNUMBER(SEARCH("보류",L84)),ISNUMBER(SEARCH("미룸",L84)),ISNUMBER(SEARCH("나중에",L84))),"보류(나중에 풀기)",IF(AND(F84="",G84="",H84="",I84=""),"미완료",IF(I84&lt;&gt;"","복습3(마스터)",IF(H84&lt;&gt;"","복습2",IF(G84&lt;&gt;"","복습1",IF(ISNUMBER(SEARCH("제미나이",K84)),"복습대기(AI도움)",IF(ISNUMBER(SEARCH("간당간당",K84)),"복습대기(간당간당)",IF(OR(ISNUMBER(SEARCH("아이디어",K84)),ISNUMBER(SEARCH("시간초과",K84)),ISNUMBER(SEARCH("자료구조",K84)),ISNUMBER(SEARCH("경계값",K84)),ISNUMBER(SEARCH("다른 풀이",K84)),ISNUMBER(SEARCH("또풀기",K84))),"복습대기",IF(OR(ISNUMBER(SEARCH("복습필요없음",K84)),ISNUMBER(SEARCH("자력완벽",K84))),"품(복습불필요)",IF(F84&lt;&gt;"","품","미완료"))))))))))</f>
        <v/>
      </c>
      <c r="K84" s="32" t="inlineStr">
        <is>
          <t>🤖 제미나이 도움</t>
        </is>
      </c>
      <c r="L84" s="32" t="inlineStr">
        <is>
          <t>💡 [SWEA 공식 제출 인증: 2026-09-15 16:54]</t>
        </is>
      </c>
      <c r="M84" s="28">
        <f>IF(OR(LEFT(J84,2)="보류", LEFT(J84,4)="복습대기", LEFT(J84,3)="복습1", LEFT(J84,3)="복습2"), MAX($M$3:M83)+1, "")</f>
        <v/>
      </c>
      <c r="N84" s="28" t="inlineStr">
        <is>
          <t>W04</t>
        </is>
      </c>
      <c r="O84" s="36" t="n">
        <v>46280</v>
      </c>
      <c r="P84" s="30">
        <f>IF(F84&lt;&gt;"","✅ 완료",IF(O84="","-",IF(TODAY()&gt;O84,"🚨 지연","⏳ 예정")))</f>
        <v/>
      </c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21.75" customHeight="1" s="209">
      <c r="A85" s="28" t="n">
        <v>82</v>
      </c>
      <c r="B85" s="28" t="inlineStr">
        <is>
          <t>1940</t>
        </is>
      </c>
      <c r="C85" s="30" t="inlineStr">
        <is>
          <t>D2</t>
        </is>
      </c>
      <c r="D85" s="32" t="inlineStr">
        <is>
          <t>가랏! RC카!</t>
        </is>
      </c>
      <c r="E85" s="59" t="inlineStr">
        <is>
          <t>시뮬레이션 / 구현 (RC카)</t>
        </is>
      </c>
      <c r="F85" s="36" t="n">
        <v>46280</v>
      </c>
      <c r="G85" s="28" t="n"/>
      <c r="H85" s="28" t="n"/>
      <c r="I85" s="28" t="n"/>
      <c r="J85" s="54">
        <f>IF(OR(ISNUMBER(SEARCH("보류",K85)),ISNUMBER(SEARCH("미룸",K85)),ISNUMBER(SEARCH("나중에",K85)),ISNUMBER(SEARCH("보류",L85)),ISNUMBER(SEARCH("미룸",L85)),ISNUMBER(SEARCH("나중에",L85))),"보류(나중에 풀기)",IF(AND(F85="",G85="",H85="",I85=""),"미완료",IF(I85&lt;&gt;"","복습3(마스터)",IF(H85&lt;&gt;"","복습2",IF(G85&lt;&gt;"","복습1",IF(ISNUMBER(SEARCH("제미나이",K85)),"복습대기(AI도움)",IF(ISNUMBER(SEARCH("간당간당",K85)),"복습대기(간당간당)",IF(OR(ISNUMBER(SEARCH("아이디어",K85)),ISNUMBER(SEARCH("시간초과",K85)),ISNUMBER(SEARCH("자료구조",K85)),ISNUMBER(SEARCH("경계값",K85)),ISNUMBER(SEARCH("다른 풀이",K85)),ISNUMBER(SEARCH("또풀기",K85))),"복습대기",IF(OR(ISNUMBER(SEARCH("복습필요없음",K85)),ISNUMBER(SEARCH("자력완벽",K85))),"품(복습불필요)",IF(F85&lt;&gt;"","품","미완료"))))))))))</f>
        <v/>
      </c>
      <c r="K85" s="32" t="inlineStr">
        <is>
          <t>-</t>
        </is>
      </c>
      <c r="L85" s="32" t="inlineStr">
        <is>
          <t>💡 [SWEA 공식 제출 인증: 2026-09-15 16:40]</t>
        </is>
      </c>
      <c r="M85" s="28">
        <f>IF(OR(LEFT(J85,2)="보류", LEFT(J85,4)="복습대기", LEFT(J85,3)="복습1", LEFT(J85,3)="복습2"), MAX($M$3:M84)+1, "")</f>
        <v/>
      </c>
      <c r="N85" s="28" t="inlineStr">
        <is>
          <t>W04</t>
        </is>
      </c>
      <c r="O85" s="36" t="n">
        <v>46280</v>
      </c>
      <c r="P85" s="30">
        <f>IF(F85&lt;&gt;"","✅ 완료",IF(O85="","-",IF(TODAY()&gt;O85,"🚨 지연","⏳ 예정")))</f>
        <v/>
      </c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21.75" customHeight="1" s="209">
      <c r="A86" s="28" t="n">
        <v>83</v>
      </c>
      <c r="B86" s="28" t="inlineStr">
        <is>
          <t>1948</t>
        </is>
      </c>
      <c r="C86" s="30" t="inlineStr">
        <is>
          <t>D2</t>
        </is>
      </c>
      <c r="D86" s="32" t="inlineStr">
        <is>
          <t>날짜 계산기</t>
        </is>
      </c>
      <c r="E86" s="34" t="inlineStr">
        <is>
          <t>수학 / 날짜계산</t>
        </is>
      </c>
      <c r="F86" s="36" t="n">
        <v>46280</v>
      </c>
      <c r="G86" s="28" t="n"/>
      <c r="H86" s="28" t="n"/>
      <c r="I86" s="28" t="n"/>
      <c r="J86" s="54">
        <f>IF(OR(ISNUMBER(SEARCH("보류",K86)),ISNUMBER(SEARCH("미룸",K86)),ISNUMBER(SEARCH("나중에",K86)),ISNUMBER(SEARCH("보류",L86)),ISNUMBER(SEARCH("미룸",L86)),ISNUMBER(SEARCH("나중에",L86))),"보류(나중에 풀기)",IF(AND(F86="",G86="",H86="",I86=""),"미완료",IF(I86&lt;&gt;"","복습3(마스터)",IF(H86&lt;&gt;"","복습2",IF(G86&lt;&gt;"","복습1",IF(ISNUMBER(SEARCH("제미나이",K86)),"복습대기(AI도움)",IF(ISNUMBER(SEARCH("간당간당",K86)),"복습대기(간당간당)",IF(OR(ISNUMBER(SEARCH("아이디어",K86)),ISNUMBER(SEARCH("시간초과",K86)),ISNUMBER(SEARCH("자료구조",K86)),ISNUMBER(SEARCH("경계값",K86)),ISNUMBER(SEARCH("다른 풀이",K86)),ISNUMBER(SEARCH("또풀기",K86))),"복습대기",IF(OR(ISNUMBER(SEARCH("복습필요없음",K86)),ISNUMBER(SEARCH("자력완벽",K86))),"품(복습불필요)",IF(F86&lt;&gt;"","품","미완료"))))))))))</f>
        <v/>
      </c>
      <c r="K86" s="32" t="inlineStr">
        <is>
          <t>-</t>
        </is>
      </c>
      <c r="L86" s="32" t="n"/>
      <c r="M86" s="28">
        <f>IF(OR(LEFT(J86,2)="보류", LEFT(J86,4)="복습대기", LEFT(J86,3)="복습1", LEFT(J86,3)="복습2"), MAX($M$3:M85)+1, "")</f>
        <v/>
      </c>
      <c r="N86" s="28" t="inlineStr">
        <is>
          <t>W04</t>
        </is>
      </c>
      <c r="O86" s="36" t="n">
        <v>46280</v>
      </c>
      <c r="P86" s="30">
        <f>IF(F86&lt;&gt;"","✅ 완료",IF(O86="","-",IF(TODAY()&gt;O86,"🚨 지연","⏳ 예정")))</f>
        <v/>
      </c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21.75" customHeight="1" s="209">
      <c r="A87" s="28" t="n">
        <v>84</v>
      </c>
      <c r="B87" s="28" t="inlineStr">
        <is>
          <t>26935</t>
        </is>
      </c>
      <c r="C87" s="30" t="inlineStr">
        <is>
          <t>D2</t>
        </is>
      </c>
      <c r="D87" s="32" t="inlineStr">
        <is>
          <t>광장 광고탑 회전판</t>
        </is>
      </c>
      <c r="E87" s="34" t="inlineStr">
        <is>
          <t>시뮬레이션 / 구현 (광고탑 회전)</t>
        </is>
      </c>
      <c r="F87" s="36" t="n">
        <v>46281</v>
      </c>
      <c r="G87" s="36" t="n">
        <v>46281</v>
      </c>
      <c r="H87" s="28" t="n"/>
      <c r="I87" s="28" t="n"/>
      <c r="J87" s="54">
        <f>IF(OR(ISNUMBER(SEARCH("보류",K87)),ISNUMBER(SEARCH("미룸",K87)),ISNUMBER(SEARCH("나중에",K87)),ISNUMBER(SEARCH("보류",L87)),ISNUMBER(SEARCH("미룸",L87)),ISNUMBER(SEARCH("나중에",L87))),"보류(나중에 풀기)",IF(AND(F87="",G87="",H87="",I87=""),"미완료",IF(I87&lt;&gt;"","복습3(마스터)",IF(H87&lt;&gt;"","복습2",IF(G87&lt;&gt;"","복습1",IF(ISNUMBER(SEARCH("제미나이",K87)),"복습대기(AI도움)",IF(ISNUMBER(SEARCH("간당간당",K87)),"복습대기(간당간당)",IF(OR(ISNUMBER(SEARCH("아이디어",K87)),ISNUMBER(SEARCH("시간초과",K87)),ISNUMBER(SEARCH("자료구조",K87)),ISNUMBER(SEARCH("경계값",K87)),ISNUMBER(SEARCH("다른 풀이",K87)),ISNUMBER(SEARCH("또풀기",K87))),"복습대기",IF(OR(ISNUMBER(SEARCH("복습필요없음",K87)),ISNUMBER(SEARCH("자력완벽",K87))),"품(복습불필요)",IF(F87&lt;&gt;"","품","미완료"))))))))))</f>
        <v/>
      </c>
      <c r="K87" s="32" t="inlineStr">
        <is>
          <t>-</t>
        </is>
      </c>
      <c r="L87" s="32" t="inlineStr">
        <is>
          <t>💡 [SWEA 공식 제출 인증: 2026-09-16 16:59]</t>
        </is>
      </c>
      <c r="M87" s="28">
        <f>IF(OR(LEFT(J87,2)="보류", LEFT(J87,4)="복습대기", LEFT(J87,3)="복습1", LEFT(J87,3)="복습2"), MAX($M$3:M86)+1, "")</f>
        <v/>
      </c>
      <c r="N87" s="28" t="inlineStr">
        <is>
          <t>W04</t>
        </is>
      </c>
      <c r="O87" s="36" t="n">
        <v>46281</v>
      </c>
      <c r="P87" s="30">
        <f>IF(F87&lt;&gt;"","✅ 완료",IF(O87="","-",IF(TODAY()&gt;O87,"🚨 지연","⏳ 예정")))</f>
        <v/>
      </c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21.75" customHeight="1" s="209">
      <c r="A88" s="28" t="n">
        <v>85</v>
      </c>
      <c r="B88" s="28" t="inlineStr">
        <is>
          <t>26936</t>
        </is>
      </c>
      <c r="C88" s="30" t="inlineStr">
        <is>
          <t>D2</t>
        </is>
      </c>
      <c r="D88" s="32" t="inlineStr">
        <is>
          <t>지하철 최소 이동 구간</t>
        </is>
      </c>
      <c r="E88" s="34" t="inlineStr">
        <is>
          <t>BFS / 최단경로 (지하철 구간)</t>
        </is>
      </c>
      <c r="F88" s="36" t="n">
        <v>46281</v>
      </c>
      <c r="G88" s="36" t="n">
        <v>46281</v>
      </c>
      <c r="H88" s="28" t="n"/>
      <c r="I88" s="28" t="n"/>
      <c r="J88" s="54">
        <f>IF(OR(ISNUMBER(SEARCH("보류",K88)),ISNUMBER(SEARCH("미룸",K88)),ISNUMBER(SEARCH("나중에",K88)),ISNUMBER(SEARCH("보류",L88)),ISNUMBER(SEARCH("미룸",L88)),ISNUMBER(SEARCH("나중에",L88))),"보류(나중에 풀기)",IF(AND(F88="",G88="",H88="",I88=""),"미완료",IF(I88&lt;&gt;"","복습3(마스터)",IF(H88&lt;&gt;"","복습2",IF(G88&lt;&gt;"","복습1",IF(ISNUMBER(SEARCH("제미나이",K88)),"복습대기(AI도움)",IF(ISNUMBER(SEARCH("간당간당",K88)),"복습대기(간당간당)",IF(OR(ISNUMBER(SEARCH("아이디어",K88)),ISNUMBER(SEARCH("시간초과",K88)),ISNUMBER(SEARCH("자료구조",K88)),ISNUMBER(SEARCH("경계값",K88)),ISNUMBER(SEARCH("다른 풀이",K88)),ISNUMBER(SEARCH("또풀기",K88))),"복습대기",IF(OR(ISNUMBER(SEARCH("복습필요없음",K88)),ISNUMBER(SEARCH("자력완벽",K88))),"품(복습불필요)",IF(F88&lt;&gt;"","품","미완료"))))))))))</f>
        <v/>
      </c>
      <c r="K88" s="32" t="inlineStr">
        <is>
          <t>🤖 제미나이 도움</t>
        </is>
      </c>
      <c r="L88" s="32" t="inlineStr">
        <is>
          <t>💡 [SWEA 공식 제출 인증: 2026-09-16 15:26]</t>
        </is>
      </c>
      <c r="M88" s="28">
        <f>IF(OR(LEFT(J88,2)="보류", LEFT(J88,4)="복습대기", LEFT(J88,3)="복습1", LEFT(J88,3)="복습2"), MAX($M$3:M87)+1, "")</f>
        <v/>
      </c>
      <c r="N88" s="28" t="inlineStr">
        <is>
          <t>W04</t>
        </is>
      </c>
      <c r="O88" s="36" t="n">
        <v>46281</v>
      </c>
      <c r="P88" s="30">
        <f>IF(F88&lt;&gt;"","✅ 완료",IF(O88="","-",IF(TODAY()&gt;O88,"🚨 지연","⏳ 예정")))</f>
        <v/>
      </c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21.75" customHeight="1" s="209">
      <c r="A89" s="28" t="n">
        <v>86</v>
      </c>
      <c r="B89" s="28" t="inlineStr">
        <is>
          <t>26939</t>
        </is>
      </c>
      <c r="C89" s="30" t="inlineStr">
        <is>
          <t>D2</t>
        </is>
      </c>
      <c r="D89" s="32" t="inlineStr">
        <is>
          <t>피라미드 진열대의 화분 자리</t>
        </is>
      </c>
      <c r="E89" s="34" t="inlineStr">
        <is>
          <t>시뮬레이션 / 기초구현</t>
        </is>
      </c>
      <c r="F89" s="36" t="n">
        <v>46281</v>
      </c>
      <c r="G89" s="28" t="n"/>
      <c r="H89" s="28" t="n"/>
      <c r="I89" s="28" t="n"/>
      <c r="J89" s="54">
        <f>IF(OR(ISNUMBER(SEARCH("보류",K89)),ISNUMBER(SEARCH("미룸",K89)),ISNUMBER(SEARCH("나중에",K89)),ISNUMBER(SEARCH("보류",L89)),ISNUMBER(SEARCH("미룸",L89)),ISNUMBER(SEARCH("나중에",L89))),"보류(나중에 풀기)",IF(AND(F89="",G89="",H89="",I89=""),"미완료",IF(I89&lt;&gt;"","복습3(마스터)",IF(H89&lt;&gt;"","복습2",IF(G89&lt;&gt;"","복습1",IF(ISNUMBER(SEARCH("제미나이",K89)),"복습대기(AI도움)",IF(ISNUMBER(SEARCH("간당간당",K89)),"복습대기(간당간당)",IF(OR(ISNUMBER(SEARCH("아이디어",K89)),ISNUMBER(SEARCH("시간초과",K89)),ISNUMBER(SEARCH("자료구조",K89)),ISNUMBER(SEARCH("경계값",K89)),ISNUMBER(SEARCH("다른 풀이",K89)),ISNUMBER(SEARCH("또풀기",K89))),"복습대기",IF(OR(ISNUMBER(SEARCH("복습필요없음",K89)),ISNUMBER(SEARCH("자력완벽",K89))),"품(복습불필요)",IF(F89&lt;&gt;"","품","미완료"))))))))))</f>
        <v/>
      </c>
      <c r="K89" s="32" t="inlineStr">
        <is>
          <t>-</t>
        </is>
      </c>
      <c r="L89" s="32" t="inlineStr">
        <is>
          <t>💡 [SWEA 공식 제출 인증: 2026-09-16 13:34]</t>
        </is>
      </c>
      <c r="M89" s="28">
        <f>IF(OR(LEFT(J89,2)="보류", LEFT(J89,4)="복습대기", LEFT(J89,3)="복습1", LEFT(J89,3)="복습2"), MAX($M$3:M88)+1, "")</f>
        <v/>
      </c>
      <c r="N89" s="28" t="inlineStr">
        <is>
          <t>W04</t>
        </is>
      </c>
      <c r="O89" s="36" t="n">
        <v>46281</v>
      </c>
      <c r="P89" s="30">
        <f>IF(F89&lt;&gt;"","✅ 완료",IF(O89="","-",IF(TODAY()&gt;O89,"🚨 지연","⏳ 예정")))</f>
        <v/>
      </c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21.75" customHeight="1" s="209">
      <c r="A90" s="28" t="n">
        <v>87</v>
      </c>
      <c r="B90" s="28" t="inlineStr">
        <is>
          <t>1959</t>
        </is>
      </c>
      <c r="C90" s="30" t="inlineStr">
        <is>
          <t>D2</t>
        </is>
      </c>
      <c r="D90" s="32" t="inlineStr">
        <is>
          <t>두 개의 숫자열</t>
        </is>
      </c>
      <c r="E90" s="59" t="inlineStr">
        <is>
          <t>투포인터 / 슬라이딩윈도우</t>
        </is>
      </c>
      <c r="F90" s="36" t="n">
        <v>46282</v>
      </c>
      <c r="G90" s="28" t="n"/>
      <c r="H90" s="28" t="n"/>
      <c r="I90" s="28" t="n"/>
      <c r="J90" s="54">
        <f>IF(OR(ISNUMBER(SEARCH("보류",K90)),ISNUMBER(SEARCH("미룸",K90)),ISNUMBER(SEARCH("나중에",K90)),ISNUMBER(SEARCH("보류",L90)),ISNUMBER(SEARCH("미룸",L90)),ISNUMBER(SEARCH("나중에",L90))),"보류(나중에 풀기)",IF(AND(F90="",G90="",H90="",I90=""),"미완료",IF(I90&lt;&gt;"","복습3(마스터)",IF(H90&lt;&gt;"","복습2",IF(G90&lt;&gt;"","복습1",IF(ISNUMBER(SEARCH("제미나이",K90)),"복습대기(AI도움)",IF(ISNUMBER(SEARCH("간당간당",K90)),"복습대기(간당간당)",IF(OR(ISNUMBER(SEARCH("아이디어",K90)),ISNUMBER(SEARCH("시간초과",K90)),ISNUMBER(SEARCH("자료구조",K90)),ISNUMBER(SEARCH("경계값",K90)),ISNUMBER(SEARCH("다른 풀이",K90)),ISNUMBER(SEARCH("또풀기",K90))),"복습대기",IF(OR(ISNUMBER(SEARCH("복습필요없음",K90)),ISNUMBER(SEARCH("자력완벽",K90))),"품(복습불필요)",IF(F90&lt;&gt;"","품","미완료"))))))))))</f>
        <v/>
      </c>
      <c r="K90" s="32" t="inlineStr">
        <is>
          <t>-</t>
        </is>
      </c>
      <c r="L90" s="32" t="inlineStr">
        <is>
          <t>💡 [SWEA 공식 제출 인증: 2026-09-17 09:37]</t>
        </is>
      </c>
      <c r="M90" s="28">
        <f>IF(OR(LEFT(J90,2)="보류", LEFT(J90,4)="복습대기", LEFT(J90,3)="복습1", LEFT(J90,3)="복습2"), MAX($M$3:M89)+1, "")</f>
        <v/>
      </c>
      <c r="N90" s="28" t="inlineStr">
        <is>
          <t>W04</t>
        </is>
      </c>
      <c r="O90" s="36" t="n">
        <v>46282</v>
      </c>
      <c r="P90" s="30">
        <f>IF(F90&lt;&gt;"","✅ 완료",IF(O90="","-",IF(TODAY()&gt;O90,"🚨 지연","⏳ 예정")))</f>
        <v/>
      </c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21.75" customHeight="1" s="209">
      <c r="A91" s="28" t="n">
        <v>88</v>
      </c>
      <c r="B91" s="28" t="inlineStr">
        <is>
          <t>1206</t>
        </is>
      </c>
      <c r="C91" s="30" t="inlineStr">
        <is>
          <t>D3</t>
        </is>
      </c>
      <c r="D91" s="32" t="inlineStr">
        <is>
          <t>View</t>
        </is>
      </c>
      <c r="E91" s="34" t="inlineStr">
        <is>
          <t>시뮬레이션 / 구현 (View)</t>
        </is>
      </c>
      <c r="F91" s="36" t="n">
        <v>46282</v>
      </c>
      <c r="G91" s="28" t="n"/>
      <c r="H91" s="28" t="n"/>
      <c r="I91" s="28" t="n"/>
      <c r="J91" s="54">
        <f>IF(OR(ISNUMBER(SEARCH("보류",K91)),ISNUMBER(SEARCH("미룸",K91)),ISNUMBER(SEARCH("나중에",K91)),ISNUMBER(SEARCH("보류",L91)),ISNUMBER(SEARCH("미룸",L91)),ISNUMBER(SEARCH("나중에",L91))),"보류(나중에 풀기)",IF(AND(F91="",G91="",H91="",I91=""),"미완료",IF(I91&lt;&gt;"","복습3(마스터)",IF(H91&lt;&gt;"","복습2",IF(G91&lt;&gt;"","복습1",IF(ISNUMBER(SEARCH("제미나이",K91)),"복습대기(AI도움)",IF(ISNUMBER(SEARCH("간당간당",K91)),"복습대기(간당간당)",IF(OR(ISNUMBER(SEARCH("아이디어",K91)),ISNUMBER(SEARCH("시간초과",K91)),ISNUMBER(SEARCH("자료구조",K91)),ISNUMBER(SEARCH("경계값",K91)),ISNUMBER(SEARCH("다른 풀이",K91)),ISNUMBER(SEARCH("또풀기",K91))),"복습대기",IF(OR(ISNUMBER(SEARCH("복습필요없음",K91)),ISNUMBER(SEARCH("자력완벽",K91))),"품(복습불필요)",IF(F91&lt;&gt;"","품","미완료"))))))))))</f>
        <v/>
      </c>
      <c r="K91" s="32" t="inlineStr">
        <is>
          <t>-</t>
        </is>
      </c>
      <c r="L91" s="32" t="inlineStr">
        <is>
          <t>💡 [SWEA 공식 제출 인증: 2026-09-17 16:50]</t>
        </is>
      </c>
      <c r="M91" s="28">
        <f>IF(OR(LEFT(J91,2)="보류", LEFT(J91,4)="복습대기", LEFT(J91,3)="복습1", LEFT(J91,3)="복습2"), MAX($M$3:M90)+1, "")</f>
        <v/>
      </c>
      <c r="N91" s="28" t="inlineStr">
        <is>
          <t>W04</t>
        </is>
      </c>
      <c r="O91" s="36" t="n">
        <v>46282</v>
      </c>
      <c r="P91" s="30">
        <f>IF(F91&lt;&gt;"","✅ 완료",IF(O91="","-",IF(TODAY()&gt;O91,"🚨 지연","⏳ 예정")))</f>
        <v/>
      </c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21.75" customHeight="1" s="209">
      <c r="A92" s="28" t="n">
        <v>89</v>
      </c>
      <c r="B92" s="28" t="inlineStr">
        <is>
          <t>1213</t>
        </is>
      </c>
      <c r="C92" s="30" t="inlineStr">
        <is>
          <t>D3</t>
        </is>
      </c>
      <c r="D92" s="32" t="inlineStr">
        <is>
          <t>String</t>
        </is>
      </c>
      <c r="E92" s="59" t="inlineStr">
        <is>
          <t>문자열 (String 탐색)</t>
        </is>
      </c>
      <c r="F92" s="36" t="n">
        <v>46282</v>
      </c>
      <c r="G92" s="28" t="n"/>
      <c r="H92" s="28" t="n"/>
      <c r="I92" s="28" t="n"/>
      <c r="J92" s="54">
        <f>IF(OR(ISNUMBER(SEARCH("보류",K92)),ISNUMBER(SEARCH("미룸",K92)),ISNUMBER(SEARCH("나중에",K92)),ISNUMBER(SEARCH("보류",L92)),ISNUMBER(SEARCH("미룸",L92)),ISNUMBER(SEARCH("나중에",L92))),"보류(나중에 풀기)",IF(AND(F92="",G92="",H92="",I92=""),"미완료",IF(I92&lt;&gt;"","복습3(마스터)",IF(H92&lt;&gt;"","복습2",IF(G92&lt;&gt;"","복습1",IF(ISNUMBER(SEARCH("제미나이",K92)),"복습대기(AI도움)",IF(ISNUMBER(SEARCH("간당간당",K92)),"복습대기(간당간당)",IF(OR(ISNUMBER(SEARCH("아이디어",K92)),ISNUMBER(SEARCH("시간초과",K92)),ISNUMBER(SEARCH("자료구조",K92)),ISNUMBER(SEARCH("경계값",K92)),ISNUMBER(SEARCH("다른 풀이",K92)),ISNUMBER(SEARCH("또풀기",K92))),"복습대기",IF(OR(ISNUMBER(SEARCH("복습필요없음",K92)),ISNUMBER(SEARCH("자력완벽",K92))),"품(복습불필요)",IF(F92&lt;&gt;"","품","미완료"))))))))))</f>
        <v/>
      </c>
      <c r="K92" s="32" t="inlineStr">
        <is>
          <t>-</t>
        </is>
      </c>
      <c r="L92" s="32" t="inlineStr">
        <is>
          <t>💡 [SWEA 공식 제출 인증: 2026-09-17 11:47]</t>
        </is>
      </c>
      <c r="M92" s="28">
        <f>IF(OR(LEFT(J92,2)="보류", LEFT(J92,4)="복습대기", LEFT(J92,3)="복습1", LEFT(J92,3)="복습2"), MAX($M$3:M91)+1, "")</f>
        <v/>
      </c>
      <c r="N92" s="28" t="inlineStr">
        <is>
          <t>W04</t>
        </is>
      </c>
      <c r="O92" s="36" t="n">
        <v>46282</v>
      </c>
      <c r="P92" s="30">
        <f>IF(F92&lt;&gt;"","✅ 완료",IF(O92="","-",IF(TODAY()&gt;O92,"🚨 지연","⏳ 예정")))</f>
        <v/>
      </c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21.75" customHeight="1" s="209">
      <c r="A93" s="28" t="n">
        <v>90</v>
      </c>
      <c r="B93" s="28" t="inlineStr">
        <is>
          <t>1215</t>
        </is>
      </c>
      <c r="C93" s="30" t="inlineStr">
        <is>
          <t>D3</t>
        </is>
      </c>
      <c r="D93" s="32" t="inlineStr">
        <is>
          <t>회문1</t>
        </is>
      </c>
      <c r="E93" s="34" t="inlineStr">
        <is>
          <t>문자열 / 회문 (회문1)</t>
        </is>
      </c>
      <c r="F93" s="36" t="n">
        <v>46282</v>
      </c>
      <c r="G93" s="28" t="n"/>
      <c r="H93" s="28" t="n"/>
      <c r="I93" s="28" t="n"/>
      <c r="J93" s="54">
        <f>IF(OR(ISNUMBER(SEARCH("보류",K93)),ISNUMBER(SEARCH("미룸",K93)),ISNUMBER(SEARCH("나중에",K93)),ISNUMBER(SEARCH("보류",L93)),ISNUMBER(SEARCH("미룸",L93)),ISNUMBER(SEARCH("나중에",L93))),"보류(나중에 풀기)",IF(AND(F93="",G93="",H93="",I93=""),"미완료",IF(I93&lt;&gt;"","복습3(마스터)",IF(H93&lt;&gt;"","복습2",IF(G93&lt;&gt;"","복습1",IF(ISNUMBER(SEARCH("제미나이",K93)),"복습대기(AI도움)",IF(ISNUMBER(SEARCH("간당간당",K93)),"복습대기(간당간당)",IF(OR(ISNUMBER(SEARCH("아이디어",K93)),ISNUMBER(SEARCH("시간초과",K93)),ISNUMBER(SEARCH("자료구조",K93)),ISNUMBER(SEARCH("경계값",K93)),ISNUMBER(SEARCH("다른 풀이",K93)),ISNUMBER(SEARCH("또풀기",K93))),"복습대기",IF(OR(ISNUMBER(SEARCH("복습필요없음",K93)),ISNUMBER(SEARCH("자력완벽",K93))),"품(복습불필요)",IF(F93&lt;&gt;"","품","미완료"))))))))))</f>
        <v/>
      </c>
      <c r="K93" s="32" t="inlineStr">
        <is>
          <t>-</t>
        </is>
      </c>
      <c r="L93" s="32" t="inlineStr">
        <is>
          <t>💡 [SWEA 공식 제출 인증: 2026-09-17 11:00]</t>
        </is>
      </c>
      <c r="M93" s="28">
        <f>IF(OR(LEFT(J93,2)="보류", LEFT(J93,4)="복습대기", LEFT(J93,3)="복습1", LEFT(J93,3)="복습2"), MAX($M$3:M92)+1, "")</f>
        <v/>
      </c>
      <c r="N93" s="28" t="inlineStr">
        <is>
          <t>W04</t>
        </is>
      </c>
      <c r="O93" s="36" t="n">
        <v>46282</v>
      </c>
      <c r="P93" s="30">
        <f>IF(F93&lt;&gt;"","✅ 완료",IF(O93="","-",IF(TODAY()&gt;O93,"🚨 지연","⏳ 예정")))</f>
        <v/>
      </c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21.75" customHeight="1" s="209">
      <c r="A94" s="28" t="n">
        <v>91</v>
      </c>
      <c r="B94" s="28" t="inlineStr">
        <is>
          <t>1208</t>
        </is>
      </c>
      <c r="C94" s="30" t="inlineStr">
        <is>
          <t>D3</t>
        </is>
      </c>
      <c r="D94" s="32" t="inlineStr">
        <is>
          <t>Flatten</t>
        </is>
      </c>
      <c r="E94" s="34" t="inlineStr">
        <is>
          <t>그리디 / 시뮬레이션 (Flatten)</t>
        </is>
      </c>
      <c r="F94" s="36" t="n">
        <v>46283</v>
      </c>
      <c r="G94" s="28" t="n"/>
      <c r="H94" s="28" t="n"/>
      <c r="I94" s="28" t="n"/>
      <c r="J94" s="54">
        <f>IF(OR(ISNUMBER(SEARCH("보류",K94)),ISNUMBER(SEARCH("미룸",K94)),ISNUMBER(SEARCH("나중에",K94)),ISNUMBER(SEARCH("보류",L94)),ISNUMBER(SEARCH("미룸",L94)),ISNUMBER(SEARCH("나중에",L94))),"보류(나중에 풀기)",IF(AND(F94="",G94="",H94="",I94=""),"미완료",IF(I94&lt;&gt;"","복습3(마스터)",IF(H94&lt;&gt;"","복습2",IF(G94&lt;&gt;"","복습1",IF(ISNUMBER(SEARCH("제미나이",K94)),"복습대기(AI도움)",IF(ISNUMBER(SEARCH("간당간당",K94)),"복습대기(간당간당)",IF(OR(ISNUMBER(SEARCH("아이디어",K94)),ISNUMBER(SEARCH("시간초과",K94)),ISNUMBER(SEARCH("자료구조",K94)),ISNUMBER(SEARCH("경계값",K94)),ISNUMBER(SEARCH("다른 풀이",K94)),ISNUMBER(SEARCH("또풀기",K94))),"복습대기",IF(OR(ISNUMBER(SEARCH("복습필요없음",K94)),ISNUMBER(SEARCH("자력완벽",K94))),"품(복습불필요)",IF(F94&lt;&gt;"","품","미완료"))))))))))</f>
        <v/>
      </c>
      <c r="K94" s="32" t="inlineStr">
        <is>
          <t>-</t>
        </is>
      </c>
      <c r="L94" s="32" t="inlineStr">
        <is>
          <t>💡 [SWEA 공식 제출 인증: 2026-09-18 09:53]</t>
        </is>
      </c>
      <c r="M94" s="28">
        <f>IF(OR(LEFT(J94,2)="보류", LEFT(J94,4)="복습대기", LEFT(J94,3)="복습1", LEFT(J94,3)="복습2"), MAX($M$3:M93)+1, "")</f>
        <v/>
      </c>
      <c r="N94" s="28" t="inlineStr">
        <is>
          <t>W04</t>
        </is>
      </c>
      <c r="O94" s="36" t="n">
        <v>46283</v>
      </c>
      <c r="P94" s="30">
        <f>IF(F94&lt;&gt;"","✅ 완료",IF(O94="","-",IF(TODAY()&gt;O94,"🚨 지연","⏳ 예정")))</f>
        <v/>
      </c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21.75" customHeight="1" s="209">
      <c r="A95" s="28" t="n">
        <v>92</v>
      </c>
      <c r="B95" s="28" t="inlineStr">
        <is>
          <t>1209</t>
        </is>
      </c>
      <c r="C95" s="30" t="inlineStr">
        <is>
          <t>D3</t>
        </is>
      </c>
      <c r="D95" s="32" t="inlineStr">
        <is>
          <t>Sum</t>
        </is>
      </c>
      <c r="E95" s="34" t="inlineStr">
        <is>
          <t>구현 / 2차원격자 (Sum)</t>
        </is>
      </c>
      <c r="F95" s="36" t="n">
        <v>46283</v>
      </c>
      <c r="G95" s="28" t="n"/>
      <c r="H95" s="28" t="n"/>
      <c r="I95" s="28" t="n"/>
      <c r="J95" s="54">
        <f>IF(OR(ISNUMBER(SEARCH("보류",K95)),ISNUMBER(SEARCH("미룸",K95)),ISNUMBER(SEARCH("나중에",K95)),ISNUMBER(SEARCH("보류",L95)),ISNUMBER(SEARCH("미룸",L95)),ISNUMBER(SEARCH("나중에",L95))),"보류(나중에 풀기)",IF(AND(F95="",G95="",H95="",I95=""),"미완료",IF(I95&lt;&gt;"","복습3(마스터)",IF(H95&lt;&gt;"","복습2",IF(G95&lt;&gt;"","복습1",IF(ISNUMBER(SEARCH("제미나이",K95)),"복습대기(AI도움)",IF(ISNUMBER(SEARCH("간당간당",K95)),"복습대기(간당간당)",IF(OR(ISNUMBER(SEARCH("아이디어",K95)),ISNUMBER(SEARCH("시간초과",K95)),ISNUMBER(SEARCH("자료구조",K95)),ISNUMBER(SEARCH("경계값",K95)),ISNUMBER(SEARCH("다른 풀이",K95)),ISNUMBER(SEARCH("또풀기",K95))),"복습대기",IF(OR(ISNUMBER(SEARCH("복습필요없음",K95)),ISNUMBER(SEARCH("자력완벽",K95))),"품(복습불필요)",IF(F95&lt;&gt;"","품","미완료"))))))))))</f>
        <v/>
      </c>
      <c r="K95" s="32" t="inlineStr">
        <is>
          <t>-</t>
        </is>
      </c>
      <c r="L95" s="32" t="inlineStr">
        <is>
          <t>💡 [SWEA 공식 제출 인증: 2026-09-18 09:22]</t>
        </is>
      </c>
      <c r="M95" s="28">
        <f>IF(OR(LEFT(J95,2)="보류", LEFT(J95,4)="복습대기", LEFT(J95,3)="복습1", LEFT(J95,3)="복습2"), MAX($M$3:M94)+1, "")</f>
        <v/>
      </c>
      <c r="N95" s="28" t="inlineStr">
        <is>
          <t>W04</t>
        </is>
      </c>
      <c r="O95" s="36" t="n">
        <v>46283</v>
      </c>
      <c r="P95" s="30">
        <f>IF(F95&lt;&gt;"","✅ 완료",IF(O95="","-",IF(TODAY()&gt;O95,"🚨 지연","⏳ 예정")))</f>
        <v/>
      </c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21.75" customHeight="1" s="209">
      <c r="A96" s="28" t="n">
        <v>93</v>
      </c>
      <c r="B96" s="28" t="inlineStr">
        <is>
          <t>1217</t>
        </is>
      </c>
      <c r="C96" s="30" t="inlineStr">
        <is>
          <t>D3</t>
        </is>
      </c>
      <c r="D96" s="32" t="inlineStr">
        <is>
          <t>거듭 제곱</t>
        </is>
      </c>
      <c r="E96" s="66" t="inlineStr">
        <is>
          <t>재귀 / 거듭제곱</t>
        </is>
      </c>
      <c r="F96" s="36" t="n">
        <v>46283</v>
      </c>
      <c r="G96" s="28" t="n"/>
      <c r="H96" s="28" t="n"/>
      <c r="I96" s="28" t="n"/>
      <c r="J96" s="54">
        <f>IF(OR(ISNUMBER(SEARCH("보류",K96)),ISNUMBER(SEARCH("미룸",K96)),ISNUMBER(SEARCH("나중에",K96)),ISNUMBER(SEARCH("보류",L96)),ISNUMBER(SEARCH("미룸",L96)),ISNUMBER(SEARCH("나중에",L96))),"보류(나중에 풀기)",IF(AND(F96="",G96="",H96="",I96=""),"미완료",IF(I96&lt;&gt;"","복습3(마스터)",IF(H96&lt;&gt;"","복습2",IF(G96&lt;&gt;"","복습1",IF(ISNUMBER(SEARCH("제미나이",K96)),"복습대기(AI도움)",IF(ISNUMBER(SEARCH("간당간당",K96)),"복습대기(간당간당)",IF(OR(ISNUMBER(SEARCH("아이디어",K96)),ISNUMBER(SEARCH("시간초과",K96)),ISNUMBER(SEARCH("자료구조",K96)),ISNUMBER(SEARCH("경계값",K96)),ISNUMBER(SEARCH("다른 풀이",K96)),ISNUMBER(SEARCH("또풀기",K96))),"복습대기",IF(OR(ISNUMBER(SEARCH("복습필요없음",K96)),ISNUMBER(SEARCH("자력완벽",K96))),"품(복습불필요)",IF(F96&lt;&gt;"","품","미완료"))))))))))</f>
        <v/>
      </c>
      <c r="K96" s="32" t="inlineStr">
        <is>
          <t>-</t>
        </is>
      </c>
      <c r="L96" s="32" t="inlineStr">
        <is>
          <t>💡 [SWEA 공식 제출 인증: 2026-09-18 09:34]</t>
        </is>
      </c>
      <c r="M96" s="28">
        <f>IF(OR(LEFT(J96,2)="보류", LEFT(J96,4)="복습대기", LEFT(J96,3)="복습1", LEFT(J96,3)="복습2"), MAX($M$3:M95)+1, "")</f>
        <v/>
      </c>
      <c r="N96" s="28" t="inlineStr">
        <is>
          <t>W04</t>
        </is>
      </c>
      <c r="O96" s="36" t="n">
        <v>46283</v>
      </c>
      <c r="P96" s="30">
        <f>IF(F96&lt;&gt;"","✅ 완료",IF(O96="","-",IF(TODAY()&gt;O96,"🚨 지연","⏳ 예정")))</f>
        <v/>
      </c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21.75" customHeight="1" s="209">
      <c r="A97" s="28" t="n">
        <v>94</v>
      </c>
      <c r="B97" s="28" t="inlineStr">
        <is>
          <t>1221</t>
        </is>
      </c>
      <c r="C97" s="30" t="inlineStr">
        <is>
          <t>D3</t>
        </is>
      </c>
      <c r="D97" s="32" t="inlineStr">
        <is>
          <t>GNS</t>
        </is>
      </c>
      <c r="E97" s="34" t="inlineStr">
        <is>
          <t>문자열 / 정렬 (GNS)</t>
        </is>
      </c>
      <c r="F97" s="36" t="n">
        <v>46283</v>
      </c>
      <c r="G97" s="28" t="n"/>
      <c r="H97" s="28" t="n"/>
      <c r="I97" s="28" t="n"/>
      <c r="J97" s="54">
        <f>IF(OR(ISNUMBER(SEARCH("보류",K97)),ISNUMBER(SEARCH("미룸",K97)),ISNUMBER(SEARCH("나중에",K97)),ISNUMBER(SEARCH("보류",L97)),ISNUMBER(SEARCH("미룸",L97)),ISNUMBER(SEARCH("나중에",L97))),"보류(나중에 풀기)",IF(AND(F97="",G97="",H97="",I97=""),"미완료",IF(I97&lt;&gt;"","복습3(마스터)",IF(H97&lt;&gt;"","복습2",IF(G97&lt;&gt;"","복습1",IF(ISNUMBER(SEARCH("제미나이",K97)),"복습대기(AI도움)",IF(ISNUMBER(SEARCH("간당간당",K97)),"복습대기(간당간당)",IF(OR(ISNUMBER(SEARCH("아이디어",K97)),ISNUMBER(SEARCH("시간초과",K97)),ISNUMBER(SEARCH("자료구조",K97)),ISNUMBER(SEARCH("경계값",K97)),ISNUMBER(SEARCH("다른 풀이",K97)),ISNUMBER(SEARCH("또풀기",K97))),"복습대기",IF(OR(ISNUMBER(SEARCH("복습필요없음",K97)),ISNUMBER(SEARCH("자력완벽",K97))),"품(복습불필요)",IF(F97&lt;&gt;"","품","미완료"))))))))))</f>
        <v/>
      </c>
      <c r="K97" s="32" t="inlineStr">
        <is>
          <t>-</t>
        </is>
      </c>
      <c r="L97" s="32" t="inlineStr">
        <is>
          <t>💡 [SWEA 공식 제출 인증: 2026-09-18 14:03]</t>
        </is>
      </c>
      <c r="M97" s="28">
        <f>IF(OR(LEFT(J97,2)="보류", LEFT(J97,4)="복습대기", LEFT(J97,3)="복습1", LEFT(J97,3)="복습2"), MAX($M$3:M96)+1, "")</f>
        <v/>
      </c>
      <c r="N97" s="28" t="inlineStr">
        <is>
          <t>W04</t>
        </is>
      </c>
      <c r="O97" s="36" t="n">
        <v>46283</v>
      </c>
      <c r="P97" s="30">
        <f>IF(F97&lt;&gt;"","✅ 완료",IF(O97="","-",IF(TODAY()&gt;O97,"🚨 지연","⏳ 예정")))</f>
        <v/>
      </c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21.75" customHeight="1" s="209">
      <c r="A98" s="28" t="n">
        <v>95</v>
      </c>
      <c r="B98" s="28" t="inlineStr">
        <is>
          <t>1228</t>
        </is>
      </c>
      <c r="C98" s="30" t="inlineStr">
        <is>
          <t>D3</t>
        </is>
      </c>
      <c r="D98" s="32" t="inlineStr">
        <is>
          <t>암호문1</t>
        </is>
      </c>
      <c r="E98" s="66" t="inlineStr">
        <is>
          <t>자료구조 (연결리스트 / 암호문1)</t>
        </is>
      </c>
      <c r="F98" s="36" t="n">
        <v>46283</v>
      </c>
      <c r="G98" s="28" t="n"/>
      <c r="H98" s="28" t="n"/>
      <c r="I98" s="28" t="n"/>
      <c r="J98" s="54">
        <f>IF(OR(ISNUMBER(SEARCH("보류",K98)),ISNUMBER(SEARCH("미룸",K98)),ISNUMBER(SEARCH("나중에",K98)),ISNUMBER(SEARCH("보류",L98)),ISNUMBER(SEARCH("미룸",L98)),ISNUMBER(SEARCH("나중에",L98))),"보류(나중에 풀기)",IF(AND(F98="",G98="",H98="",I98=""),"미완료",IF(I98&lt;&gt;"","복습3(마스터)",IF(H98&lt;&gt;"","복습2",IF(G98&lt;&gt;"","복습1",IF(ISNUMBER(SEARCH("제미나이",K98)),"복습대기(AI도움)",IF(ISNUMBER(SEARCH("간당간당",K98)),"복습대기(간당간당)",IF(OR(ISNUMBER(SEARCH("아이디어",K98)),ISNUMBER(SEARCH("시간초과",K98)),ISNUMBER(SEARCH("자료구조",K98)),ISNUMBER(SEARCH("경계값",K98)),ISNUMBER(SEARCH("다른 풀이",K98)),ISNUMBER(SEARCH("또풀기",K98))),"복습대기",IF(OR(ISNUMBER(SEARCH("복습필요없음",K98)),ISNUMBER(SEARCH("자력완벽",K98))),"품(복습불필요)",IF(F98&lt;&gt;"","품","미완료"))))))))))</f>
        <v/>
      </c>
      <c r="K98" s="32" t="inlineStr">
        <is>
          <t>-</t>
        </is>
      </c>
      <c r="L98" s="32" t="inlineStr">
        <is>
          <t>💡 [2026.09.18 17:00 제출 인증] 단순 연결 리스트/배열 기반 삽입 명령어(I) 처리</t>
        </is>
      </c>
      <c r="M98" s="28">
        <f>IF(OR(LEFT(J98,2)="보류", LEFT(J98,4)="복습대기", LEFT(J98,3)="복습1", LEFT(J98,3)="복습2"), MAX($M$3:M97)+1, "")</f>
        <v/>
      </c>
      <c r="N98" s="28" t="inlineStr">
        <is>
          <t>W04</t>
        </is>
      </c>
      <c r="O98" s="36" t="n">
        <v>46283</v>
      </c>
      <c r="P98" s="30">
        <f>IF(F98&lt;&gt;"","✅ 완료",IF(O98="","-",IF(TODAY()&gt;O98,"🚨 지연","⏳ 예정")))</f>
        <v/>
      </c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21.75" customHeight="1" s="209">
      <c r="A99" s="28" t="n">
        <v>96</v>
      </c>
      <c r="B99" s="28" t="inlineStr">
        <is>
          <t>1230</t>
        </is>
      </c>
      <c r="C99" s="30" t="inlineStr">
        <is>
          <t>D3</t>
        </is>
      </c>
      <c r="D99" s="32" t="inlineStr">
        <is>
          <t>암호문3</t>
        </is>
      </c>
      <c r="E99" s="59" t="inlineStr">
        <is>
          <t>자료구조 (연결리스트 / 암호문3)</t>
        </is>
      </c>
      <c r="F99" s="36" t="n">
        <v>46283</v>
      </c>
      <c r="G99" s="28" t="n"/>
      <c r="H99" s="28" t="n"/>
      <c r="I99" s="28" t="n"/>
      <c r="J99" s="54">
        <f>IF(OR(ISNUMBER(SEARCH("보류",K99)),ISNUMBER(SEARCH("미룸",K99)),ISNUMBER(SEARCH("나중에",K99)),ISNUMBER(SEARCH("보류",L99)),ISNUMBER(SEARCH("미룸",L99)),ISNUMBER(SEARCH("나중에",L99))),"보류(나중에 풀기)",IF(AND(F99="",G99="",H99="",I99=""),"미완료",IF(I99&lt;&gt;"","복습3(마스터)",IF(H99&lt;&gt;"","복습2",IF(G99&lt;&gt;"","복습1",IF(ISNUMBER(SEARCH("제미나이",K99)),"복습대기(AI도움)",IF(ISNUMBER(SEARCH("간당간당",K99)),"복습대기(간당간당)",IF(OR(ISNUMBER(SEARCH("아이디어",K99)),ISNUMBER(SEARCH("시간초과",K99)),ISNUMBER(SEARCH("자료구조",K99)),ISNUMBER(SEARCH("경계값",K99)),ISNUMBER(SEARCH("다른 풀이",K99)),ISNUMBER(SEARCH("또풀기",K99))),"복습대기",IF(OR(ISNUMBER(SEARCH("복습필요없음",K99)),ISNUMBER(SEARCH("자력완벽",K99))),"품(복습불필요)",IF(F99&lt;&gt;"","품","미완료"))))))))))</f>
        <v/>
      </c>
      <c r="K99" s="32" t="inlineStr">
        <is>
          <t>-</t>
        </is>
      </c>
      <c r="L99" s="32" t="inlineStr">
        <is>
          <t>💡 [2026.09.18 17:08 제출 인증] 삽입(I), 삭제(D), 추가(A) 복합 명령어 리스트 처리</t>
        </is>
      </c>
      <c r="M99" s="28">
        <f>IF(OR(LEFT(J99,2)="보류", LEFT(J99,4)="복습대기", LEFT(J99,3)="복습1", LEFT(J99,3)="복습2"), MAX($M$3:M98)+1, "")</f>
        <v/>
      </c>
      <c r="N99" s="28" t="inlineStr">
        <is>
          <t>W04</t>
        </is>
      </c>
      <c r="O99" s="36" t="n">
        <v>46283</v>
      </c>
      <c r="P99" s="30">
        <f>IF(F99&lt;&gt;"","✅ 완료",IF(O99="","-",IF(TODAY()&gt;O99,"🚨 지연","⏳ 예정")))</f>
        <v/>
      </c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21.75" customHeight="1" s="209">
      <c r="A100" s="28" t="n">
        <v>97</v>
      </c>
      <c r="B100" s="28" t="inlineStr">
        <is>
          <t>1218</t>
        </is>
      </c>
      <c r="C100" s="30" t="inlineStr">
        <is>
          <t>D4</t>
        </is>
      </c>
      <c r="D100" s="32" t="inlineStr">
        <is>
          <t>괄호 짝짓기</t>
        </is>
      </c>
      <c r="E100" s="59" t="inlineStr">
        <is>
          <t>자료구조 (스택 / 괄호)</t>
        </is>
      </c>
      <c r="F100" s="36" t="n">
        <v>46286</v>
      </c>
      <c r="G100" s="28" t="n"/>
      <c r="H100" s="28" t="n"/>
      <c r="I100" s="28" t="n"/>
      <c r="J100" s="54">
        <f>IF(OR(ISNUMBER(SEARCH("보류",K100)),ISNUMBER(SEARCH("미룸",K100)),ISNUMBER(SEARCH("나중에",K100)),ISNUMBER(SEARCH("보류",L100)),ISNUMBER(SEARCH("미룸",L100)),ISNUMBER(SEARCH("나중에",L100))),"보류(나중에 풀기)",IF(AND(F100="",G100="",H100="",I100=""),"미완료",IF(I100&lt;&gt;"","복습3(마스터)",IF(H100&lt;&gt;"","복습2",IF(G100&lt;&gt;"","복습1",IF(ISNUMBER(SEARCH("제미나이",K100)),"복습대기(AI도움)",IF(ISNUMBER(SEARCH("간당간당",K100)),"복습대기(간당간당)",IF(OR(ISNUMBER(SEARCH("아이디어",K100)),ISNUMBER(SEARCH("시간초과",K100)),ISNUMBER(SEARCH("자료구조",K100)),ISNUMBER(SEARCH("경계값",K100)),ISNUMBER(SEARCH("다른 풀이",K100)),ISNUMBER(SEARCH("또풀기",K100))),"복습대기",IF(OR(ISNUMBER(SEARCH("복습필요없음",K100)),ISNUMBER(SEARCH("자력완벽",K100))),"품(복습불필요)",IF(F100&lt;&gt;"","품","미완료"))))))))))</f>
        <v/>
      </c>
      <c r="K100" s="32" t="inlineStr">
        <is>
          <t>-</t>
        </is>
      </c>
      <c r="L100" s="32" t="inlineStr">
        <is>
          <t>💡 [2026.09.21 16:26 제출 인증] 4종 괄호 스택 매칭 유효성 판별</t>
        </is>
      </c>
      <c r="M100" s="28">
        <f>IF(OR(LEFT(J100,2)="보류", LEFT(J100,4)="복습대기", LEFT(J100,3)="복습1", LEFT(J100,3)="복습2"), MAX($M$3:M99)+1, "")</f>
        <v/>
      </c>
      <c r="N100" s="28" t="inlineStr">
        <is>
          <t>W05</t>
        </is>
      </c>
      <c r="O100" s="36" t="n">
        <v>46286</v>
      </c>
      <c r="P100" s="30">
        <f>IF(F100&lt;&gt;"","✅ 완료",IF(O100="","-",IF(TODAY()&gt;O100,"🚨 지연","⏳ 예정")))</f>
        <v/>
      </c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21.75" customHeight="1" s="209">
      <c r="A101" s="28" t="n">
        <v>98</v>
      </c>
      <c r="B101" s="28" t="inlineStr">
        <is>
          <t>5432</t>
        </is>
      </c>
      <c r="C101" s="30" t="inlineStr">
        <is>
          <t>D4</t>
        </is>
      </c>
      <c r="D101" s="32" t="inlineStr">
        <is>
          <t>쇠막대기 자르기</t>
        </is>
      </c>
      <c r="E101" s="59" t="inlineStr">
        <is>
          <t>자료구조 (스택 / 쇠막대기)</t>
        </is>
      </c>
      <c r="F101" s="36" t="n">
        <v>46286</v>
      </c>
      <c r="G101" s="28" t="n"/>
      <c r="H101" s="28" t="n"/>
      <c r="I101" s="28" t="n"/>
      <c r="J101" s="54">
        <f>IF(OR(ISNUMBER(SEARCH("보류",K101)),ISNUMBER(SEARCH("미룸",K101)),ISNUMBER(SEARCH("나중에",K101)),ISNUMBER(SEARCH("보류",L101)),ISNUMBER(SEARCH("미룸",L101)),ISNUMBER(SEARCH("나중에",L101))),"보류(나중에 풀기)",IF(AND(F101="",G101="",H101="",I101=""),"미완료",IF(I101&lt;&gt;"","복습3(마스터)",IF(H101&lt;&gt;"","복습2",IF(G101&lt;&gt;"","복습1",IF(ISNUMBER(SEARCH("제미나이",K101)),"복습대기(AI도움)",IF(ISNUMBER(SEARCH("간당간당",K101)),"복습대기(간당간당)",IF(OR(ISNUMBER(SEARCH("아이디어",K101)),ISNUMBER(SEARCH("시간초과",K101)),ISNUMBER(SEARCH("자료구조",K101)),ISNUMBER(SEARCH("경계값",K101)),ISNUMBER(SEARCH("다른 풀이",K101)),ISNUMBER(SEARCH("또풀기",K101))),"복습대기",IF(OR(ISNUMBER(SEARCH("복습필요없음",K101)),ISNUMBER(SEARCH("자력완벽",K101))),"품(복습불필요)",IF(F101&lt;&gt;"","품","미완료"))))))))))</f>
        <v/>
      </c>
      <c r="K101" s="32" t="inlineStr">
        <is>
          <t>-</t>
        </is>
      </c>
      <c r="L101" s="32" t="inlineStr">
        <is>
          <t>💡 [2026.09.21 18:02 제출 인증] 스택 활용 레이저 및 쇠막대기 절단 조각 카운팅</t>
        </is>
      </c>
      <c r="M101" s="28">
        <f>IF(OR(LEFT(J101,2)="보류", LEFT(J101,4)="복습대기", LEFT(J101,3)="복습1", LEFT(J101,3)="복습2"), MAX($M$3:M100)+1, "")</f>
        <v/>
      </c>
      <c r="N101" s="28" t="inlineStr">
        <is>
          <t>W05</t>
        </is>
      </c>
      <c r="O101" s="36" t="n">
        <v>46286</v>
      </c>
      <c r="P101" s="30">
        <f>IF(F101&lt;&gt;"","✅ 완료",IF(O101="","-",IF(TODAY()&gt;O101,"🚨 지연","⏳ 예정")))</f>
        <v/>
      </c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21.75" customHeight="1" s="209">
      <c r="A102" s="28" t="n">
        <v>99</v>
      </c>
      <c r="B102" s="28" t="inlineStr">
        <is>
          <t>1216</t>
        </is>
      </c>
      <c r="C102" s="30" t="inlineStr">
        <is>
          <t>D3</t>
        </is>
      </c>
      <c r="D102" s="32" t="inlineStr">
        <is>
          <t>회문2</t>
        </is>
      </c>
      <c r="E102" s="34" t="inlineStr">
        <is>
          <t>문자열 / 회문 (회문2)</t>
        </is>
      </c>
      <c r="F102" s="36" t="n">
        <v>46287</v>
      </c>
      <c r="G102" s="28" t="n"/>
      <c r="H102" s="28" t="n"/>
      <c r="I102" s="28" t="n"/>
      <c r="J102" s="54">
        <f>IF(OR(ISNUMBER(SEARCH("보류",K102)),ISNUMBER(SEARCH("미룸",K102)),ISNUMBER(SEARCH("나중에",K102)),ISNUMBER(SEARCH("보류",L102)),ISNUMBER(SEARCH("미룸",L102)),ISNUMBER(SEARCH("나중에",L102))),"보류(나중에 풀기)",IF(AND(F102="",G102="",H102="",I102=""),"미완료",IF(I102&lt;&gt;"","복습3(마스터)",IF(H102&lt;&gt;"","복습2",IF(G102&lt;&gt;"","복습1",IF(ISNUMBER(SEARCH("제미나이",K102)),"복습대기(AI도움)",IF(ISNUMBER(SEARCH("간당간당",K102)),"복습대기(간당간당)",IF(OR(ISNUMBER(SEARCH("아이디어",K102)),ISNUMBER(SEARCH("시간초과",K102)),ISNUMBER(SEARCH("자료구조",K102)),ISNUMBER(SEARCH("경계값",K102)),ISNUMBER(SEARCH("다른 풀이",K102)),ISNUMBER(SEARCH("또풀기",K102))),"복습대기",IF(OR(ISNUMBER(SEARCH("복습필요없음",K102)),ISNUMBER(SEARCH("자력완벽",K102))),"품(복습불필요)",IF(F102&lt;&gt;"","품","미완료"))))))))))</f>
        <v/>
      </c>
      <c r="K102" s="32" t="inlineStr">
        <is>
          <t>-</t>
        </is>
      </c>
      <c r="L102" s="32" t="inlineStr">
        <is>
          <t>💡 [2026.09.22 16:07 제출 인증] 100x100 글자판 가로/세로 최장 회문 길이 탐색</t>
        </is>
      </c>
      <c r="M102" s="28">
        <f>IF(OR(LEFT(J102,2)="보류", LEFT(J102,4)="복습대기", LEFT(J102,3)="복습1", LEFT(J102,3)="복습2"), MAX($M$3:M101)+1, "")</f>
        <v/>
      </c>
      <c r="N102" s="28" t="inlineStr">
        <is>
          <t>W05</t>
        </is>
      </c>
      <c r="O102" s="36" t="n">
        <v>46287</v>
      </c>
      <c r="P102" s="30">
        <f>IF(F102&lt;&gt;"","✅ 완료",IF(O102="","-",IF(TODAY()&gt;O102,"🚨 지연","⏳ 예정")))</f>
        <v/>
      </c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21.75" customHeight="1" s="209">
      <c r="A103" s="28" t="n">
        <v>100</v>
      </c>
      <c r="B103" s="28" t="inlineStr">
        <is>
          <t>16546</t>
        </is>
      </c>
      <c r="C103" s="30" t="inlineStr">
        <is>
          <t>D8</t>
        </is>
      </c>
      <c r="D103" s="32" t="inlineStr">
        <is>
          <t>Baby-gin_실습</t>
        </is>
      </c>
      <c r="E103" s="34" t="inlineStr">
        <is>
          <t>완전탐색 / 그리디</t>
        </is>
      </c>
      <c r="F103" s="36" t="n">
        <v>46291</v>
      </c>
      <c r="G103" s="28" t="n"/>
      <c r="H103" s="28" t="n"/>
      <c r="I103" s="28" t="n"/>
      <c r="J103" s="54">
        <f>IF(OR(ISNUMBER(SEARCH("보류",K103)),ISNUMBER(SEARCH("미룸",K103)),ISNUMBER(SEARCH("나중에",K103)),ISNUMBER(SEARCH("보류",L103)),ISNUMBER(SEARCH("미룸",L103)),ISNUMBER(SEARCH("나중에",L103))),"보류(나중에 풀기)",IF(AND(F103="",G103="",H103="",I103=""),"미완료",IF(I103&lt;&gt;"","복습3(마스터)",IF(H103&lt;&gt;"","복습2",IF(G103&lt;&gt;"","복습1",IF(ISNUMBER(SEARCH("제미나이",K103)),"복습대기(AI도움)",IF(ISNUMBER(SEARCH("간당간당",K103)),"복습대기(간당간당)",IF(OR(ISNUMBER(SEARCH("아이디어",K103)),ISNUMBER(SEARCH("시간초과",K103)),ISNUMBER(SEARCH("자료구조",K103)),ISNUMBER(SEARCH("경계값",K103)),ISNUMBER(SEARCH("다른 풀이",K103)),ISNUMBER(SEARCH("또풀기",K103))),"복습대기",IF(OR(ISNUMBER(SEARCH("복습필요없음",K103)),ISNUMBER(SEARCH("자력완벽",K103))),"품(복습불필요)",IF(F103&lt;&gt;"","품","미완료"))))))))))</f>
        <v/>
      </c>
      <c r="K103" s="32" t="inlineStr">
        <is>
          <t>-</t>
        </is>
      </c>
      <c r="L103" s="32" t="inlineStr">
        <is>
          <t>💡 [2026.09.26 17:45 제출 인증] 완전탐색/그리디 기반 Baby-gin 유효성 판별 실습</t>
        </is>
      </c>
      <c r="M103" s="28">
        <f>IF(OR(LEFT(J103,2)="보류", LEFT(J103,4)="복습대기", LEFT(J103,3)="복습1", LEFT(J103,3)="복습2"), MAX($M$3:M102)+1, "")</f>
        <v/>
      </c>
      <c r="N103" s="28" t="inlineStr">
        <is>
          <t>W05</t>
        </is>
      </c>
      <c r="O103" s="36" t="n">
        <v>46291</v>
      </c>
      <c r="P103" s="30">
        <f>IF(F103&lt;&gt;"","✅ 완료",IF(O103="","-",IF(TODAY()&gt;O103,"🚨 지연","⏳ 예정")))</f>
        <v/>
      </c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21.75" customHeight="1" s="209">
      <c r="A104" s="28" t="n">
        <v>101</v>
      </c>
      <c r="B104" s="28" t="inlineStr">
        <is>
          <t>26942</t>
        </is>
      </c>
      <c r="C104" s="30" t="inlineStr">
        <is>
          <t>D2</t>
        </is>
      </c>
      <c r="D104" s="32" t="inlineStr">
        <is>
          <t>가전 설정 코드 풀기</t>
        </is>
      </c>
      <c r="E104" s="34" t="inlineStr">
        <is>
          <t>시뮬레이션 / 기초구현</t>
        </is>
      </c>
      <c r="F104" s="28" t="n"/>
      <c r="G104" s="28" t="n"/>
      <c r="H104" s="28" t="n"/>
      <c r="I104" s="28" t="n"/>
      <c r="J104" s="54">
        <f>IF(OR(ISNUMBER(SEARCH("보류",K104)),ISNUMBER(SEARCH("미룸",K104)),ISNUMBER(SEARCH("나중에",K104)),ISNUMBER(SEARCH("보류",L104)),ISNUMBER(SEARCH("미룸",L104)),ISNUMBER(SEARCH("나중에",L104))),"보류(나중에 풀기)",IF(AND(F104="",G104="",H104="",I104=""),"미완료",IF(I104&lt;&gt;"","복습3(마스터)",IF(H104&lt;&gt;"","복습2",IF(G104&lt;&gt;"","복습1",IF(ISNUMBER(SEARCH("제미나이",K104)),"복습대기(AI도움)",IF(ISNUMBER(SEARCH("간당간당",K104)),"복습대기(간당간당)",IF(OR(ISNUMBER(SEARCH("아이디어",K104)),ISNUMBER(SEARCH("시간초과",K104)),ISNUMBER(SEARCH("자료구조",K104)),ISNUMBER(SEARCH("경계값",K104)),ISNUMBER(SEARCH("다른 풀이",K104)),ISNUMBER(SEARCH("또풀기",K104))),"복습대기",IF(OR(ISNUMBER(SEARCH("복습필요없음",K104)),ISNUMBER(SEARCH("자력완벽",K104))),"품(복습불필요)",IF(F104&lt;&gt;"","품","미완료"))))))))))</f>
        <v/>
      </c>
      <c r="K104" s="32" t="inlineStr">
        <is>
          <t>-</t>
        </is>
      </c>
      <c r="L104" s="32" t="n"/>
      <c r="M104" s="28">
        <f>IF(OR(LEFT(J104,2)="보류", LEFT(J104,4)="복습대기", LEFT(J104,3)="복습1", LEFT(J104,3)="복습2"), MAX($M$3:M103)+1, "")</f>
        <v/>
      </c>
      <c r="N104" s="28" t="inlineStr">
        <is>
          <t>W06</t>
        </is>
      </c>
      <c r="O104" s="36" t="n">
        <v>46293</v>
      </c>
      <c r="P104" s="30">
        <f>IF(F104&lt;&gt;"","✅ 완료",IF(O104="","-",IF(TODAY()&gt;O104,"🚨 지연","⏳ 예정")))</f>
        <v/>
      </c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21.75" customHeight="1" s="209">
      <c r="A105" s="28" t="n">
        <v>102</v>
      </c>
      <c r="B105" s="28" t="inlineStr">
        <is>
          <t>26953</t>
        </is>
      </c>
      <c r="C105" s="30" t="inlineStr">
        <is>
          <t>D2</t>
        </is>
      </c>
      <c r="D105" s="32" t="inlineStr">
        <is>
          <t>화물 입고 코드 점검</t>
        </is>
      </c>
      <c r="E105" s="34" t="inlineStr">
        <is>
          <t>시뮬레이션 / 기초구현</t>
        </is>
      </c>
      <c r="F105" s="28" t="n"/>
      <c r="G105" s="28" t="n"/>
      <c r="H105" s="28" t="n"/>
      <c r="I105" s="28" t="n"/>
      <c r="J105" s="54">
        <f>IF(OR(ISNUMBER(SEARCH("보류",K105)),ISNUMBER(SEARCH("미룸",K105)),ISNUMBER(SEARCH("나중에",K105)),ISNUMBER(SEARCH("보류",L105)),ISNUMBER(SEARCH("미룸",L105)),ISNUMBER(SEARCH("나중에",L105))),"보류(나중에 풀기)",IF(AND(F105="",G105="",H105="",I105=""),"미완료",IF(I105&lt;&gt;"","복습3(마스터)",IF(H105&lt;&gt;"","복습2",IF(G105&lt;&gt;"","복습1",IF(ISNUMBER(SEARCH("제미나이",K105)),"복습대기(AI도움)",IF(ISNUMBER(SEARCH("간당간당",K105)),"복습대기(간당간당)",IF(OR(ISNUMBER(SEARCH("아이디어",K105)),ISNUMBER(SEARCH("시간초과",K105)),ISNUMBER(SEARCH("자료구조",K105)),ISNUMBER(SEARCH("경계값",K105)),ISNUMBER(SEARCH("다른 풀이",K105)),ISNUMBER(SEARCH("또풀기",K105))),"복습대기",IF(OR(ISNUMBER(SEARCH("복습필요없음",K105)),ISNUMBER(SEARCH("자력완벽",K105))),"품(복습불필요)",IF(F105&lt;&gt;"","품","미완료"))))))))))</f>
        <v/>
      </c>
      <c r="K105" s="32" t="inlineStr">
        <is>
          <t>-</t>
        </is>
      </c>
      <c r="L105" s="32" t="n"/>
      <c r="M105" s="28">
        <f>IF(OR(LEFT(J105,2)="보류", LEFT(J105,4)="복습대기", LEFT(J105,3)="복습1", LEFT(J105,3)="복습2"), MAX($M$3:M104)+1, "")</f>
        <v/>
      </c>
      <c r="N105" s="28" t="inlineStr">
        <is>
          <t>W06</t>
        </is>
      </c>
      <c r="O105" s="36" t="n">
        <v>46293</v>
      </c>
      <c r="P105" s="30">
        <f>IF(F105&lt;&gt;"","✅ 완료",IF(O105="","-",IF(TODAY()&gt;O105,"🚨 지연","⏳ 예정")))</f>
        <v/>
      </c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21.75" customHeight="1" s="209">
      <c r="A106" s="28" t="n">
        <v>103</v>
      </c>
      <c r="B106" s="28" t="inlineStr">
        <is>
          <t>25052</t>
        </is>
      </c>
      <c r="C106" s="30" t="inlineStr">
        <is>
          <t>D2</t>
        </is>
      </c>
      <c r="D106" s="32" t="inlineStr">
        <is>
          <t>등산로</t>
        </is>
      </c>
      <c r="E106" s="34" t="inlineStr">
        <is>
          <t>시뮬레이션 / 기초구현</t>
        </is>
      </c>
      <c r="F106" s="28" t="n"/>
      <c r="G106" s="28" t="n"/>
      <c r="H106" s="28" t="n"/>
      <c r="I106" s="28" t="n"/>
      <c r="J106" s="54">
        <f>IF(OR(ISNUMBER(SEARCH("보류",K106)),ISNUMBER(SEARCH("미룸",K106)),ISNUMBER(SEARCH("나중에",K106)),ISNUMBER(SEARCH("보류",L106)),ISNUMBER(SEARCH("미룸",L106)),ISNUMBER(SEARCH("나중에",L106))),"보류(나중에 풀기)",IF(AND(F106="",G106="",H106="",I106=""),"미완료",IF(I106&lt;&gt;"","복습3(마스터)",IF(H106&lt;&gt;"","복습2",IF(G106&lt;&gt;"","복습1",IF(ISNUMBER(SEARCH("제미나이",K106)),"복습대기(AI도움)",IF(ISNUMBER(SEARCH("간당간당",K106)),"복습대기(간당간당)",IF(OR(ISNUMBER(SEARCH("아이디어",K106)),ISNUMBER(SEARCH("시간초과",K106)),ISNUMBER(SEARCH("자료구조",K106)),ISNUMBER(SEARCH("경계값",K106)),ISNUMBER(SEARCH("다른 풀이",K106)),ISNUMBER(SEARCH("또풀기",K106))),"복습대기",IF(OR(ISNUMBER(SEARCH("복습필요없음",K106)),ISNUMBER(SEARCH("자력완벽",K106))),"품(복습불필요)",IF(F106&lt;&gt;"","품","미완료"))))))))))</f>
        <v/>
      </c>
      <c r="K106" s="32" t="inlineStr">
        <is>
          <t>🤖 제미나이 도움</t>
        </is>
      </c>
      <c r="L106" s="32" t="n"/>
      <c r="M106" s="28">
        <f>IF(OR(LEFT(J106,2)="보류", LEFT(J106,4)="복습대기", LEFT(J106,3)="복습1", LEFT(J106,3)="복습2"), MAX($M$3:M105)+1, "")</f>
        <v/>
      </c>
      <c r="N106" s="28" t="inlineStr">
        <is>
          <t>W06</t>
        </is>
      </c>
      <c r="O106" s="36" t="n">
        <v>46293</v>
      </c>
      <c r="P106" s="30">
        <f>IF(F106&lt;&gt;"","✅ 완료",IF(O106="","-",IF(TODAY()&gt;O106,"🚨 지연","⏳ 예정")))</f>
        <v/>
      </c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21.75" customHeight="1" s="209">
      <c r="A107" s="28" t="n">
        <v>104</v>
      </c>
      <c r="B107" s="28" t="inlineStr">
        <is>
          <t>25985</t>
        </is>
      </c>
      <c r="C107" s="30" t="inlineStr">
        <is>
          <t>D2</t>
        </is>
      </c>
      <c r="D107" s="32" t="inlineStr">
        <is>
          <t>숫자열의 최대 곱</t>
        </is>
      </c>
      <c r="E107" s="34" t="inlineStr">
        <is>
          <t>수학 / 정수론</t>
        </is>
      </c>
      <c r="F107" s="28" t="n"/>
      <c r="G107" s="28" t="n"/>
      <c r="H107" s="28" t="n"/>
      <c r="I107" s="28" t="n"/>
      <c r="J107" s="54">
        <f>IF(OR(ISNUMBER(SEARCH("보류",K107)),ISNUMBER(SEARCH("미룸",K107)),ISNUMBER(SEARCH("나중에",K107)),ISNUMBER(SEARCH("보류",L107)),ISNUMBER(SEARCH("미룸",L107)),ISNUMBER(SEARCH("나중에",L107))),"보류(나중에 풀기)",IF(AND(F107="",G107="",H107="",I107=""),"미완료",IF(I107&lt;&gt;"","복습3(마스터)",IF(H107&lt;&gt;"","복습2",IF(G107&lt;&gt;"","복습1",IF(ISNUMBER(SEARCH("제미나이",K107)),"복습대기(AI도움)",IF(ISNUMBER(SEARCH("간당간당",K107)),"복습대기(간당간당)",IF(OR(ISNUMBER(SEARCH("아이디어",K107)),ISNUMBER(SEARCH("시간초과",K107)),ISNUMBER(SEARCH("자료구조",K107)),ISNUMBER(SEARCH("경계값",K107)),ISNUMBER(SEARCH("다른 풀이",K107)),ISNUMBER(SEARCH("또풀기",K107))),"복습대기",IF(OR(ISNUMBER(SEARCH("복습필요없음",K107)),ISNUMBER(SEARCH("자력완벽",K107))),"품(복습불필요)",IF(F107&lt;&gt;"","품","미완료"))))))))))</f>
        <v/>
      </c>
      <c r="K107" s="32" t="inlineStr">
        <is>
          <t>-</t>
        </is>
      </c>
      <c r="L107" s="32" t="n"/>
      <c r="M107" s="28">
        <f>IF(OR(LEFT(J107,2)="보류", LEFT(J107,4)="복습대기", LEFT(J107,3)="복습1", LEFT(J107,3)="복습2"), MAX($M$3:M106)+1, "")</f>
        <v/>
      </c>
      <c r="N107" s="28" t="inlineStr">
        <is>
          <t>W06</t>
        </is>
      </c>
      <c r="O107" s="36" t="n">
        <v>46293</v>
      </c>
      <c r="P107" s="30">
        <f>IF(F107&lt;&gt;"","✅ 완료",IF(O107="","-",IF(TODAY()&gt;O107,"🚨 지연","⏳ 예정")))</f>
        <v/>
      </c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21.75" customHeight="1" s="209">
      <c r="A108" s="28" t="n">
        <v>105</v>
      </c>
      <c r="B108" s="28" t="inlineStr">
        <is>
          <t>26059</t>
        </is>
      </c>
      <c r="C108" s="30" t="inlineStr">
        <is>
          <t>D2</t>
        </is>
      </c>
      <c r="D108" s="32" t="inlineStr">
        <is>
          <t>과일 등급 분류</t>
        </is>
      </c>
      <c r="E108" s="34" t="inlineStr">
        <is>
          <t>시뮬레이션 / 기초구현</t>
        </is>
      </c>
      <c r="F108" s="28" t="n"/>
      <c r="G108" s="28" t="n"/>
      <c r="H108" s="28" t="n"/>
      <c r="I108" s="28" t="n"/>
      <c r="J108" s="54">
        <f>IF(OR(ISNUMBER(SEARCH("보류",K108)),ISNUMBER(SEARCH("미룸",K108)),ISNUMBER(SEARCH("나중에",K108)),ISNUMBER(SEARCH("보류",L108)),ISNUMBER(SEARCH("미룸",L108)),ISNUMBER(SEARCH("나중에",L108))),"보류(나중에 풀기)",IF(AND(F108="",G108="",H108="",I108=""),"미완료",IF(I108&lt;&gt;"","복습3(마스터)",IF(H108&lt;&gt;"","복습2",IF(G108&lt;&gt;"","복습1",IF(ISNUMBER(SEARCH("제미나이",K108)),"복습대기(AI도움)",IF(ISNUMBER(SEARCH("간당간당",K108)),"복습대기(간당간당)",IF(OR(ISNUMBER(SEARCH("아이디어",K108)),ISNUMBER(SEARCH("시간초과",K108)),ISNUMBER(SEARCH("자료구조",K108)),ISNUMBER(SEARCH("경계값",K108)),ISNUMBER(SEARCH("다른 풀이",K108)),ISNUMBER(SEARCH("또풀기",K108))),"복습대기",IF(OR(ISNUMBER(SEARCH("복습필요없음",K108)),ISNUMBER(SEARCH("자력완벽",K108))),"품(복습불필요)",IF(F108&lt;&gt;"","품","미완료"))))))))))</f>
        <v/>
      </c>
      <c r="K108" s="32" t="inlineStr">
        <is>
          <t>-</t>
        </is>
      </c>
      <c r="L108" s="32" t="n"/>
      <c r="M108" s="28">
        <f>IF(OR(LEFT(J108,2)="보류", LEFT(J108,4)="복습대기", LEFT(J108,3)="복습1", LEFT(J108,3)="복습2"), MAX($M$3:M107)+1, "")</f>
        <v/>
      </c>
      <c r="N108" s="28" t="inlineStr">
        <is>
          <t>W06</t>
        </is>
      </c>
      <c r="O108" s="36" t="n">
        <v>46293</v>
      </c>
      <c r="P108" s="30">
        <f>IF(F108&lt;&gt;"","✅ 완료",IF(O108="","-",IF(TODAY()&gt;O108,"🚨 지연","⏳ 예정")))</f>
        <v/>
      </c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21.75" customHeight="1" s="209">
      <c r="A109" s="28" t="n">
        <v>106</v>
      </c>
      <c r="B109" s="28" t="inlineStr">
        <is>
          <t>27019</t>
        </is>
      </c>
      <c r="C109" s="30" t="inlineStr">
        <is>
          <t>D2</t>
        </is>
      </c>
      <c r="D109" s="32" t="inlineStr">
        <is>
          <t>진료 대기시간 최소 순서</t>
        </is>
      </c>
      <c r="E109" s="34" t="inlineStr">
        <is>
          <t>시뮬레이션 / 기초구현</t>
        </is>
      </c>
      <c r="F109" s="28" t="n"/>
      <c r="G109" s="28" t="n"/>
      <c r="H109" s="28" t="n"/>
      <c r="I109" s="28" t="n"/>
      <c r="J109" s="54">
        <f>IF(OR(ISNUMBER(SEARCH("보류",K109)),ISNUMBER(SEARCH("미룸",K109)),ISNUMBER(SEARCH("나중에",K109)),ISNUMBER(SEARCH("보류",L109)),ISNUMBER(SEARCH("미룸",L109)),ISNUMBER(SEARCH("나중에",L109))),"보류(나중에 풀기)",IF(AND(F109="",G109="",H109="",I109=""),"미완료",IF(I109&lt;&gt;"","복습3(마스터)",IF(H109&lt;&gt;"","복습2",IF(G109&lt;&gt;"","복습1",IF(ISNUMBER(SEARCH("제미나이",K109)),"복습대기(AI도움)",IF(ISNUMBER(SEARCH("간당간당",K109)),"복습대기(간당간당)",IF(OR(ISNUMBER(SEARCH("아이디어",K109)),ISNUMBER(SEARCH("시간초과",K109)),ISNUMBER(SEARCH("자료구조",K109)),ISNUMBER(SEARCH("경계값",K109)),ISNUMBER(SEARCH("다른 풀이",K109)),ISNUMBER(SEARCH("또풀기",K109))),"복습대기",IF(OR(ISNUMBER(SEARCH("복습필요없음",K109)),ISNUMBER(SEARCH("자력완벽",K109))),"품(복습불필요)",IF(F109&lt;&gt;"","품","미완료"))))))))))</f>
        <v/>
      </c>
      <c r="K109" s="32" t="inlineStr">
        <is>
          <t>-</t>
        </is>
      </c>
      <c r="L109" s="32" t="n"/>
      <c r="M109" s="28">
        <f>IF(OR(LEFT(J109,2)="보류", LEFT(J109,4)="복습대기", LEFT(J109,3)="복습1", LEFT(J109,3)="복습2"), MAX($M$3:M108)+1, "")</f>
        <v/>
      </c>
      <c r="N109" s="28" t="inlineStr">
        <is>
          <t>W06</t>
        </is>
      </c>
      <c r="O109" s="36" t="n">
        <v>46293</v>
      </c>
      <c r="P109" s="30">
        <f>IF(F109&lt;&gt;"","✅ 완료",IF(O109="","-",IF(TODAY()&gt;O109,"🚨 지연","⏳ 예정")))</f>
        <v/>
      </c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21.75" customHeight="1" s="209">
      <c r="A110" s="28" t="n">
        <v>107</v>
      </c>
      <c r="B110" s="28" t="inlineStr">
        <is>
          <t>27020</t>
        </is>
      </c>
      <c r="C110" s="30" t="inlineStr">
        <is>
          <t>D2</t>
        </is>
      </c>
      <c r="D110" s="32" t="inlineStr">
        <is>
          <t>인접 구역 색칠 경우의 수</t>
        </is>
      </c>
      <c r="E110" s="34" t="inlineStr">
        <is>
          <t>시뮬레이션 / 기초구현</t>
        </is>
      </c>
      <c r="F110" s="28" t="n"/>
      <c r="G110" s="28" t="n"/>
      <c r="H110" s="28" t="n"/>
      <c r="I110" s="28" t="n"/>
      <c r="J110" s="54">
        <f>IF(OR(ISNUMBER(SEARCH("보류",K110)),ISNUMBER(SEARCH("미룸",K110)),ISNUMBER(SEARCH("나중에",K110)),ISNUMBER(SEARCH("보류",L110)),ISNUMBER(SEARCH("미룸",L110)),ISNUMBER(SEARCH("나중에",L110))),"보류(나중에 풀기)",IF(AND(F110="",G110="",H110="",I110=""),"미완료",IF(I110&lt;&gt;"","복습3(마스터)",IF(H110&lt;&gt;"","복습2",IF(G110&lt;&gt;"","복습1",IF(ISNUMBER(SEARCH("제미나이",K110)),"복습대기(AI도움)",IF(ISNUMBER(SEARCH("간당간당",K110)),"복습대기(간당간당)",IF(OR(ISNUMBER(SEARCH("아이디어",K110)),ISNUMBER(SEARCH("시간초과",K110)),ISNUMBER(SEARCH("자료구조",K110)),ISNUMBER(SEARCH("경계값",K110)),ISNUMBER(SEARCH("다른 풀이",K110)),ISNUMBER(SEARCH("또풀기",K110))),"복습대기",IF(OR(ISNUMBER(SEARCH("복습필요없음",K110)),ISNUMBER(SEARCH("자력완벽",K110))),"품(복습불필요)",IF(F110&lt;&gt;"","품","미완료"))))))))))</f>
        <v/>
      </c>
      <c r="K110" s="32" t="inlineStr">
        <is>
          <t>-</t>
        </is>
      </c>
      <c r="L110" s="32" t="n"/>
      <c r="M110" s="28">
        <f>IF(OR(LEFT(J110,2)="보류", LEFT(J110,4)="복습대기", LEFT(J110,3)="복습1", LEFT(J110,3)="복습2"), MAX($M$3:M109)+1, "")</f>
        <v/>
      </c>
      <c r="N110" s="28" t="inlineStr">
        <is>
          <t>W06</t>
        </is>
      </c>
      <c r="O110" s="36" t="n">
        <v>46293</v>
      </c>
      <c r="P110" s="30">
        <f>IF(F110&lt;&gt;"","✅ 완료",IF(O110="","-",IF(TODAY()&gt;O110,"🚨 지연","⏳ 예정")))</f>
        <v/>
      </c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21.75" customHeight="1" s="209">
      <c r="A111" s="28" t="n">
        <v>108</v>
      </c>
      <c r="B111" s="28" t="inlineStr">
        <is>
          <t>27021</t>
        </is>
      </c>
      <c r="C111" s="30" t="inlineStr">
        <is>
          <t>D2</t>
        </is>
      </c>
      <c r="D111" s="32" t="inlineStr">
        <is>
          <t>용량별 상자로 나눠 담기 경우의 수</t>
        </is>
      </c>
      <c r="E111" s="34" t="inlineStr">
        <is>
          <t>시뮬레이션 / 기초구현</t>
        </is>
      </c>
      <c r="F111" s="28" t="n"/>
      <c r="G111" s="28" t="n"/>
      <c r="H111" s="28" t="n"/>
      <c r="I111" s="28" t="n"/>
      <c r="J111" s="54">
        <f>IF(OR(ISNUMBER(SEARCH("보류",K111)),ISNUMBER(SEARCH("미룸",K111)),ISNUMBER(SEARCH("나중에",K111)),ISNUMBER(SEARCH("보류",L111)),ISNUMBER(SEARCH("미룸",L111)),ISNUMBER(SEARCH("나중에",L111))),"보류(나중에 풀기)",IF(AND(F111="",G111="",H111="",I111=""),"미완료",IF(I111&lt;&gt;"","복습3(마스터)",IF(H111&lt;&gt;"","복습2",IF(G111&lt;&gt;"","복습1",IF(ISNUMBER(SEARCH("제미나이",K111)),"복습대기(AI도움)",IF(ISNUMBER(SEARCH("간당간당",K111)),"복습대기(간당간당)",IF(OR(ISNUMBER(SEARCH("아이디어",K111)),ISNUMBER(SEARCH("시간초과",K111)),ISNUMBER(SEARCH("자료구조",K111)),ISNUMBER(SEARCH("경계값",K111)),ISNUMBER(SEARCH("다른 풀이",K111)),ISNUMBER(SEARCH("또풀기",K111))),"복습대기",IF(OR(ISNUMBER(SEARCH("복습필요없음",K111)),ISNUMBER(SEARCH("자력완벽",K111))),"품(복습불필요)",IF(F111&lt;&gt;"","품","미완료"))))))))))</f>
        <v/>
      </c>
      <c r="K111" s="32" t="inlineStr">
        <is>
          <t>-</t>
        </is>
      </c>
      <c r="L111" s="32" t="n"/>
      <c r="M111" s="28">
        <f>IF(OR(LEFT(J111,2)="보류", LEFT(J111,4)="복습대기", LEFT(J111,3)="복습1", LEFT(J111,3)="복습2"), MAX($M$3:M110)+1, "")</f>
        <v/>
      </c>
      <c r="N111" s="28" t="inlineStr">
        <is>
          <t>W06</t>
        </is>
      </c>
      <c r="O111" s="36" t="n">
        <v>46293</v>
      </c>
      <c r="P111" s="30">
        <f>IF(F111&lt;&gt;"","✅ 완료",IF(O111="","-",IF(TODAY()&gt;O111,"🚨 지연","⏳ 예정")))</f>
        <v/>
      </c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21.75" customHeight="1" s="209">
      <c r="A112" s="28" t="n">
        <v>109</v>
      </c>
      <c r="B112" s="28" t="inlineStr">
        <is>
          <t>27022</t>
        </is>
      </c>
      <c r="C112" s="30" t="inlineStr">
        <is>
          <t>D2</t>
        </is>
      </c>
      <c r="D112" s="32" t="inlineStr">
        <is>
          <t>하나 걸러 수확 최대</t>
        </is>
      </c>
      <c r="E112" s="34" t="inlineStr">
        <is>
          <t>시뮬레이션 / 기초구현</t>
        </is>
      </c>
      <c r="F112" s="28" t="n"/>
      <c r="G112" s="28" t="n"/>
      <c r="H112" s="28" t="n"/>
      <c r="I112" s="28" t="n"/>
      <c r="J112" s="54">
        <f>IF(OR(ISNUMBER(SEARCH("보류",K112)),ISNUMBER(SEARCH("미룸",K112)),ISNUMBER(SEARCH("나중에",K112)),ISNUMBER(SEARCH("보류",L112)),ISNUMBER(SEARCH("미룸",L112)),ISNUMBER(SEARCH("나중에",L112))),"보류(나중에 풀기)",IF(AND(F112="",G112="",H112="",I112=""),"미완료",IF(I112&lt;&gt;"","복습3(마스터)",IF(H112&lt;&gt;"","복습2",IF(G112&lt;&gt;"","복습1",IF(ISNUMBER(SEARCH("제미나이",K112)),"복습대기(AI도움)",IF(ISNUMBER(SEARCH("간당간당",K112)),"복습대기(간당간당)",IF(OR(ISNUMBER(SEARCH("아이디어",K112)),ISNUMBER(SEARCH("시간초과",K112)),ISNUMBER(SEARCH("자료구조",K112)),ISNUMBER(SEARCH("경계값",K112)),ISNUMBER(SEARCH("다른 풀이",K112)),ISNUMBER(SEARCH("또풀기",K112))),"복습대기",IF(OR(ISNUMBER(SEARCH("복습필요없음",K112)),ISNUMBER(SEARCH("자력완벽",K112))),"품(복습불필요)",IF(F112&lt;&gt;"","품","미완료"))))))))))</f>
        <v/>
      </c>
      <c r="K112" s="32" t="inlineStr">
        <is>
          <t>-</t>
        </is>
      </c>
      <c r="L112" s="32" t="n"/>
      <c r="M112" s="28">
        <f>IF(OR(LEFT(J112,2)="보류", LEFT(J112,4)="복습대기", LEFT(J112,3)="복습1", LEFT(J112,3)="복습2"), MAX($M$3:M111)+1, "")</f>
        <v/>
      </c>
      <c r="N112" s="28" t="inlineStr">
        <is>
          <t>W06</t>
        </is>
      </c>
      <c r="O112" s="36" t="n">
        <v>46294</v>
      </c>
      <c r="P112" s="30">
        <f>IF(F112&lt;&gt;"","✅ 완료",IF(O112="","-",IF(TODAY()&gt;O112,"🚨 지연","⏳ 예정")))</f>
        <v/>
      </c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21.75" customHeight="1" s="209">
      <c r="A113" s="28" t="n">
        <v>110</v>
      </c>
      <c r="B113" s="28" t="inlineStr">
        <is>
          <t>27024</t>
        </is>
      </c>
      <c r="C113" s="30" t="inlineStr">
        <is>
          <t>D2</t>
        </is>
      </c>
      <c r="D113" s="32" t="inlineStr">
        <is>
          <t>줄 서기 앞뒤 삽입</t>
        </is>
      </c>
      <c r="E113" s="34" t="inlineStr">
        <is>
          <t>시뮬레이션 / 기초구현</t>
        </is>
      </c>
      <c r="F113" s="28" t="n"/>
      <c r="G113" s="28" t="n"/>
      <c r="H113" s="28" t="n"/>
      <c r="I113" s="28" t="n"/>
      <c r="J113" s="54">
        <f>IF(OR(ISNUMBER(SEARCH("보류",K113)),ISNUMBER(SEARCH("미룸",K113)),ISNUMBER(SEARCH("나중에",K113)),ISNUMBER(SEARCH("보류",L113)),ISNUMBER(SEARCH("미룸",L113)),ISNUMBER(SEARCH("나중에",L113))),"보류(나중에 풀기)",IF(AND(F113="",G113="",H113="",I113=""),"미완료",IF(I113&lt;&gt;"","복습3(마스터)",IF(H113&lt;&gt;"","복습2",IF(G113&lt;&gt;"","복습1",IF(ISNUMBER(SEARCH("제미나이",K113)),"복습대기(AI도움)",IF(ISNUMBER(SEARCH("간당간당",K113)),"복습대기(간당간당)",IF(OR(ISNUMBER(SEARCH("아이디어",K113)),ISNUMBER(SEARCH("시간초과",K113)),ISNUMBER(SEARCH("자료구조",K113)),ISNUMBER(SEARCH("경계값",K113)),ISNUMBER(SEARCH("다른 풀이",K113)),ISNUMBER(SEARCH("또풀기",K113))),"복습대기",IF(OR(ISNUMBER(SEARCH("복습필요없음",K113)),ISNUMBER(SEARCH("자력완벽",K113))),"품(복습불필요)",IF(F113&lt;&gt;"","품","미완료"))))))))))</f>
        <v/>
      </c>
      <c r="K113" s="32" t="inlineStr">
        <is>
          <t>-</t>
        </is>
      </c>
      <c r="L113" s="32" t="n"/>
      <c r="M113" s="28">
        <f>IF(OR(LEFT(J113,2)="보류", LEFT(J113,4)="복습대기", LEFT(J113,3)="복습1", LEFT(J113,3)="복습2"), MAX($M$3:M112)+1, "")</f>
        <v/>
      </c>
      <c r="N113" s="28" t="inlineStr">
        <is>
          <t>W06</t>
        </is>
      </c>
      <c r="O113" s="36" t="n">
        <v>46294</v>
      </c>
      <c r="P113" s="30">
        <f>IF(F113&lt;&gt;"","✅ 완료",IF(O113="","-",IF(TODAY()&gt;O113,"🚨 지연","⏳ 예정")))</f>
        <v/>
      </c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21.75" customHeight="1" s="209">
      <c r="A114" s="28" t="n">
        <v>111</v>
      </c>
      <c r="B114" s="28" t="inlineStr">
        <is>
          <t>27025</t>
        </is>
      </c>
      <c r="C114" s="30" t="inlineStr">
        <is>
          <t>D2</t>
        </is>
      </c>
      <c r="D114" s="32" t="inlineStr">
        <is>
          <t>동아리 명단 중도 취소자 제거</t>
        </is>
      </c>
      <c r="E114" s="34" t="inlineStr">
        <is>
          <t>시뮬레이션 / 기초구현</t>
        </is>
      </c>
      <c r="F114" s="28" t="n"/>
      <c r="G114" s="28" t="n"/>
      <c r="H114" s="28" t="n"/>
      <c r="I114" s="28" t="n"/>
      <c r="J114" s="54">
        <f>IF(OR(ISNUMBER(SEARCH("보류",K114)),ISNUMBER(SEARCH("미룸",K114)),ISNUMBER(SEARCH("나중에",K114)),ISNUMBER(SEARCH("보류",L114)),ISNUMBER(SEARCH("미룸",L114)),ISNUMBER(SEARCH("나중에",L114))),"보류(나중에 풀기)",IF(AND(F114="",G114="",H114="",I114=""),"미완료",IF(I114&lt;&gt;"","복습3(마스터)",IF(H114&lt;&gt;"","복습2",IF(G114&lt;&gt;"","복습1",IF(ISNUMBER(SEARCH("제미나이",K114)),"복습대기(AI도움)",IF(ISNUMBER(SEARCH("간당간당",K114)),"복습대기(간당간당)",IF(OR(ISNUMBER(SEARCH("아이디어",K114)),ISNUMBER(SEARCH("시간초과",K114)),ISNUMBER(SEARCH("자료구조",K114)),ISNUMBER(SEARCH("경계값",K114)),ISNUMBER(SEARCH("다른 풀이",K114)),ISNUMBER(SEARCH("또풀기",K114))),"복습대기",IF(OR(ISNUMBER(SEARCH("복습필요없음",K114)),ISNUMBER(SEARCH("자력완벽",K114))),"품(복습불필요)",IF(F114&lt;&gt;"","품","미완료"))))))))))</f>
        <v/>
      </c>
      <c r="K114" s="32" t="inlineStr">
        <is>
          <t>-</t>
        </is>
      </c>
      <c r="L114" s="32" t="n"/>
      <c r="M114" s="28">
        <f>IF(OR(LEFT(J114,2)="보류", LEFT(J114,4)="복습대기", LEFT(J114,3)="복습1", LEFT(J114,3)="복습2"), MAX($M$3:M113)+1, "")</f>
        <v/>
      </c>
      <c r="N114" s="28" t="inlineStr">
        <is>
          <t>W06</t>
        </is>
      </c>
      <c r="O114" s="36" t="n">
        <v>46294</v>
      </c>
      <c r="P114" s="30">
        <f>IF(F114&lt;&gt;"","✅ 완료",IF(O114="","-",IF(TODAY()&gt;O114,"🚨 지연","⏳ 예정")))</f>
        <v/>
      </c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21.75" customHeight="1" s="209">
      <c r="A115" s="28" t="n">
        <v>112</v>
      </c>
      <c r="B115" s="28" t="inlineStr">
        <is>
          <t>26943</t>
        </is>
      </c>
      <c r="C115" s="30" t="inlineStr">
        <is>
          <t>D2</t>
        </is>
      </c>
      <c r="D115" s="32" t="inlineStr">
        <is>
          <t>수위계의 이진 눈금</t>
        </is>
      </c>
      <c r="E115" s="34" t="inlineStr">
        <is>
          <t>이진탐색 (Binary Search)</t>
        </is>
      </c>
      <c r="F115" s="28" t="n"/>
      <c r="G115" s="28" t="n"/>
      <c r="H115" s="28" t="n"/>
      <c r="I115" s="28" t="n"/>
      <c r="J115" s="54">
        <f>IF(OR(ISNUMBER(SEARCH("보류",K115)),ISNUMBER(SEARCH("미룸",K115)),ISNUMBER(SEARCH("나중에",K115)),ISNUMBER(SEARCH("보류",L115)),ISNUMBER(SEARCH("미룸",L115)),ISNUMBER(SEARCH("나중에",L115))),"보류(나중에 풀기)",IF(AND(F115="",G115="",H115="",I115=""),"미완료",IF(I115&lt;&gt;"","복습3(마스터)",IF(H115&lt;&gt;"","복습2",IF(G115&lt;&gt;"","복습1",IF(ISNUMBER(SEARCH("제미나이",K115)),"복습대기(AI도움)",IF(ISNUMBER(SEARCH("간당간당",K115)),"복습대기(간당간당)",IF(OR(ISNUMBER(SEARCH("아이디어",K115)),ISNUMBER(SEARCH("시간초과",K115)),ISNUMBER(SEARCH("자료구조",K115)),ISNUMBER(SEARCH("경계값",K115)),ISNUMBER(SEARCH("다른 풀이",K115)),ISNUMBER(SEARCH("또풀기",K115))),"복습대기",IF(OR(ISNUMBER(SEARCH("복습필요없음",K115)),ISNUMBER(SEARCH("자력완벽",K115))),"품(복습불필요)",IF(F115&lt;&gt;"","품","미완료"))))))))))</f>
        <v/>
      </c>
      <c r="K115" s="32" t="inlineStr">
        <is>
          <t>-</t>
        </is>
      </c>
      <c r="L115" s="32" t="n"/>
      <c r="M115" s="28">
        <f>IF(OR(LEFT(J115,2)="보류", LEFT(J115,4)="복습대기", LEFT(J115,3)="복습1", LEFT(J115,3)="복습2"), MAX($M$3:M114)+1, "")</f>
        <v/>
      </c>
      <c r="N115" s="28" t="inlineStr">
        <is>
          <t>W06</t>
        </is>
      </c>
      <c r="O115" s="36" t="n">
        <v>46294</v>
      </c>
      <c r="P115" s="30">
        <f>IF(F115&lt;&gt;"","✅ 완료",IF(O115="","-",IF(TODAY()&gt;O115,"🚨 지연","⏳ 예정")))</f>
        <v/>
      </c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21.75" customHeight="1" s="209">
      <c r="A116" s="28" t="n">
        <v>113</v>
      </c>
      <c r="B116" s="28" t="inlineStr">
        <is>
          <t>26045</t>
        </is>
      </c>
      <c r="C116" s="30" t="inlineStr">
        <is>
          <t>D2</t>
        </is>
      </c>
      <c r="D116" s="32" t="inlineStr">
        <is>
          <t>부분 수열 판별</t>
        </is>
      </c>
      <c r="E116" s="28" t="inlineStr">
        <is>
          <t>동적계획법 (DP)</t>
        </is>
      </c>
      <c r="F116" s="28" t="n"/>
      <c r="G116" s="28" t="n"/>
      <c r="H116" s="28" t="n"/>
      <c r="I116" s="28" t="n"/>
      <c r="J116" s="54">
        <f>IF(OR(ISNUMBER(SEARCH("보류",K116)),ISNUMBER(SEARCH("미룸",K116)),ISNUMBER(SEARCH("나중에",K116)),ISNUMBER(SEARCH("보류",L116)),ISNUMBER(SEARCH("미룸",L116)),ISNUMBER(SEARCH("나중에",L116))),"보류(나중에 풀기)",IF(AND(F116="",G116="",H116="",I116=""),"미완료",IF(I116&lt;&gt;"","복습3(마스터)",IF(H116&lt;&gt;"","복습2",IF(G116&lt;&gt;"","복습1",IF(ISNUMBER(SEARCH("제미나이",K116)),"복습대기(AI도움)",IF(ISNUMBER(SEARCH("간당간당",K116)),"복습대기(간당간당)",IF(OR(ISNUMBER(SEARCH("아이디어",K116)),ISNUMBER(SEARCH("시간초과",K116)),ISNUMBER(SEARCH("자료구조",K116)),ISNUMBER(SEARCH("경계값",K116)),ISNUMBER(SEARCH("다른 풀이",K116)),ISNUMBER(SEARCH("또풀기",K116))),"복습대기",IF(OR(ISNUMBER(SEARCH("복습필요없음",K116)),ISNUMBER(SEARCH("자력완벽",K116))),"품(복습불필요)",IF(F116&lt;&gt;"","품","미완료"))))))))))</f>
        <v/>
      </c>
      <c r="K116" s="32" t="inlineStr">
        <is>
          <t>-</t>
        </is>
      </c>
      <c r="L116" s="32" t="n"/>
      <c r="M116" s="28">
        <f>IF(OR(LEFT(J116,2)="보류", LEFT(J116,4)="복습대기", LEFT(J116,3)="복습1", LEFT(J116,3)="복습2"), MAX($M$3:M115)+1, "")</f>
        <v/>
      </c>
      <c r="N116" s="28" t="inlineStr">
        <is>
          <t>W06</t>
        </is>
      </c>
      <c r="O116" s="36" t="n">
        <v>46294</v>
      </c>
      <c r="P116" s="30">
        <f>IF(F116&lt;&gt;"","✅ 완료",IF(O116="","-",IF(TODAY()&gt;O116,"🚨 지연","⏳ 예정")))</f>
        <v/>
      </c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21.75" customHeight="1" s="209">
      <c r="A117" s="28" t="n">
        <v>114</v>
      </c>
      <c r="B117" s="28" t="inlineStr">
        <is>
          <t>1873</t>
        </is>
      </c>
      <c r="C117" s="30" t="inlineStr">
        <is>
          <t>D3</t>
        </is>
      </c>
      <c r="D117" s="32" t="inlineStr">
        <is>
          <t>상호의 배틀필드</t>
        </is>
      </c>
      <c r="E117" s="28" t="inlineStr">
        <is>
          <t>시뮬레이션 (상호의 배틀필드)</t>
        </is>
      </c>
      <c r="F117" s="28" t="n"/>
      <c r="G117" s="28" t="n"/>
      <c r="H117" s="28" t="n"/>
      <c r="I117" s="28" t="n"/>
      <c r="J117" s="54">
        <f>IF(OR(ISNUMBER(SEARCH("보류",K117)),ISNUMBER(SEARCH("미룸",K117)),ISNUMBER(SEARCH("나중에",K117)),ISNUMBER(SEARCH("보류",L117)),ISNUMBER(SEARCH("미룸",L117)),ISNUMBER(SEARCH("나중에",L117))),"보류(나중에 풀기)",IF(AND(F117="",G117="",H117="",I117=""),"미완료",IF(I117&lt;&gt;"","복습3(마스터)",IF(H117&lt;&gt;"","복습2",IF(G117&lt;&gt;"","복습1",IF(ISNUMBER(SEARCH("제미나이",K117)),"복습대기(AI도움)",IF(ISNUMBER(SEARCH("간당간당",K117)),"복습대기(간당간당)",IF(OR(ISNUMBER(SEARCH("아이디어",K117)),ISNUMBER(SEARCH("시간초과",K117)),ISNUMBER(SEARCH("자료구조",K117)),ISNUMBER(SEARCH("경계값",K117)),ISNUMBER(SEARCH("다른 풀이",K117)),ISNUMBER(SEARCH("또풀기",K117))),"복습대기",IF(OR(ISNUMBER(SEARCH("복습필요없음",K117)),ISNUMBER(SEARCH("자력완벽",K117))),"품(복습불필요)",IF(F117&lt;&gt;"","품","미완료"))))))))))</f>
        <v/>
      </c>
      <c r="K117" s="32" t="inlineStr">
        <is>
          <t>-</t>
        </is>
      </c>
      <c r="L117" s="32" t="n"/>
      <c r="M117" s="28">
        <f>IF(OR(LEFT(J117,2)="보류", LEFT(J117,4)="복습대기", LEFT(J117,3)="복습1", LEFT(J117,3)="복습2"), MAX($M$3:M116)+1, "")</f>
        <v/>
      </c>
      <c r="N117" s="28" t="inlineStr">
        <is>
          <t>W06</t>
        </is>
      </c>
      <c r="O117" s="36" t="n">
        <v>46294</v>
      </c>
      <c r="P117" s="30">
        <f>IF(F117&lt;&gt;"","✅ 완료",IF(O117="","-",IF(TODAY()&gt;O117,"🚨 지연","⏳ 예정")))</f>
        <v/>
      </c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21.75" customHeight="1" s="209">
      <c r="A118" s="28" t="n">
        <v>115</v>
      </c>
      <c r="B118" s="28" t="inlineStr">
        <is>
          <t>2806</t>
        </is>
      </c>
      <c r="C118" s="30" t="inlineStr">
        <is>
          <t>D3</t>
        </is>
      </c>
      <c r="D118" s="32" t="inlineStr">
        <is>
          <t>N-Queen</t>
        </is>
      </c>
      <c r="E118" s="28" t="inlineStr">
        <is>
          <t>DFS / 백트래킹 (N-Queen)</t>
        </is>
      </c>
      <c r="F118" s="28" t="n"/>
      <c r="G118" s="28" t="n"/>
      <c r="H118" s="28" t="n"/>
      <c r="I118" s="28" t="n"/>
      <c r="J118" s="54">
        <f>IF(OR(ISNUMBER(SEARCH("보류",K118)),ISNUMBER(SEARCH("미룸",K118)),ISNUMBER(SEARCH("나중에",K118)),ISNUMBER(SEARCH("보류",L118)),ISNUMBER(SEARCH("미룸",L118)),ISNUMBER(SEARCH("나중에",L118))),"보류(나중에 풀기)",IF(AND(F118="",G118="",H118="",I118=""),"미완료",IF(I118&lt;&gt;"","복습3(마스터)",IF(H118&lt;&gt;"","복습2",IF(G118&lt;&gt;"","복습1",IF(ISNUMBER(SEARCH("제미나이",K118)),"복습대기(AI도움)",IF(ISNUMBER(SEARCH("간당간당",K118)),"복습대기(간당간당)",IF(OR(ISNUMBER(SEARCH("아이디어",K118)),ISNUMBER(SEARCH("시간초과",K118)),ISNUMBER(SEARCH("자료구조",K118)),ISNUMBER(SEARCH("경계값",K118)),ISNUMBER(SEARCH("다른 풀이",K118)),ISNUMBER(SEARCH("또풀기",K118))),"복습대기",IF(OR(ISNUMBER(SEARCH("복습필요없음",K118)),ISNUMBER(SEARCH("자력완벽",K118))),"품(복습불필요)",IF(F118&lt;&gt;"","품","미완료"))))))))))</f>
        <v/>
      </c>
      <c r="K118" s="32" t="inlineStr">
        <is>
          <t>-</t>
        </is>
      </c>
      <c r="L118" s="32" t="n"/>
      <c r="M118" s="28">
        <f>IF(OR(LEFT(J118,2)="보류", LEFT(J118,4)="복습대기", LEFT(J118,3)="복습1", LEFT(J118,3)="복습2"), MAX($M$3:M117)+1, "")</f>
        <v/>
      </c>
      <c r="N118" s="28" t="inlineStr">
        <is>
          <t>W06</t>
        </is>
      </c>
      <c r="O118" s="36" t="n">
        <v>46294</v>
      </c>
      <c r="P118" s="30">
        <f>IF(F118&lt;&gt;"","✅ 완료",IF(O118="","-",IF(TODAY()&gt;O118,"🚨 지연","⏳ 예정")))</f>
        <v/>
      </c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21.75" customHeight="1" s="209">
      <c r="A119" s="28" t="n">
        <v>116</v>
      </c>
      <c r="B119" s="28" t="inlineStr">
        <is>
          <t>2817</t>
        </is>
      </c>
      <c r="C119" s="30" t="inlineStr">
        <is>
          <t>D3</t>
        </is>
      </c>
      <c r="D119" s="32" t="inlineStr">
        <is>
          <t>부분 수열의 합</t>
        </is>
      </c>
      <c r="E119" s="28" t="inlineStr">
        <is>
          <t>동적계획법 (DP)</t>
        </is>
      </c>
      <c r="F119" s="28" t="n"/>
      <c r="G119" s="28" t="n"/>
      <c r="H119" s="28" t="n"/>
      <c r="I119" s="28" t="n"/>
      <c r="J119" s="54">
        <f>IF(OR(ISNUMBER(SEARCH("보류",K119)),ISNUMBER(SEARCH("미룸",K119)),ISNUMBER(SEARCH("나중에",K119)),ISNUMBER(SEARCH("보류",L119)),ISNUMBER(SEARCH("미룸",L119)),ISNUMBER(SEARCH("나중에",L119))),"보류(나중에 풀기)",IF(AND(F119="",G119="",H119="",I119=""),"미완료",IF(I119&lt;&gt;"","복습3(마스터)",IF(H119&lt;&gt;"","복습2",IF(G119&lt;&gt;"","복습1",IF(ISNUMBER(SEARCH("제미나이",K119)),"복습대기(AI도움)",IF(ISNUMBER(SEARCH("간당간당",K119)),"복습대기(간당간당)",IF(OR(ISNUMBER(SEARCH("아이디어",K119)),ISNUMBER(SEARCH("시간초과",K119)),ISNUMBER(SEARCH("자료구조",K119)),ISNUMBER(SEARCH("경계값",K119)),ISNUMBER(SEARCH("다른 풀이",K119)),ISNUMBER(SEARCH("또풀기",K119))),"복습대기",IF(OR(ISNUMBER(SEARCH("복습필요없음",K119)),ISNUMBER(SEARCH("자력완벽",K119))),"품(복습불필요)",IF(F119&lt;&gt;"","품","미완료"))))))))))</f>
        <v/>
      </c>
      <c r="K119" s="32" t="inlineStr">
        <is>
          <t>-</t>
        </is>
      </c>
      <c r="L119" s="32" t="n"/>
      <c r="M119" s="28">
        <f>IF(OR(LEFT(J119,2)="보류", LEFT(J119,4)="복습대기", LEFT(J119,3)="복습1", LEFT(J119,3)="복습2"), MAX($M$3:M118)+1, "")</f>
        <v/>
      </c>
      <c r="N119" s="28" t="inlineStr">
        <is>
          <t>W06</t>
        </is>
      </c>
      <c r="O119" s="36" t="n">
        <v>46295</v>
      </c>
      <c r="P119" s="30">
        <f>IF(F119&lt;&gt;"","✅ 완료",IF(O119="","-",IF(TODAY()&gt;O119,"🚨 지연","⏳ 예정")))</f>
        <v/>
      </c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21.75" customHeight="1" s="209">
      <c r="A120" s="28" t="n">
        <v>117</v>
      </c>
      <c r="B120" s="28" t="inlineStr">
        <is>
          <t>2930</t>
        </is>
      </c>
      <c r="C120" s="30" t="inlineStr">
        <is>
          <t>D3</t>
        </is>
      </c>
      <c r="D120" s="32" t="inlineStr">
        <is>
          <t>힙</t>
        </is>
      </c>
      <c r="E120" s="28" t="inlineStr">
        <is>
          <t>트리 / 힙 / 세그먼트트리</t>
        </is>
      </c>
      <c r="F120" s="28" t="n"/>
      <c r="G120" s="28" t="n"/>
      <c r="H120" s="28" t="n"/>
      <c r="I120" s="28" t="n"/>
      <c r="J120" s="54">
        <f>IF(OR(ISNUMBER(SEARCH("보류",K120)),ISNUMBER(SEARCH("미룸",K120)),ISNUMBER(SEARCH("나중에",K120)),ISNUMBER(SEARCH("보류",L120)),ISNUMBER(SEARCH("미룸",L120)),ISNUMBER(SEARCH("나중에",L120))),"보류(나중에 풀기)",IF(AND(F120="",G120="",H120="",I120=""),"미완료",IF(I120&lt;&gt;"","복습3(마스터)",IF(H120&lt;&gt;"","복습2",IF(G120&lt;&gt;"","복습1",IF(ISNUMBER(SEARCH("제미나이",K120)),"복습대기(AI도움)",IF(ISNUMBER(SEARCH("간당간당",K120)),"복습대기(간당간당)",IF(OR(ISNUMBER(SEARCH("아이디어",K120)),ISNUMBER(SEARCH("시간초과",K120)),ISNUMBER(SEARCH("자료구조",K120)),ISNUMBER(SEARCH("경계값",K120)),ISNUMBER(SEARCH("다른 풀이",K120)),ISNUMBER(SEARCH("또풀기",K120))),"복습대기",IF(OR(ISNUMBER(SEARCH("복습필요없음",K120)),ISNUMBER(SEARCH("자력완벽",K120))),"품(복습불필요)",IF(F120&lt;&gt;"","품","미완료"))))))))))</f>
        <v/>
      </c>
      <c r="K120" s="32" t="inlineStr">
        <is>
          <t>-</t>
        </is>
      </c>
      <c r="L120" s="32" t="n"/>
      <c r="M120" s="28">
        <f>IF(OR(LEFT(J120,2)="보류", LEFT(J120,4)="복습대기", LEFT(J120,3)="복습1", LEFT(J120,3)="복습2"), MAX($M$3:M119)+1, "")</f>
        <v/>
      </c>
      <c r="N120" s="28" t="inlineStr">
        <is>
          <t>W06</t>
        </is>
      </c>
      <c r="O120" s="36" t="n">
        <v>46295</v>
      </c>
      <c r="P120" s="30">
        <f>IF(F120&lt;&gt;"","✅ 완료",IF(O120="","-",IF(TODAY()&gt;O120,"🚨 지연","⏳ 예정")))</f>
        <v/>
      </c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21.75" customHeight="1" s="209">
      <c r="A121" s="28" t="n">
        <v>118</v>
      </c>
      <c r="B121" s="28" t="inlineStr">
        <is>
          <t>5215</t>
        </is>
      </c>
      <c r="C121" s="30" t="inlineStr">
        <is>
          <t>D3</t>
        </is>
      </c>
      <c r="D121" s="32" t="inlineStr">
        <is>
          <t>햄버거 다이어트</t>
        </is>
      </c>
      <c r="E121" s="28" t="inlineStr">
        <is>
          <t>동적계획법 (DP) / 조합 (햄버거)</t>
        </is>
      </c>
      <c r="F121" s="28" t="n"/>
      <c r="G121" s="28" t="n"/>
      <c r="H121" s="28" t="n"/>
      <c r="I121" s="28" t="n"/>
      <c r="J121" s="54">
        <f>IF(OR(ISNUMBER(SEARCH("보류",K121)),ISNUMBER(SEARCH("미룸",K121)),ISNUMBER(SEARCH("나중에",K121)),ISNUMBER(SEARCH("보류",L121)),ISNUMBER(SEARCH("미룸",L121)),ISNUMBER(SEARCH("나중에",L121))),"보류(나중에 풀기)",IF(AND(F121="",G121="",H121="",I121=""),"미완료",IF(I121&lt;&gt;"","복습3(마스터)",IF(H121&lt;&gt;"","복습2",IF(G121&lt;&gt;"","복습1",IF(ISNUMBER(SEARCH("제미나이",K121)),"복습대기(AI도움)",IF(ISNUMBER(SEARCH("간당간당",K121)),"복습대기(간당간당)",IF(OR(ISNUMBER(SEARCH("아이디어",K121)),ISNUMBER(SEARCH("시간초과",K121)),ISNUMBER(SEARCH("자료구조",K121)),ISNUMBER(SEARCH("경계값",K121)),ISNUMBER(SEARCH("다른 풀이",K121)),ISNUMBER(SEARCH("또풀기",K121))),"복습대기",IF(OR(ISNUMBER(SEARCH("복습필요없음",K121)),ISNUMBER(SEARCH("자력완벽",K121))),"품(복습불필요)",IF(F121&lt;&gt;"","품","미완료"))))))))))</f>
        <v/>
      </c>
      <c r="K121" s="32" t="inlineStr">
        <is>
          <t>-</t>
        </is>
      </c>
      <c r="L121" s="32" t="n"/>
      <c r="M121" s="28">
        <f>IF(OR(LEFT(J121,2)="보류", LEFT(J121,4)="복습대기", LEFT(J121,3)="복습1", LEFT(J121,3)="복습2"), MAX($M$3:M120)+1, "")</f>
        <v/>
      </c>
      <c r="N121" s="28" t="inlineStr">
        <is>
          <t>W06</t>
        </is>
      </c>
      <c r="O121" s="36" t="n">
        <v>46295</v>
      </c>
      <c r="P121" s="30">
        <f>IF(F121&lt;&gt;"","✅ 완료",IF(O121="","-",IF(TODAY()&gt;O121,"🚨 지연","⏳ 예정")))</f>
        <v/>
      </c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21.75" customHeight="1" s="209">
      <c r="A122" s="28" t="n">
        <v>119</v>
      </c>
      <c r="B122" s="28" t="inlineStr">
        <is>
          <t>6808</t>
        </is>
      </c>
      <c r="C122" s="30" t="inlineStr">
        <is>
          <t>D3</t>
        </is>
      </c>
      <c r="D122" s="32" t="inlineStr">
        <is>
          <t>규영이와 인영이의 카드 게임</t>
        </is>
      </c>
      <c r="E122" s="28" t="inlineStr">
        <is>
          <t>완전탐색 / 순열 (규영이와 인영이)</t>
        </is>
      </c>
      <c r="F122" s="28" t="n"/>
      <c r="G122" s="28" t="n"/>
      <c r="H122" s="28" t="n"/>
      <c r="I122" s="28" t="n"/>
      <c r="J122" s="54">
        <f>IF(OR(ISNUMBER(SEARCH("보류",K122)),ISNUMBER(SEARCH("미룸",K122)),ISNUMBER(SEARCH("나중에",K122)),ISNUMBER(SEARCH("보류",L122)),ISNUMBER(SEARCH("미룸",L122)),ISNUMBER(SEARCH("나중에",L122))),"보류(나중에 풀기)",IF(AND(F122="",G122="",H122="",I122=""),"미완료",IF(I122&lt;&gt;"","복습3(마스터)",IF(H122&lt;&gt;"","복습2",IF(G122&lt;&gt;"","복습1",IF(ISNUMBER(SEARCH("제미나이",K122)),"복습대기(AI도움)",IF(ISNUMBER(SEARCH("간당간당",K122)),"복습대기(간당간당)",IF(OR(ISNUMBER(SEARCH("아이디어",K122)),ISNUMBER(SEARCH("시간초과",K122)),ISNUMBER(SEARCH("자료구조",K122)),ISNUMBER(SEARCH("경계값",K122)),ISNUMBER(SEARCH("다른 풀이",K122)),ISNUMBER(SEARCH("또풀기",K122))),"복습대기",IF(OR(ISNUMBER(SEARCH("복습필요없음",K122)),ISNUMBER(SEARCH("자력완벽",K122))),"품(복습불필요)",IF(F122&lt;&gt;"","품","미완료"))))))))))</f>
        <v/>
      </c>
      <c r="K122" s="32" t="inlineStr">
        <is>
          <t>-</t>
        </is>
      </c>
      <c r="L122" s="32" t="n"/>
      <c r="M122" s="28">
        <f>IF(OR(LEFT(J122,2)="보류", LEFT(J122,4)="복습대기", LEFT(J122,3)="복습1", LEFT(J122,3)="복습2"), MAX($M$3:M121)+1, "")</f>
        <v/>
      </c>
      <c r="N122" s="28" t="inlineStr">
        <is>
          <t>W06</t>
        </is>
      </c>
      <c r="O122" s="36" t="n">
        <v>46295</v>
      </c>
      <c r="P122" s="30">
        <f>IF(F122&lt;&gt;"","✅ 완료",IF(O122="","-",IF(TODAY()&gt;O122,"🚨 지연","⏳ 예정")))</f>
        <v/>
      </c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21.75" customHeight="1" s="209">
      <c r="A123" s="28" t="n">
        <v>120</v>
      </c>
      <c r="B123" s="28" t="inlineStr">
        <is>
          <t>7102</t>
        </is>
      </c>
      <c r="C123" s="30" t="inlineStr">
        <is>
          <t>D3</t>
        </is>
      </c>
      <c r="D123" s="32" t="inlineStr">
        <is>
          <t>준홍이의 카드놀이</t>
        </is>
      </c>
      <c r="E123" s="28" t="inlineStr">
        <is>
          <t>완전탐색 / 시뮬레이션</t>
        </is>
      </c>
      <c r="F123" s="28" t="n"/>
      <c r="G123" s="28" t="n"/>
      <c r="H123" s="28" t="n"/>
      <c r="I123" s="28" t="n"/>
      <c r="J123" s="54">
        <f>IF(OR(ISNUMBER(SEARCH("보류",K123)),ISNUMBER(SEARCH("미룸",K123)),ISNUMBER(SEARCH("나중에",K123)),ISNUMBER(SEARCH("보류",L123)),ISNUMBER(SEARCH("미룸",L123)),ISNUMBER(SEARCH("나중에",L123))),"보류(나중에 풀기)",IF(AND(F123="",G123="",H123="",I123=""),"미완료",IF(I123&lt;&gt;"","복습3(마스터)",IF(H123&lt;&gt;"","복습2",IF(G123&lt;&gt;"","복습1",IF(ISNUMBER(SEARCH("제미나이",K123)),"복습대기(AI도움)",IF(ISNUMBER(SEARCH("간당간당",K123)),"복습대기(간당간당)",IF(OR(ISNUMBER(SEARCH("아이디어",K123)),ISNUMBER(SEARCH("시간초과",K123)),ISNUMBER(SEARCH("자료구조",K123)),ISNUMBER(SEARCH("경계값",K123)),ISNUMBER(SEARCH("다른 풀이",K123)),ISNUMBER(SEARCH("또풀기",K123))),"복습대기",IF(OR(ISNUMBER(SEARCH("복습필요없음",K123)),ISNUMBER(SEARCH("자력완벽",K123))),"품(복습불필요)",IF(F123&lt;&gt;"","품","미완료"))))))))))</f>
        <v/>
      </c>
      <c r="K123" s="32" t="inlineStr">
        <is>
          <t>-</t>
        </is>
      </c>
      <c r="L123" s="32" t="n"/>
      <c r="M123" s="28">
        <f>IF(OR(LEFT(J123,2)="보류", LEFT(J123,4)="복습대기", LEFT(J123,3)="복습1", LEFT(J123,3)="복습2"), MAX($M$3:M122)+1, "")</f>
        <v/>
      </c>
      <c r="N123" s="28" t="inlineStr">
        <is>
          <t>W06</t>
        </is>
      </c>
      <c r="O123" s="36" t="n">
        <v>46295</v>
      </c>
      <c r="P123" s="30">
        <f>IF(F123&lt;&gt;"","✅ 완료",IF(O123="","-",IF(TODAY()&gt;O123,"🚨 지연","⏳ 예정")))</f>
        <v/>
      </c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21.75" customHeight="1" s="209">
      <c r="A124" s="28" t="n">
        <v>121</v>
      </c>
      <c r="B124" s="28" t="inlineStr">
        <is>
          <t>9940</t>
        </is>
      </c>
      <c r="C124" s="30" t="inlineStr">
        <is>
          <t>D3</t>
        </is>
      </c>
      <c r="D124" s="32" t="inlineStr">
        <is>
          <t>순열1</t>
        </is>
      </c>
      <c r="E124" s="28" t="inlineStr">
        <is>
          <t>DFS / 백트래킹</t>
        </is>
      </c>
      <c r="F124" s="28" t="n"/>
      <c r="G124" s="28" t="n"/>
      <c r="H124" s="28" t="n"/>
      <c r="I124" s="28" t="n"/>
      <c r="J124" s="54">
        <f>IF(OR(ISNUMBER(SEARCH("보류",K124)),ISNUMBER(SEARCH("미룸",K124)),ISNUMBER(SEARCH("나중에",K124)),ISNUMBER(SEARCH("보류",L124)),ISNUMBER(SEARCH("미룸",L124)),ISNUMBER(SEARCH("나중에",L124))),"보류(나중에 풀기)",IF(AND(F124="",G124="",H124="",I124=""),"미완료",IF(I124&lt;&gt;"","복습3(마스터)",IF(H124&lt;&gt;"","복습2",IF(G124&lt;&gt;"","복습1",IF(ISNUMBER(SEARCH("제미나이",K124)),"복습대기(AI도움)",IF(ISNUMBER(SEARCH("간당간당",K124)),"복습대기(간당간당)",IF(OR(ISNUMBER(SEARCH("아이디어",K124)),ISNUMBER(SEARCH("시간초과",K124)),ISNUMBER(SEARCH("자료구조",K124)),ISNUMBER(SEARCH("경계값",K124)),ISNUMBER(SEARCH("다른 풀이",K124)),ISNUMBER(SEARCH("또풀기",K124))),"복습대기",IF(OR(ISNUMBER(SEARCH("복습필요없음",K124)),ISNUMBER(SEARCH("자력완벽",K124))),"품(복습불필요)",IF(F124&lt;&gt;"","품","미완료"))))))))))</f>
        <v/>
      </c>
      <c r="K124" s="32" t="inlineStr">
        <is>
          <t>-</t>
        </is>
      </c>
      <c r="L124" s="32" t="n"/>
      <c r="M124" s="28">
        <f>IF(OR(LEFT(J124,2)="보류", LEFT(J124,4)="복습대기", LEFT(J124,3)="복습1", LEFT(J124,3)="복습2"), MAX($M$3:M123)+1, "")</f>
        <v/>
      </c>
      <c r="N124" s="28" t="inlineStr">
        <is>
          <t>W06</t>
        </is>
      </c>
      <c r="O124" s="36" t="n">
        <v>46295</v>
      </c>
      <c r="P124" s="30">
        <f>IF(F124&lt;&gt;"","✅ 완료",IF(O124="","-",IF(TODAY()&gt;O124,"🚨 지연","⏳ 예정")))</f>
        <v/>
      </c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21.75" customHeight="1" s="209">
      <c r="A125" s="28" t="n">
        <v>122</v>
      </c>
      <c r="B125" s="28" t="inlineStr">
        <is>
          <t>10726</t>
        </is>
      </c>
      <c r="C125" s="30" t="inlineStr">
        <is>
          <t>D3</t>
        </is>
      </c>
      <c r="D125" s="32" t="inlineStr">
        <is>
          <t>이진수 표현</t>
        </is>
      </c>
      <c r="E125" s="28" t="inlineStr">
        <is>
          <t>이진탐색 (Binary Search)</t>
        </is>
      </c>
      <c r="F125" s="28" t="n"/>
      <c r="G125" s="28" t="n"/>
      <c r="H125" s="28" t="n"/>
      <c r="I125" s="28" t="n"/>
      <c r="J125" s="54">
        <f>IF(OR(ISNUMBER(SEARCH("보류",K125)),ISNUMBER(SEARCH("미룸",K125)),ISNUMBER(SEARCH("나중에",K125)),ISNUMBER(SEARCH("보류",L125)),ISNUMBER(SEARCH("미룸",L125)),ISNUMBER(SEARCH("나중에",L125))),"보류(나중에 풀기)",IF(AND(F125="",G125="",H125="",I125=""),"미완료",IF(I125&lt;&gt;"","복습3(마스터)",IF(H125&lt;&gt;"","복습2",IF(G125&lt;&gt;"","복습1",IF(ISNUMBER(SEARCH("제미나이",K125)),"복습대기(AI도움)",IF(ISNUMBER(SEARCH("간당간당",K125)),"복습대기(간당간당)",IF(OR(ISNUMBER(SEARCH("아이디어",K125)),ISNUMBER(SEARCH("시간초과",K125)),ISNUMBER(SEARCH("자료구조",K125)),ISNUMBER(SEARCH("경계값",K125)),ISNUMBER(SEARCH("다른 풀이",K125)),ISNUMBER(SEARCH("또풀기",K125))),"복습대기",IF(OR(ISNUMBER(SEARCH("복습필요없음",K125)),ISNUMBER(SEARCH("자력완벽",K125))),"품(복습불필요)",IF(F125&lt;&gt;"","품","미완료"))))))))))</f>
        <v/>
      </c>
      <c r="K125" s="32" t="inlineStr">
        <is>
          <t>-</t>
        </is>
      </c>
      <c r="L125" s="32" t="n"/>
      <c r="M125" s="28">
        <f>IF(OR(LEFT(J125,2)="보류", LEFT(J125,4)="복습대기", LEFT(J125,3)="복습1", LEFT(J125,3)="복습2"), MAX($M$3:M124)+1, "")</f>
        <v/>
      </c>
      <c r="N125" s="28" t="inlineStr">
        <is>
          <t>W06</t>
        </is>
      </c>
      <c r="O125" s="36" t="n">
        <v>46295</v>
      </c>
      <c r="P125" s="30">
        <f>IF(F125&lt;&gt;"","✅ 완료",IF(O125="","-",IF(TODAY()&gt;O125,"🚨 지연","⏳ 예정")))</f>
        <v/>
      </c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21.75" customHeight="1" s="209">
      <c r="A126" s="28" t="n">
        <v>123</v>
      </c>
      <c r="B126" s="28" t="inlineStr">
        <is>
          <t>26937</t>
        </is>
      </c>
      <c r="C126" s="30" t="inlineStr">
        <is>
          <t>D3</t>
        </is>
      </c>
      <c r="D126" s="32" t="inlineStr">
        <is>
          <t>창고 운반차의 최단 운행</t>
        </is>
      </c>
      <c r="E126" s="28" t="inlineStr">
        <is>
          <t>BFS (너비우선탐색)</t>
        </is>
      </c>
      <c r="F126" s="28" t="n"/>
      <c r="G126" s="28" t="n"/>
      <c r="H126" s="28" t="n"/>
      <c r="I126" s="28" t="n"/>
      <c r="J126" s="54">
        <f>IF(OR(ISNUMBER(SEARCH("보류",K126)),ISNUMBER(SEARCH("미룸",K126)),ISNUMBER(SEARCH("나중에",K126)),ISNUMBER(SEARCH("보류",L126)),ISNUMBER(SEARCH("미룸",L126)),ISNUMBER(SEARCH("나중에",L126))),"보류(나중에 풀기)",IF(AND(F126="",G126="",H126="",I126=""),"미완료",IF(I126&lt;&gt;"","복습3(마스터)",IF(H126&lt;&gt;"","복습2",IF(G126&lt;&gt;"","복습1",IF(ISNUMBER(SEARCH("제미나이",K126)),"복습대기(AI도움)",IF(ISNUMBER(SEARCH("간당간당",K126)),"복습대기(간당간당)",IF(OR(ISNUMBER(SEARCH("아이디어",K126)),ISNUMBER(SEARCH("시간초과",K126)),ISNUMBER(SEARCH("자료구조",K126)),ISNUMBER(SEARCH("경계값",K126)),ISNUMBER(SEARCH("다른 풀이",K126)),ISNUMBER(SEARCH("또풀기",K126))),"복습대기",IF(OR(ISNUMBER(SEARCH("복습필요없음",K126)),ISNUMBER(SEARCH("자력완벽",K126))),"품(복습불필요)",IF(F126&lt;&gt;"","품","미완료"))))))))))</f>
        <v/>
      </c>
      <c r="K126" s="32" t="inlineStr">
        <is>
          <t>-</t>
        </is>
      </c>
      <c r="L126" s="32" t="n"/>
      <c r="M126" s="28">
        <f>IF(OR(LEFT(J126,2)="보류", LEFT(J126,4)="복습대기", LEFT(J126,3)="복습1", LEFT(J126,3)="복습2"), MAX($M$3:M125)+1, "")</f>
        <v/>
      </c>
      <c r="N126" s="28" t="inlineStr">
        <is>
          <t>W06</t>
        </is>
      </c>
      <c r="O126" s="36" t="n">
        <v>46296</v>
      </c>
      <c r="P126" s="30">
        <f>IF(F126&lt;&gt;"","✅ 완료",IF(O126="","-",IF(TODAY()&gt;O126,"🚨 지연","⏳ 예정")))</f>
        <v/>
      </c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21.75" customHeight="1" s="209">
      <c r="A127" s="28" t="n">
        <v>124</v>
      </c>
      <c r="B127" s="28" t="inlineStr">
        <is>
          <t>26947</t>
        </is>
      </c>
      <c r="C127" s="30" t="inlineStr">
        <is>
          <t>D3</t>
        </is>
      </c>
      <c r="D127" s="32" t="inlineStr">
        <is>
          <t>도서관 반납 책 이진 탐색 확인</t>
        </is>
      </c>
      <c r="E127" s="28" t="inlineStr">
        <is>
          <t>이진탐색 (Binary Search)</t>
        </is>
      </c>
      <c r="F127" s="28" t="n"/>
      <c r="G127" s="28" t="n"/>
      <c r="H127" s="28" t="n"/>
      <c r="I127" s="28" t="n"/>
      <c r="J127" s="54">
        <f>IF(OR(ISNUMBER(SEARCH("보류",K127)),ISNUMBER(SEARCH("미룸",K127)),ISNUMBER(SEARCH("나중에",K127)),ISNUMBER(SEARCH("보류",L127)),ISNUMBER(SEARCH("미룸",L127)),ISNUMBER(SEARCH("나중에",L127))),"보류(나중에 풀기)",IF(AND(F127="",G127="",H127="",I127=""),"미완료",IF(I127&lt;&gt;"","복습3(마스터)",IF(H127&lt;&gt;"","복습2",IF(G127&lt;&gt;"","복습1",IF(ISNUMBER(SEARCH("제미나이",K127)),"복습대기(AI도움)",IF(ISNUMBER(SEARCH("간당간당",K127)),"복습대기(간당간당)",IF(OR(ISNUMBER(SEARCH("아이디어",K127)),ISNUMBER(SEARCH("시간초과",K127)),ISNUMBER(SEARCH("자료구조",K127)),ISNUMBER(SEARCH("경계값",K127)),ISNUMBER(SEARCH("다른 풀이",K127)),ISNUMBER(SEARCH("또풀기",K127))),"복습대기",IF(OR(ISNUMBER(SEARCH("복습필요없음",K127)),ISNUMBER(SEARCH("자력완벽",K127))),"품(복습불필요)",IF(F127&lt;&gt;"","품","미완료"))))))))))</f>
        <v/>
      </c>
      <c r="K127" s="32" t="inlineStr">
        <is>
          <t>-</t>
        </is>
      </c>
      <c r="L127" s="32" t="n"/>
      <c r="M127" s="28">
        <f>IF(OR(LEFT(J127,2)="보류", LEFT(J127,4)="복습대기", LEFT(J127,3)="복습1", LEFT(J127,3)="복습2"), MAX($M$3:M126)+1, "")</f>
        <v/>
      </c>
      <c r="N127" s="28" t="inlineStr">
        <is>
          <t>W06</t>
        </is>
      </c>
      <c r="O127" s="36" t="n">
        <v>46296</v>
      </c>
      <c r="P127" s="30">
        <f>IF(F127&lt;&gt;"","✅ 완료",IF(O127="","-",IF(TODAY()&gt;O127,"🚨 지연","⏳ 예정")))</f>
        <v/>
      </c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21.75" customHeight="1" s="209">
      <c r="A128" s="28" t="n">
        <v>125</v>
      </c>
      <c r="B128" s="28" t="inlineStr">
        <is>
          <t>26949</t>
        </is>
      </c>
      <c r="C128" s="30" t="inlineStr">
        <is>
          <t>D3</t>
        </is>
      </c>
      <c r="D128" s="32" t="inlineStr">
        <is>
          <t>전기 자전거의 최소 배터리 배달 경로</t>
        </is>
      </c>
      <c r="E128" s="28" t="inlineStr">
        <is>
          <t>DFS / 백트래킹</t>
        </is>
      </c>
      <c r="F128" s="28" t="n"/>
      <c r="G128" s="28" t="n"/>
      <c r="H128" s="28" t="n"/>
      <c r="I128" s="28" t="n"/>
      <c r="J128" s="54">
        <f>IF(OR(ISNUMBER(SEARCH("보류",K128)),ISNUMBER(SEARCH("미룸",K128)),ISNUMBER(SEARCH("나중에",K128)),ISNUMBER(SEARCH("보류",L128)),ISNUMBER(SEARCH("미룸",L128)),ISNUMBER(SEARCH("나중에",L128))),"보류(나중에 풀기)",IF(AND(F128="",G128="",H128="",I128=""),"미완료",IF(I128&lt;&gt;"","복습3(마스터)",IF(H128&lt;&gt;"","복습2",IF(G128&lt;&gt;"","복습1",IF(ISNUMBER(SEARCH("제미나이",K128)),"복습대기(AI도움)",IF(ISNUMBER(SEARCH("간당간당",K128)),"복습대기(간당간당)",IF(OR(ISNUMBER(SEARCH("아이디어",K128)),ISNUMBER(SEARCH("시간초과",K128)),ISNUMBER(SEARCH("자료구조",K128)),ISNUMBER(SEARCH("경계값",K128)),ISNUMBER(SEARCH("다른 풀이",K128)),ISNUMBER(SEARCH("또풀기",K128))),"복습대기",IF(OR(ISNUMBER(SEARCH("복습필요없음",K128)),ISNUMBER(SEARCH("자력완벽",K128))),"품(복습불필요)",IF(F128&lt;&gt;"","품","미완료"))))))))))</f>
        <v/>
      </c>
      <c r="K128" s="32" t="inlineStr">
        <is>
          <t>-</t>
        </is>
      </c>
      <c r="L128" s="32" t="n"/>
      <c r="M128" s="28">
        <f>IF(OR(LEFT(J128,2)="보류", LEFT(J128,4)="복습대기", LEFT(J128,3)="복습1", LEFT(J128,3)="복습2"), MAX($M$3:M127)+1, "")</f>
        <v/>
      </c>
      <c r="N128" s="28" t="inlineStr">
        <is>
          <t>W06</t>
        </is>
      </c>
      <c r="O128" s="36" t="n">
        <v>46296</v>
      </c>
      <c r="P128" s="30">
        <f>IF(F128&lt;&gt;"","✅ 완료",IF(O128="","-",IF(TODAY()&gt;O128,"🚨 지연","⏳ 예정")))</f>
        <v/>
      </c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21.75" customHeight="1" s="209">
      <c r="A129" s="28" t="n">
        <v>126</v>
      </c>
      <c r="B129" s="28" t="inlineStr">
        <is>
          <t>1229</t>
        </is>
      </c>
      <c r="C129" s="30" t="inlineStr">
        <is>
          <t>D3</t>
        </is>
      </c>
      <c r="D129" s="32" t="inlineStr">
        <is>
          <t>[S/W 문제해결 기본] 8일차 - 암호문2</t>
        </is>
      </c>
      <c r="E129" s="28" t="inlineStr">
        <is>
          <t>자료구조 (연결리스트 / 암호문2)</t>
        </is>
      </c>
      <c r="F129" s="28" t="n"/>
      <c r="G129" s="28" t="n"/>
      <c r="H129" s="28" t="n"/>
      <c r="I129" s="28" t="n"/>
      <c r="J129" s="54">
        <f>IF(OR(ISNUMBER(SEARCH("보류",K129)),ISNUMBER(SEARCH("미룸",K129)),ISNUMBER(SEARCH("나중에",K129)),ISNUMBER(SEARCH("보류",L129)),ISNUMBER(SEARCH("미룸",L129)),ISNUMBER(SEARCH("나중에",L129))),"보류(나중에 풀기)",IF(AND(F129="",G129="",H129="",I129=""),"미완료",IF(I129&lt;&gt;"","복습3(마스터)",IF(H129&lt;&gt;"","복습2",IF(G129&lt;&gt;"","복습1",IF(ISNUMBER(SEARCH("제미나이",K129)),"복습대기(AI도움)",IF(ISNUMBER(SEARCH("간당간당",K129)),"복습대기(간당간당)",IF(OR(ISNUMBER(SEARCH("아이디어",K129)),ISNUMBER(SEARCH("시간초과",K129)),ISNUMBER(SEARCH("자료구조",K129)),ISNUMBER(SEARCH("경계값",K129)),ISNUMBER(SEARCH("다른 풀이",K129)),ISNUMBER(SEARCH("또풀기",K129))),"복습대기",IF(OR(ISNUMBER(SEARCH("복습필요없음",K129)),ISNUMBER(SEARCH("자력완벽",K129))),"품(복습불필요)",IF(F129&lt;&gt;"","품","미완료"))))))))))</f>
        <v/>
      </c>
      <c r="K129" s="32" t="inlineStr">
        <is>
          <t>-</t>
        </is>
      </c>
      <c r="L129" s="32" t="n"/>
      <c r="M129" s="28">
        <f>IF(OR(LEFT(J129,2)="보류", LEFT(J129,4)="복습대기", LEFT(J129,3)="복습1", LEFT(J129,3)="복습2"), MAX($M$3:M128)+1, "")</f>
        <v/>
      </c>
      <c r="N129" s="28" t="inlineStr">
        <is>
          <t>W06</t>
        </is>
      </c>
      <c r="O129" s="36" t="n">
        <v>46296</v>
      </c>
      <c r="P129" s="30">
        <f>IF(F129&lt;&gt;"","✅ 완료",IF(O129="","-",IF(TODAY()&gt;O129,"🚨 지연","⏳ 예정")))</f>
        <v/>
      </c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21.75" customHeight="1" s="209">
      <c r="A130" s="28" t="n">
        <v>127</v>
      </c>
      <c r="B130" s="28" t="inlineStr">
        <is>
          <t>7985</t>
        </is>
      </c>
      <c r="C130" s="30" t="inlineStr">
        <is>
          <t>D3</t>
        </is>
      </c>
      <c r="D130" s="32" t="inlineStr">
        <is>
          <t>Rooted Binary Tree 재구성</t>
        </is>
      </c>
      <c r="E130" s="28" t="inlineStr">
        <is>
          <t>트리 / 힙 / 세그먼트트리</t>
        </is>
      </c>
      <c r="F130" s="28" t="n"/>
      <c r="G130" s="28" t="n"/>
      <c r="H130" s="28" t="n"/>
      <c r="I130" s="28" t="n"/>
      <c r="J130" s="54">
        <f>IF(OR(ISNUMBER(SEARCH("보류",K130)),ISNUMBER(SEARCH("미룸",K130)),ISNUMBER(SEARCH("나중에",K130)),ISNUMBER(SEARCH("보류",L130)),ISNUMBER(SEARCH("미룸",L130)),ISNUMBER(SEARCH("나중에",L130))),"보류(나중에 풀기)",IF(AND(F130="",G130="",H130="",I130=""),"미완료",IF(I130&lt;&gt;"","복습3(마스터)",IF(H130&lt;&gt;"","복습2",IF(G130&lt;&gt;"","복습1",IF(ISNUMBER(SEARCH("제미나이",K130)),"복습대기(AI도움)",IF(ISNUMBER(SEARCH("간당간당",K130)),"복습대기(간당간당)",IF(OR(ISNUMBER(SEARCH("아이디어",K130)),ISNUMBER(SEARCH("시간초과",K130)),ISNUMBER(SEARCH("자료구조",K130)),ISNUMBER(SEARCH("경계값",K130)),ISNUMBER(SEARCH("다른 풀이",K130)),ISNUMBER(SEARCH("또풀기",K130))),"복습대기",IF(OR(ISNUMBER(SEARCH("복습필요없음",K130)),ISNUMBER(SEARCH("자력완벽",K130))),"품(복습불필요)",IF(F130&lt;&gt;"","품","미완료"))))))))))</f>
        <v/>
      </c>
      <c r="K130" s="32" t="inlineStr">
        <is>
          <t>-</t>
        </is>
      </c>
      <c r="L130" s="32" t="n"/>
      <c r="M130" s="28">
        <f>IF(OR(LEFT(J130,2)="보류", LEFT(J130,4)="복습대기", LEFT(J130,3)="복습1", LEFT(J130,3)="복습2"), MAX($M$3:M129)+1, "")</f>
        <v/>
      </c>
      <c r="N130" s="28" t="inlineStr">
        <is>
          <t>W06</t>
        </is>
      </c>
      <c r="O130" s="36" t="n">
        <v>46296</v>
      </c>
      <c r="P130" s="30">
        <f>IF(F130&lt;&gt;"","✅ 완료",IF(O130="","-",IF(TODAY()&gt;O130,"🚨 지연","⏳ 예정")))</f>
        <v/>
      </c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21.75" customHeight="1" s="209">
      <c r="A131" s="28" t="n">
        <v>128</v>
      </c>
      <c r="B131" s="28" t="inlineStr">
        <is>
          <t>1210</t>
        </is>
      </c>
      <c r="C131" s="30" t="inlineStr">
        <is>
          <t>D4</t>
        </is>
      </c>
      <c r="D131" s="32" t="inlineStr">
        <is>
          <t>Ladder1</t>
        </is>
      </c>
      <c r="E131" s="28" t="inlineStr">
        <is>
          <t>DFS / BFS / 백트래킹</t>
        </is>
      </c>
      <c r="F131" s="28" t="n"/>
      <c r="G131" s="28" t="n"/>
      <c r="H131" s="28" t="n"/>
      <c r="I131" s="28" t="n"/>
      <c r="J131" s="54">
        <f>IF(OR(ISNUMBER(SEARCH("보류",K131)),ISNUMBER(SEARCH("미룸",K131)),ISNUMBER(SEARCH("나중에",K131)),ISNUMBER(SEARCH("보류",L131)),ISNUMBER(SEARCH("미룸",L131)),ISNUMBER(SEARCH("나중에",L131))),"보류(나중에 풀기)",IF(AND(F131="",G131="",H131="",I131=""),"미완료",IF(I131&lt;&gt;"","복습3(마스터)",IF(H131&lt;&gt;"","복습2",IF(G131&lt;&gt;"","복습1",IF(ISNUMBER(SEARCH("제미나이",K131)),"복습대기(AI도움)",IF(ISNUMBER(SEARCH("간당간당",K131)),"복습대기(간당간당)",IF(OR(ISNUMBER(SEARCH("아이디어",K131)),ISNUMBER(SEARCH("시간초과",K131)),ISNUMBER(SEARCH("자료구조",K131)),ISNUMBER(SEARCH("경계값",K131)),ISNUMBER(SEARCH("다른 풀이",K131)),ISNUMBER(SEARCH("또풀기",K131))),"복습대기",IF(OR(ISNUMBER(SEARCH("복습필요없음",K131)),ISNUMBER(SEARCH("자력완벽",K131))),"품(복습불필요)",IF(F131&lt;&gt;"","품","미완료"))))))))))</f>
        <v/>
      </c>
      <c r="K131" s="32" t="inlineStr">
        <is>
          <t>-</t>
        </is>
      </c>
      <c r="L131" s="32" t="n"/>
      <c r="M131" s="28">
        <f>IF(OR(LEFT(J131,2)="보류", LEFT(J131,4)="복습대기", LEFT(J131,3)="복습1", LEFT(J131,3)="복습2"), MAX($M$3:M130)+1, "")</f>
        <v/>
      </c>
      <c r="N131" s="28" t="inlineStr">
        <is>
          <t>W06</t>
        </is>
      </c>
      <c r="O131" s="36" t="n">
        <v>46296</v>
      </c>
      <c r="P131" s="30">
        <f>IF(F131&lt;&gt;"","✅ 완료",IF(O131="","-",IF(TODAY()&gt;O131,"🚨 지연","⏳ 예정")))</f>
        <v/>
      </c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21.75" customHeight="1" s="209">
      <c r="A132" s="28" t="n">
        <v>129</v>
      </c>
      <c r="B132" s="28" t="inlineStr">
        <is>
          <t>1219</t>
        </is>
      </c>
      <c r="C132" s="30" t="inlineStr">
        <is>
          <t>D4</t>
        </is>
      </c>
      <c r="D132" s="32" t="inlineStr">
        <is>
          <t>길찾기</t>
        </is>
      </c>
      <c r="E132" s="28" t="inlineStr">
        <is>
          <t>DFS / BFS (길찾기)</t>
        </is>
      </c>
      <c r="F132" s="28" t="n"/>
      <c r="G132" s="28" t="n"/>
      <c r="H132" s="28" t="n"/>
      <c r="I132" s="28" t="n"/>
      <c r="J132" s="54">
        <f>IF(OR(ISNUMBER(SEARCH("보류",K132)),ISNUMBER(SEARCH("미룸",K132)),ISNUMBER(SEARCH("나중에",K132)),ISNUMBER(SEARCH("보류",L132)),ISNUMBER(SEARCH("미룸",L132)),ISNUMBER(SEARCH("나중에",L132))),"보류(나중에 풀기)",IF(AND(F132="",G132="",H132="",I132=""),"미완료",IF(I132&lt;&gt;"","복습3(마스터)",IF(H132&lt;&gt;"","복습2",IF(G132&lt;&gt;"","복습1",IF(ISNUMBER(SEARCH("제미나이",K132)),"복습대기(AI도움)",IF(ISNUMBER(SEARCH("간당간당",K132)),"복습대기(간당간당)",IF(OR(ISNUMBER(SEARCH("아이디어",K132)),ISNUMBER(SEARCH("시간초과",K132)),ISNUMBER(SEARCH("자료구조",K132)),ISNUMBER(SEARCH("경계값",K132)),ISNUMBER(SEARCH("다른 풀이",K132)),ISNUMBER(SEARCH("또풀기",K132))),"복습대기",IF(OR(ISNUMBER(SEARCH("복습필요없음",K132)),ISNUMBER(SEARCH("자력완벽",K132))),"품(복습불필요)",IF(F132&lt;&gt;"","품","미완료"))))))))))</f>
        <v/>
      </c>
      <c r="K132" s="32" t="inlineStr">
        <is>
          <t>-</t>
        </is>
      </c>
      <c r="L132" s="32" t="n"/>
      <c r="M132" s="28">
        <f>IF(OR(LEFT(J132,2)="보류", LEFT(J132,4)="복습대기", LEFT(J132,3)="복습1", LEFT(J132,3)="복습2"), MAX($M$3:M131)+1, "")</f>
        <v/>
      </c>
      <c r="N132" s="28" t="inlineStr">
        <is>
          <t>W06</t>
        </is>
      </c>
      <c r="O132" s="36" t="n">
        <v>46296</v>
      </c>
      <c r="P132" s="30">
        <f>IF(F132&lt;&gt;"","✅ 완료",IF(O132="","-",IF(TODAY()&gt;O132,"🚨 지연","⏳ 예정")))</f>
        <v/>
      </c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21.75" customHeight="1" s="209">
      <c r="A133" s="28" t="n">
        <v>130</v>
      </c>
      <c r="B133" s="28" t="inlineStr">
        <is>
          <t>1222</t>
        </is>
      </c>
      <c r="C133" s="30" t="inlineStr">
        <is>
          <t>D4</t>
        </is>
      </c>
      <c r="D133" s="32" t="inlineStr">
        <is>
          <t>계산기1</t>
        </is>
      </c>
      <c r="E133" s="28" t="inlineStr">
        <is>
          <t>자료구조 (스택/큐/리스트)</t>
        </is>
      </c>
      <c r="F133" s="28" t="n"/>
      <c r="G133" s="28" t="n"/>
      <c r="H133" s="28" t="n"/>
      <c r="I133" s="28" t="n"/>
      <c r="J133" s="54">
        <f>IF(OR(ISNUMBER(SEARCH("보류",K133)),ISNUMBER(SEARCH("미룸",K133)),ISNUMBER(SEARCH("나중에",K133)),ISNUMBER(SEARCH("보류",L133)),ISNUMBER(SEARCH("미룸",L133)),ISNUMBER(SEARCH("나중에",L133))),"보류(나중에 풀기)",IF(AND(F133="",G133="",H133="",I133=""),"미완료",IF(I133&lt;&gt;"","복습3(마스터)",IF(H133&lt;&gt;"","복습2",IF(G133&lt;&gt;"","복습1",IF(ISNUMBER(SEARCH("제미나이",K133)),"복습대기(AI도움)",IF(ISNUMBER(SEARCH("간당간당",K133)),"복습대기(간당간당)",IF(OR(ISNUMBER(SEARCH("아이디어",K133)),ISNUMBER(SEARCH("시간초과",K133)),ISNUMBER(SEARCH("자료구조",K133)),ISNUMBER(SEARCH("경계값",K133)),ISNUMBER(SEARCH("다른 풀이",K133)),ISNUMBER(SEARCH("또풀기",K133))),"복습대기",IF(OR(ISNUMBER(SEARCH("복습필요없음",K133)),ISNUMBER(SEARCH("자력완벽",K133))),"품(복습불필요)",IF(F133&lt;&gt;"","품","미완료"))))))))))</f>
        <v/>
      </c>
      <c r="K133" s="32" t="inlineStr">
        <is>
          <t>-</t>
        </is>
      </c>
      <c r="L133" s="32" t="n"/>
      <c r="M133" s="28">
        <f>IF(OR(LEFT(J133,2)="보류", LEFT(J133,4)="복습대기", LEFT(J133,3)="복습1", LEFT(J133,3)="복습2"), MAX($M$3:M132)+1, "")</f>
        <v/>
      </c>
      <c r="N133" s="28" t="inlineStr">
        <is>
          <t>W06</t>
        </is>
      </c>
      <c r="O133" s="36" t="n">
        <v>46297</v>
      </c>
      <c r="P133" s="30">
        <f>IF(F133&lt;&gt;"","✅ 완료",IF(O133="","-",IF(TODAY()&gt;O133,"🚨 지연","⏳ 예정")))</f>
        <v/>
      </c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21.75" customHeight="1" s="209">
      <c r="A134" s="28" t="n">
        <v>131</v>
      </c>
      <c r="B134" s="28" t="inlineStr">
        <is>
          <t>1224</t>
        </is>
      </c>
      <c r="C134" s="30" t="inlineStr">
        <is>
          <t>D4</t>
        </is>
      </c>
      <c r="D134" s="32" t="inlineStr">
        <is>
          <t>계산기3</t>
        </is>
      </c>
      <c r="E134" s="28" t="inlineStr">
        <is>
          <t>자료구조 (스택/큐/리스트)</t>
        </is>
      </c>
      <c r="F134" s="28" t="n"/>
      <c r="G134" s="28" t="n"/>
      <c r="H134" s="28" t="n"/>
      <c r="I134" s="28" t="n"/>
      <c r="J134" s="54">
        <f>IF(OR(ISNUMBER(SEARCH("보류",K134)),ISNUMBER(SEARCH("미룸",K134)),ISNUMBER(SEARCH("나중에",K134)),ISNUMBER(SEARCH("보류",L134)),ISNUMBER(SEARCH("미룸",L134)),ISNUMBER(SEARCH("나중에",L134))),"보류(나중에 풀기)",IF(AND(F134="",G134="",H134="",I134=""),"미완료",IF(I134&lt;&gt;"","복습3(마스터)",IF(H134&lt;&gt;"","복습2",IF(G134&lt;&gt;"","복습1",IF(ISNUMBER(SEARCH("제미나이",K134)),"복습대기(AI도움)",IF(ISNUMBER(SEARCH("간당간당",K134)),"복습대기(간당간당)",IF(OR(ISNUMBER(SEARCH("아이디어",K134)),ISNUMBER(SEARCH("시간초과",K134)),ISNUMBER(SEARCH("자료구조",K134)),ISNUMBER(SEARCH("경계값",K134)),ISNUMBER(SEARCH("다른 풀이",K134)),ISNUMBER(SEARCH("또풀기",K134))),"복습대기",IF(OR(ISNUMBER(SEARCH("복습필요없음",K134)),ISNUMBER(SEARCH("자력완벽",K134))),"품(복습불필요)",IF(F134&lt;&gt;"","품","미완료"))))))))))</f>
        <v/>
      </c>
      <c r="K134" s="32" t="inlineStr">
        <is>
          <t>-</t>
        </is>
      </c>
      <c r="L134" s="32" t="n"/>
      <c r="M134" s="28">
        <f>IF(OR(LEFT(J134,2)="보류", LEFT(J134,4)="복습대기", LEFT(J134,3)="복습1", LEFT(J134,3)="복습2"), MAX($M$3:M133)+1, "")</f>
        <v/>
      </c>
      <c r="N134" s="28" t="inlineStr">
        <is>
          <t>W06</t>
        </is>
      </c>
      <c r="O134" s="36" t="n">
        <v>46297</v>
      </c>
      <c r="P134" s="30">
        <f>IF(F134&lt;&gt;"","✅ 완료",IF(O134="","-",IF(TODAY()&gt;O134,"🚨 지연","⏳ 예정")))</f>
        <v/>
      </c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21.75" customHeight="1" s="209">
      <c r="A135" s="28" t="n">
        <v>132</v>
      </c>
      <c r="B135" s="28" t="inlineStr">
        <is>
          <t>1226</t>
        </is>
      </c>
      <c r="C135" s="30" t="inlineStr">
        <is>
          <t>D4</t>
        </is>
      </c>
      <c r="D135" s="32" t="inlineStr">
        <is>
          <t>미로1</t>
        </is>
      </c>
      <c r="E135" s="28" t="inlineStr">
        <is>
          <t>BFS / DFS (미로1)</t>
        </is>
      </c>
      <c r="F135" s="28" t="n"/>
      <c r="G135" s="28" t="n"/>
      <c r="H135" s="28" t="n"/>
      <c r="I135" s="28" t="n"/>
      <c r="J135" s="54">
        <f>IF(OR(ISNUMBER(SEARCH("보류",K135)),ISNUMBER(SEARCH("미룸",K135)),ISNUMBER(SEARCH("나중에",K135)),ISNUMBER(SEARCH("보류",L135)),ISNUMBER(SEARCH("미룸",L135)),ISNUMBER(SEARCH("나중에",L135))),"보류(나중에 풀기)",IF(AND(F135="",G135="",H135="",I135=""),"미완료",IF(I135&lt;&gt;"","복습3(마스터)",IF(H135&lt;&gt;"","복습2",IF(G135&lt;&gt;"","복습1",IF(ISNUMBER(SEARCH("제미나이",K135)),"복습대기(AI도움)",IF(ISNUMBER(SEARCH("간당간당",K135)),"복습대기(간당간당)",IF(OR(ISNUMBER(SEARCH("아이디어",K135)),ISNUMBER(SEARCH("시간초과",K135)),ISNUMBER(SEARCH("자료구조",K135)),ISNUMBER(SEARCH("경계값",K135)),ISNUMBER(SEARCH("다른 풀이",K135)),ISNUMBER(SEARCH("또풀기",K135))),"복습대기",IF(OR(ISNUMBER(SEARCH("복습필요없음",K135)),ISNUMBER(SEARCH("자력완벽",K135))),"품(복습불필요)",IF(F135&lt;&gt;"","품","미완료"))))))))))</f>
        <v/>
      </c>
      <c r="K135" s="32" t="inlineStr">
        <is>
          <t>-</t>
        </is>
      </c>
      <c r="L135" s="32" t="n"/>
      <c r="M135" s="28">
        <f>IF(OR(LEFT(J135,2)="보류", LEFT(J135,4)="복습대기", LEFT(J135,3)="복습1", LEFT(J135,3)="복습2"), MAX($M$3:M134)+1, "")</f>
        <v/>
      </c>
      <c r="N135" s="28" t="inlineStr">
        <is>
          <t>W06</t>
        </is>
      </c>
      <c r="O135" s="36" t="n">
        <v>46297</v>
      </c>
      <c r="P135" s="30">
        <f>IF(F135&lt;&gt;"","✅ 완료",IF(O135="","-",IF(TODAY()&gt;O135,"🚨 지연","⏳ 예정")))</f>
        <v/>
      </c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21.75" customHeight="1" s="209">
      <c r="A136" s="28" t="n">
        <v>133</v>
      </c>
      <c r="B136" s="28" t="inlineStr">
        <is>
          <t>1227</t>
        </is>
      </c>
      <c r="C136" s="30" t="inlineStr">
        <is>
          <t>D4</t>
        </is>
      </c>
      <c r="D136" s="32" t="inlineStr">
        <is>
          <t>미로2</t>
        </is>
      </c>
      <c r="E136" s="28" t="inlineStr">
        <is>
          <t>BFS / DFS (미로2)</t>
        </is>
      </c>
      <c r="F136" s="28" t="n"/>
      <c r="G136" s="28" t="n"/>
      <c r="H136" s="28" t="n"/>
      <c r="I136" s="28" t="n"/>
      <c r="J136" s="54">
        <f>IF(OR(ISNUMBER(SEARCH("보류",K136)),ISNUMBER(SEARCH("미룸",K136)),ISNUMBER(SEARCH("나중에",K136)),ISNUMBER(SEARCH("보류",L136)),ISNUMBER(SEARCH("미룸",L136)),ISNUMBER(SEARCH("나중에",L136))),"보류(나중에 풀기)",IF(AND(F136="",G136="",H136="",I136=""),"미완료",IF(I136&lt;&gt;"","복습3(마스터)",IF(H136&lt;&gt;"","복습2",IF(G136&lt;&gt;"","복습1",IF(ISNUMBER(SEARCH("제미나이",K136)),"복습대기(AI도움)",IF(ISNUMBER(SEARCH("간당간당",K136)),"복습대기(간당간당)",IF(OR(ISNUMBER(SEARCH("아이디어",K136)),ISNUMBER(SEARCH("시간초과",K136)),ISNUMBER(SEARCH("자료구조",K136)),ISNUMBER(SEARCH("경계값",K136)),ISNUMBER(SEARCH("다른 풀이",K136)),ISNUMBER(SEARCH("또풀기",K136))),"복습대기",IF(OR(ISNUMBER(SEARCH("복습필요없음",K136)),ISNUMBER(SEARCH("자력완벽",K136))),"품(복습불필요)",IF(F136&lt;&gt;"","품","미완료"))))))))))</f>
        <v/>
      </c>
      <c r="K136" s="32" t="inlineStr">
        <is>
          <t>-</t>
        </is>
      </c>
      <c r="L136" s="32" t="n"/>
      <c r="M136" s="28">
        <f>IF(OR(LEFT(J136,2)="보류", LEFT(J136,4)="복습대기", LEFT(J136,3)="복습1", LEFT(J136,3)="복습2"), MAX($M$3:M135)+1, "")</f>
        <v/>
      </c>
      <c r="N136" s="28" t="inlineStr">
        <is>
          <t>W06</t>
        </is>
      </c>
      <c r="O136" s="36" t="n">
        <v>46297</v>
      </c>
      <c r="P136" s="30">
        <f>IF(F136&lt;&gt;"","✅ 완료",IF(O136="","-",IF(TODAY()&gt;O136,"🚨 지연","⏳ 예정")))</f>
        <v/>
      </c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21.75" customHeight="1" s="209">
      <c r="A137" s="28" t="n">
        <v>134</v>
      </c>
      <c r="B137" s="28" t="inlineStr">
        <is>
          <t>1231</t>
        </is>
      </c>
      <c r="C137" s="30" t="inlineStr">
        <is>
          <t>D4</t>
        </is>
      </c>
      <c r="D137" s="32" t="inlineStr">
        <is>
          <t>중위순회</t>
        </is>
      </c>
      <c r="E137" s="28" t="inlineStr">
        <is>
          <t>트리 (중위순회)</t>
        </is>
      </c>
      <c r="F137" s="28" t="n"/>
      <c r="G137" s="28" t="n"/>
      <c r="H137" s="28" t="n"/>
      <c r="I137" s="28" t="n"/>
      <c r="J137" s="54">
        <f>IF(OR(ISNUMBER(SEARCH("보류",K137)),ISNUMBER(SEARCH("미룸",K137)),ISNUMBER(SEARCH("나중에",K137)),ISNUMBER(SEARCH("보류",L137)),ISNUMBER(SEARCH("미룸",L137)),ISNUMBER(SEARCH("나중에",L137))),"보류(나중에 풀기)",IF(AND(F137="",G137="",H137="",I137=""),"미완료",IF(I137&lt;&gt;"","복습3(마스터)",IF(H137&lt;&gt;"","복습2",IF(G137&lt;&gt;"","복습1",IF(ISNUMBER(SEARCH("제미나이",K137)),"복습대기(AI도움)",IF(ISNUMBER(SEARCH("간당간당",K137)),"복습대기(간당간당)",IF(OR(ISNUMBER(SEARCH("아이디어",K137)),ISNUMBER(SEARCH("시간초과",K137)),ISNUMBER(SEARCH("자료구조",K137)),ISNUMBER(SEARCH("경계값",K137)),ISNUMBER(SEARCH("다른 풀이",K137)),ISNUMBER(SEARCH("또풀기",K137))),"복습대기",IF(OR(ISNUMBER(SEARCH("복습필요없음",K137)),ISNUMBER(SEARCH("자력완벽",K137))),"품(복습불필요)",IF(F137&lt;&gt;"","품","미완료"))))))))))</f>
        <v/>
      </c>
      <c r="K137" s="32" t="inlineStr">
        <is>
          <t>-</t>
        </is>
      </c>
      <c r="L137" s="32" t="n"/>
      <c r="M137" s="28">
        <f>IF(OR(LEFT(J137,2)="보류", LEFT(J137,4)="복습대기", LEFT(J137,3)="복습1", LEFT(J137,3)="복습2"), MAX($M$3:M136)+1, "")</f>
        <v/>
      </c>
      <c r="N137" s="28" t="inlineStr">
        <is>
          <t>W06</t>
        </is>
      </c>
      <c r="O137" s="36" t="n">
        <v>46297</v>
      </c>
      <c r="P137" s="30">
        <f>IF(F137&lt;&gt;"","✅ 완료",IF(O137="","-",IF(TODAY()&gt;O137,"🚨 지연","⏳ 예정")))</f>
        <v/>
      </c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21.75" customHeight="1" s="209">
      <c r="A138" s="28" t="n">
        <v>135</v>
      </c>
      <c r="B138" s="28" t="inlineStr">
        <is>
          <t>1232</t>
        </is>
      </c>
      <c r="C138" s="30" t="inlineStr">
        <is>
          <t>D4</t>
        </is>
      </c>
      <c r="D138" s="32" t="inlineStr">
        <is>
          <t>사칙연산</t>
        </is>
      </c>
      <c r="E138" s="28" t="inlineStr">
        <is>
          <t>트리 (사칙연산)</t>
        </is>
      </c>
      <c r="F138" s="28" t="n"/>
      <c r="G138" s="28" t="n"/>
      <c r="H138" s="28" t="n"/>
      <c r="I138" s="28" t="n"/>
      <c r="J138" s="54">
        <f>IF(OR(ISNUMBER(SEARCH("보류",K138)),ISNUMBER(SEARCH("미룸",K138)),ISNUMBER(SEARCH("나중에",K138)),ISNUMBER(SEARCH("보류",L138)),ISNUMBER(SEARCH("미룸",L138)),ISNUMBER(SEARCH("나중에",L138))),"보류(나중에 풀기)",IF(AND(F138="",G138="",H138="",I138=""),"미완료",IF(I138&lt;&gt;"","복습3(마스터)",IF(H138&lt;&gt;"","복습2",IF(G138&lt;&gt;"","복습1",IF(ISNUMBER(SEARCH("제미나이",K138)),"복습대기(AI도움)",IF(ISNUMBER(SEARCH("간당간당",K138)),"복습대기(간당간당)",IF(OR(ISNUMBER(SEARCH("아이디어",K138)),ISNUMBER(SEARCH("시간초과",K138)),ISNUMBER(SEARCH("자료구조",K138)),ISNUMBER(SEARCH("경계값",K138)),ISNUMBER(SEARCH("다른 풀이",K138)),ISNUMBER(SEARCH("또풀기",K138))),"복습대기",IF(OR(ISNUMBER(SEARCH("복습필요없음",K138)),ISNUMBER(SEARCH("자력완벽",K138))),"품(복습불필요)",IF(F138&lt;&gt;"","품","미완료"))))))))))</f>
        <v/>
      </c>
      <c r="K138" s="32" t="inlineStr">
        <is>
          <t>-</t>
        </is>
      </c>
      <c r="L138" s="32" t="n"/>
      <c r="M138" s="28">
        <f>IF(OR(LEFT(J138,2)="보류", LEFT(J138,4)="복습대기", LEFT(J138,3)="복습1", LEFT(J138,3)="복습2"), MAX($M$3:M137)+1, "")</f>
        <v/>
      </c>
      <c r="N138" s="28" t="inlineStr">
        <is>
          <t>W06</t>
        </is>
      </c>
      <c r="O138" s="36" t="n">
        <v>46297</v>
      </c>
      <c r="P138" s="30">
        <f>IF(F138&lt;&gt;"","✅ 완료",IF(O138="","-",IF(TODAY()&gt;O138,"🚨 지연","⏳ 예정")))</f>
        <v/>
      </c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21.75" customHeight="1" s="209">
      <c r="A139" s="28" t="n">
        <v>136</v>
      </c>
      <c r="B139" s="28" t="inlineStr">
        <is>
          <t>1249</t>
        </is>
      </c>
      <c r="C139" s="30" t="inlineStr">
        <is>
          <t>D4</t>
        </is>
      </c>
      <c r="D139" s="32" t="inlineStr">
        <is>
          <t>보급로</t>
        </is>
      </c>
      <c r="E139" s="28" t="inlineStr">
        <is>
          <t>BFS / 다익스트라 (보급로)</t>
        </is>
      </c>
      <c r="F139" s="28" t="n"/>
      <c r="G139" s="28" t="n"/>
      <c r="H139" s="28" t="n"/>
      <c r="I139" s="28" t="n"/>
      <c r="J139" s="54">
        <f>IF(OR(ISNUMBER(SEARCH("보류",K139)),ISNUMBER(SEARCH("미룸",K139)),ISNUMBER(SEARCH("나중에",K139)),ISNUMBER(SEARCH("보류",L139)),ISNUMBER(SEARCH("미룸",L139)),ISNUMBER(SEARCH("나중에",L139))),"보류(나중에 풀기)",IF(AND(F139="",G139="",H139="",I139=""),"미완료",IF(I139&lt;&gt;"","복습3(마스터)",IF(H139&lt;&gt;"","복습2",IF(G139&lt;&gt;"","복습1",IF(ISNUMBER(SEARCH("제미나이",K139)),"복습대기(AI도움)",IF(ISNUMBER(SEARCH("간당간당",K139)),"복습대기(간당간당)",IF(OR(ISNUMBER(SEARCH("아이디어",K139)),ISNUMBER(SEARCH("시간초과",K139)),ISNUMBER(SEARCH("자료구조",K139)),ISNUMBER(SEARCH("경계값",K139)),ISNUMBER(SEARCH("다른 풀이",K139)),ISNUMBER(SEARCH("또풀기",K139))),"복습대기",IF(OR(ISNUMBER(SEARCH("복습필요없음",K139)),ISNUMBER(SEARCH("자력완벽",K139))),"품(복습불필요)",IF(F139&lt;&gt;"","품","미완료"))))))))))</f>
        <v/>
      </c>
      <c r="K139" s="32" t="inlineStr">
        <is>
          <t>-</t>
        </is>
      </c>
      <c r="L139" s="32" t="n"/>
      <c r="M139" s="28">
        <f>IF(OR(LEFT(J139,2)="보류", LEFT(J139,4)="복습대기", LEFT(J139,3)="복습1", LEFT(J139,3)="복습2"), MAX($M$3:M138)+1, "")</f>
        <v/>
      </c>
      <c r="N139" s="28" t="inlineStr">
        <is>
          <t>W06</t>
        </is>
      </c>
      <c r="O139" s="36" t="n">
        <v>46297</v>
      </c>
      <c r="P139" s="30">
        <f>IF(F139&lt;&gt;"","✅ 완료",IF(O139="","-",IF(TODAY()&gt;O139,"🚨 지연","⏳ 예정")))</f>
        <v/>
      </c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21.75" customHeight="1" s="209">
      <c r="A140" s="28" t="n">
        <v>137</v>
      </c>
      <c r="B140" s="28" t="inlineStr">
        <is>
          <t>1251</t>
        </is>
      </c>
      <c r="C140" s="30" t="inlineStr">
        <is>
          <t>D4</t>
        </is>
      </c>
      <c r="D140" s="32" t="inlineStr">
        <is>
          <t>하나로</t>
        </is>
      </c>
      <c r="E140" s="28" t="inlineStr">
        <is>
          <t>그래프 / MST (하나로)</t>
        </is>
      </c>
      <c r="F140" s="28" t="n"/>
      <c r="G140" s="28" t="n"/>
      <c r="H140" s="28" t="n"/>
      <c r="I140" s="28" t="n"/>
      <c r="J140" s="54">
        <f>IF(OR(ISNUMBER(SEARCH("보류",K140)),ISNUMBER(SEARCH("미룸",K140)),ISNUMBER(SEARCH("나중에",K140)),ISNUMBER(SEARCH("보류",L140)),ISNUMBER(SEARCH("미룸",L140)),ISNUMBER(SEARCH("나중에",L140))),"보류(나중에 풀기)",IF(AND(F140="",G140="",H140="",I140=""),"미완료",IF(I140&lt;&gt;"","복습3(마스터)",IF(H140&lt;&gt;"","복습2",IF(G140&lt;&gt;"","복습1",IF(ISNUMBER(SEARCH("제미나이",K140)),"복습대기(AI도움)",IF(ISNUMBER(SEARCH("간당간당",K140)),"복습대기(간당간당)",IF(OR(ISNUMBER(SEARCH("아이디어",K140)),ISNUMBER(SEARCH("시간초과",K140)),ISNUMBER(SEARCH("자료구조",K140)),ISNUMBER(SEARCH("경계값",K140)),ISNUMBER(SEARCH("다른 풀이",K140)),ISNUMBER(SEARCH("또풀기",K140))),"복습대기",IF(OR(ISNUMBER(SEARCH("복습필요없음",K140)),ISNUMBER(SEARCH("자력완벽",K140))),"품(복습불필요)",IF(F140&lt;&gt;"","품","미완료"))))))))))</f>
        <v/>
      </c>
      <c r="K140" s="32" t="inlineStr">
        <is>
          <t>-</t>
        </is>
      </c>
      <c r="L140" s="32" t="n"/>
      <c r="M140" s="28">
        <f>IF(OR(LEFT(J140,2)="보류", LEFT(J140,4)="복습대기", LEFT(J140,3)="복습1", LEFT(J140,3)="복습2"), MAX($M$3:M139)+1, "")</f>
        <v/>
      </c>
      <c r="N140" s="28" t="inlineStr">
        <is>
          <t>W06</t>
        </is>
      </c>
      <c r="O140" s="36" t="n">
        <v>46298</v>
      </c>
      <c r="P140" s="30">
        <f>IF(F140&lt;&gt;"","✅ 완료",IF(O140="","-",IF(TODAY()&gt;O140,"🚨 지연","⏳ 예정")))</f>
        <v/>
      </c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21.75" customHeight="1" s="209">
      <c r="A141" s="28" t="n">
        <v>138</v>
      </c>
      <c r="B141" s="28" t="inlineStr">
        <is>
          <t>1486</t>
        </is>
      </c>
      <c r="C141" s="30" t="inlineStr">
        <is>
          <t>D4</t>
        </is>
      </c>
      <c r="D141" s="32" t="inlineStr">
        <is>
          <t>장훈이의 높은 선반</t>
        </is>
      </c>
      <c r="E141" s="28" t="inlineStr">
        <is>
          <t>DFS / 부분집합 (장훈이)</t>
        </is>
      </c>
      <c r="F141" s="28" t="n"/>
      <c r="G141" s="28" t="n"/>
      <c r="H141" s="28" t="n"/>
      <c r="I141" s="28" t="n"/>
      <c r="J141" s="54">
        <f>IF(OR(ISNUMBER(SEARCH("보류",K141)),ISNUMBER(SEARCH("미룸",K141)),ISNUMBER(SEARCH("나중에",K141)),ISNUMBER(SEARCH("보류",L141)),ISNUMBER(SEARCH("미룸",L141)),ISNUMBER(SEARCH("나중에",L141))),"보류(나중에 풀기)",IF(AND(F141="",G141="",H141="",I141=""),"미완료",IF(I141&lt;&gt;"","복습3(마스터)",IF(H141&lt;&gt;"","복습2",IF(G141&lt;&gt;"","복습1",IF(ISNUMBER(SEARCH("제미나이",K141)),"복습대기(AI도움)",IF(ISNUMBER(SEARCH("간당간당",K141)),"복습대기(간당간당)",IF(OR(ISNUMBER(SEARCH("아이디어",K141)),ISNUMBER(SEARCH("시간초과",K141)),ISNUMBER(SEARCH("자료구조",K141)),ISNUMBER(SEARCH("경계값",K141)),ISNUMBER(SEARCH("다른 풀이",K141)),ISNUMBER(SEARCH("또풀기",K141))),"복습대기",IF(OR(ISNUMBER(SEARCH("복습필요없음",K141)),ISNUMBER(SEARCH("자력완벽",K141))),"품(복습불필요)",IF(F141&lt;&gt;"","품","미완료"))))))))))</f>
        <v/>
      </c>
      <c r="K141" s="32" t="inlineStr">
        <is>
          <t>-</t>
        </is>
      </c>
      <c r="L141" s="32" t="n"/>
      <c r="M141" s="28">
        <f>IF(OR(LEFT(J141,2)="보류", LEFT(J141,4)="복습대기", LEFT(J141,3)="복습1", LEFT(J141,3)="복습2"), MAX($M$3:M140)+1, "")</f>
        <v/>
      </c>
      <c r="N141" s="28" t="inlineStr">
        <is>
          <t>W06</t>
        </is>
      </c>
      <c r="O141" s="36" t="n">
        <v>46298</v>
      </c>
      <c r="P141" s="30">
        <f>IF(F141&lt;&gt;"","✅ 완료",IF(O141="","-",IF(TODAY()&gt;O141,"🚨 지연","⏳ 예정")))</f>
        <v/>
      </c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21.75" customHeight="1" s="209">
      <c r="A142" s="28" t="n">
        <v>139</v>
      </c>
      <c r="B142" s="28" t="inlineStr">
        <is>
          <t>1868</t>
        </is>
      </c>
      <c r="C142" s="30" t="inlineStr">
        <is>
          <t>D4</t>
        </is>
      </c>
      <c r="D142" s="32" t="inlineStr">
        <is>
          <t>파핑파핑 지뢰찾기</t>
        </is>
      </c>
      <c r="E142" s="28" t="inlineStr">
        <is>
          <t>BFS / 시뮬레이션 (지뢰찾기)</t>
        </is>
      </c>
      <c r="F142" s="28" t="n"/>
      <c r="G142" s="28" t="n"/>
      <c r="H142" s="28" t="n"/>
      <c r="I142" s="28" t="n"/>
      <c r="J142" s="54">
        <f>IF(OR(ISNUMBER(SEARCH("보류",K142)),ISNUMBER(SEARCH("미룸",K142)),ISNUMBER(SEARCH("나중에",K142)),ISNUMBER(SEARCH("보류",L142)),ISNUMBER(SEARCH("미룸",L142)),ISNUMBER(SEARCH("나중에",L142))),"보류(나중에 풀기)",IF(AND(F142="",G142="",H142="",I142=""),"미완료",IF(I142&lt;&gt;"","복습3(마스터)",IF(H142&lt;&gt;"","복습2",IF(G142&lt;&gt;"","복습1",IF(ISNUMBER(SEARCH("제미나이",K142)),"복습대기(AI도움)",IF(ISNUMBER(SEARCH("간당간당",K142)),"복습대기(간당간당)",IF(OR(ISNUMBER(SEARCH("아이디어",K142)),ISNUMBER(SEARCH("시간초과",K142)),ISNUMBER(SEARCH("자료구조",K142)),ISNUMBER(SEARCH("경계값",K142)),ISNUMBER(SEARCH("다른 풀이",K142)),ISNUMBER(SEARCH("또풀기",K142))),"복습대기",IF(OR(ISNUMBER(SEARCH("복습필요없음",K142)),ISNUMBER(SEARCH("자력완벽",K142))),"품(복습불필요)",IF(F142&lt;&gt;"","품","미완료"))))))))))</f>
        <v/>
      </c>
      <c r="K142" s="32" t="inlineStr">
        <is>
          <t>-</t>
        </is>
      </c>
      <c r="L142" s="32" t="n"/>
      <c r="M142" s="28">
        <f>IF(OR(LEFT(J142,2)="보류", LEFT(J142,4)="복습대기", LEFT(J142,3)="복습1", LEFT(J142,3)="복습2"), MAX($M$3:M141)+1, "")</f>
        <v/>
      </c>
      <c r="N142" s="28" t="inlineStr">
        <is>
          <t>W06</t>
        </is>
      </c>
      <c r="O142" s="36" t="n">
        <v>46298</v>
      </c>
      <c r="P142" s="30">
        <f>IF(F142&lt;&gt;"","✅ 완료",IF(O142="","-",IF(TODAY()&gt;O142,"🚨 지연","⏳ 예정")))</f>
        <v/>
      </c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21.75" customHeight="1" s="209">
      <c r="A143" s="28" t="n">
        <v>140</v>
      </c>
      <c r="B143" s="28" t="inlineStr">
        <is>
          <t>3289</t>
        </is>
      </c>
      <c r="C143" s="30" t="inlineStr">
        <is>
          <t>D4</t>
        </is>
      </c>
      <c r="D143" s="32" t="inlineStr">
        <is>
          <t>서로소 집합</t>
        </is>
      </c>
      <c r="E143" s="28" t="inlineStr">
        <is>
          <t>수학 / 정수론</t>
        </is>
      </c>
      <c r="F143" s="28" t="n"/>
      <c r="G143" s="28" t="n"/>
      <c r="H143" s="28" t="n"/>
      <c r="I143" s="28" t="n"/>
      <c r="J143" s="54">
        <f>IF(OR(ISNUMBER(SEARCH("보류",K143)),ISNUMBER(SEARCH("미룸",K143)),ISNUMBER(SEARCH("나중에",K143)),ISNUMBER(SEARCH("보류",L143)),ISNUMBER(SEARCH("미룸",L143)),ISNUMBER(SEARCH("나중에",L143))),"보류(나중에 풀기)",IF(AND(F143="",G143="",H143="",I143=""),"미완료",IF(I143&lt;&gt;"","복습3(마스터)",IF(H143&lt;&gt;"","복습2",IF(G143&lt;&gt;"","복습1",IF(ISNUMBER(SEARCH("제미나이",K143)),"복습대기(AI도움)",IF(ISNUMBER(SEARCH("간당간당",K143)),"복습대기(간당간당)",IF(OR(ISNUMBER(SEARCH("아이디어",K143)),ISNUMBER(SEARCH("시간초과",K143)),ISNUMBER(SEARCH("자료구조",K143)),ISNUMBER(SEARCH("경계값",K143)),ISNUMBER(SEARCH("다른 풀이",K143)),ISNUMBER(SEARCH("또풀기",K143))),"복습대기",IF(OR(ISNUMBER(SEARCH("복습필요없음",K143)),ISNUMBER(SEARCH("자력완벽",K143))),"품(복습불필요)",IF(F143&lt;&gt;"","품","미완료"))))))))))</f>
        <v/>
      </c>
      <c r="K143" s="32" t="inlineStr">
        <is>
          <t>-</t>
        </is>
      </c>
      <c r="L143" s="32" t="n"/>
      <c r="M143" s="28">
        <f>IF(OR(LEFT(J143,2)="보류", LEFT(J143,4)="복습대기", LEFT(J143,3)="복습1", LEFT(J143,3)="복습2"), MAX($M$3:M142)+1, "")</f>
        <v/>
      </c>
      <c r="N143" s="28" t="inlineStr">
        <is>
          <t>W06</t>
        </is>
      </c>
      <c r="O143" s="36" t="n">
        <v>46298</v>
      </c>
      <c r="P143" s="30">
        <f>IF(F143&lt;&gt;"","✅ 완료",IF(O143="","-",IF(TODAY()&gt;O143,"🚨 지연","⏳ 예정")))</f>
        <v/>
      </c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21.75" customHeight="1" s="209">
      <c r="A144" s="28" t="n">
        <v>141</v>
      </c>
      <c r="B144" s="28" t="inlineStr">
        <is>
          <t>7465</t>
        </is>
      </c>
      <c r="C144" s="30" t="inlineStr">
        <is>
          <t>D4</t>
        </is>
      </c>
      <c r="D144" s="32" t="inlineStr">
        <is>
          <t>창용 마을 무리의 개수</t>
        </is>
      </c>
      <c r="E144" s="28" t="inlineStr">
        <is>
          <t>그래프 / 유니온파인드</t>
        </is>
      </c>
      <c r="F144" s="28" t="n"/>
      <c r="G144" s="28" t="n"/>
      <c r="H144" s="28" t="n"/>
      <c r="I144" s="28" t="n"/>
      <c r="J144" s="54">
        <f>IF(OR(ISNUMBER(SEARCH("보류",K144)),ISNUMBER(SEARCH("미룸",K144)),ISNUMBER(SEARCH("나중에",K144)),ISNUMBER(SEARCH("보류",L144)),ISNUMBER(SEARCH("미룸",L144)),ISNUMBER(SEARCH("나중에",L144))),"보류(나중에 풀기)",IF(AND(F144="",G144="",H144="",I144=""),"미완료",IF(I144&lt;&gt;"","복습3(마스터)",IF(H144&lt;&gt;"","복습2",IF(G144&lt;&gt;"","복습1",IF(ISNUMBER(SEARCH("제미나이",K144)),"복습대기(AI도움)",IF(ISNUMBER(SEARCH("간당간당",K144)),"복습대기(간당간당)",IF(OR(ISNUMBER(SEARCH("아이디어",K144)),ISNUMBER(SEARCH("시간초과",K144)),ISNUMBER(SEARCH("자료구조",K144)),ISNUMBER(SEARCH("경계값",K144)),ISNUMBER(SEARCH("다른 풀이",K144)),ISNUMBER(SEARCH("또풀기",K144))),"복습대기",IF(OR(ISNUMBER(SEARCH("복습필요없음",K144)),ISNUMBER(SEARCH("자력완벽",K144))),"품(복습불필요)",IF(F144&lt;&gt;"","품","미완료"))))))))))</f>
        <v/>
      </c>
      <c r="K144" s="32" t="inlineStr">
        <is>
          <t>-</t>
        </is>
      </c>
      <c r="L144" s="32" t="n"/>
      <c r="M144" s="28">
        <f>IF(OR(LEFT(J144,2)="보류", LEFT(J144,4)="복습대기", LEFT(J144,3)="복습1", LEFT(J144,3)="복습2"), MAX($M$3:M143)+1, "")</f>
        <v/>
      </c>
      <c r="N144" s="28" t="inlineStr">
        <is>
          <t>W06</t>
        </is>
      </c>
      <c r="O144" s="36" t="n">
        <v>46298</v>
      </c>
      <c r="P144" s="30">
        <f>IF(F144&lt;&gt;"","✅ 완료",IF(O144="","-",IF(TODAY()&gt;O144,"🚨 지연","⏳ 예정")))</f>
        <v/>
      </c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21.75" customHeight="1" s="209">
      <c r="A145" s="28" t="n">
        <v>142</v>
      </c>
      <c r="B145" s="28" t="inlineStr">
        <is>
          <t>1233</t>
        </is>
      </c>
      <c r="C145" s="30" t="inlineStr">
        <is>
          <t>D4</t>
        </is>
      </c>
      <c r="D145" s="32" t="inlineStr">
        <is>
          <t>[S/W 문제해결 기본] 9일차 - 사칙연산 유효성 검사</t>
        </is>
      </c>
      <c r="E145" s="28" t="inlineStr">
        <is>
          <t>트리 (사칙연산 유효성)</t>
        </is>
      </c>
      <c r="F145" s="28" t="n"/>
      <c r="G145" s="28" t="n"/>
      <c r="H145" s="28" t="n"/>
      <c r="I145" s="28" t="n"/>
      <c r="J145" s="54">
        <f>IF(OR(ISNUMBER(SEARCH("보류",K145)),ISNUMBER(SEARCH("미룸",K145)),ISNUMBER(SEARCH("나중에",K145)),ISNUMBER(SEARCH("보류",L145)),ISNUMBER(SEARCH("미룸",L145)),ISNUMBER(SEARCH("나중에",L145))),"보류(나중에 풀기)",IF(AND(F145="",G145="",H145="",I145=""),"미완료",IF(I145&lt;&gt;"","복습3(마스터)",IF(H145&lt;&gt;"","복습2",IF(G145&lt;&gt;"","복습1",IF(ISNUMBER(SEARCH("제미나이",K145)),"복습대기(AI도움)",IF(ISNUMBER(SEARCH("간당간당",K145)),"복습대기(간당간당)",IF(OR(ISNUMBER(SEARCH("아이디어",K145)),ISNUMBER(SEARCH("시간초과",K145)),ISNUMBER(SEARCH("자료구조",K145)),ISNUMBER(SEARCH("경계값",K145)),ISNUMBER(SEARCH("다른 풀이",K145)),ISNUMBER(SEARCH("또풀기",K145))),"복습대기",IF(OR(ISNUMBER(SEARCH("복습필요없음",K145)),ISNUMBER(SEARCH("자력완벽",K145))),"품(복습불필요)",IF(F145&lt;&gt;"","품","미완료"))))))))))</f>
        <v/>
      </c>
      <c r="K145" s="32" t="inlineStr">
        <is>
          <t>-</t>
        </is>
      </c>
      <c r="L145" s="32" t="n"/>
      <c r="M145" s="28">
        <f>IF(OR(LEFT(J145,2)="보류", LEFT(J145,4)="복습대기", LEFT(J145,3)="복습1", LEFT(J145,3)="복습2"), MAX($M$3:M144)+1, "")</f>
        <v/>
      </c>
      <c r="N145" s="28" t="inlineStr">
        <is>
          <t>W06</t>
        </is>
      </c>
      <c r="O145" s="36" t="n">
        <v>46298</v>
      </c>
      <c r="P145" s="30">
        <f>IF(F145&lt;&gt;"","✅ 완료",IF(O145="","-",IF(TODAY()&gt;O145,"🚨 지연","⏳ 예정")))</f>
        <v/>
      </c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21.75" customHeight="1" s="209">
      <c r="A146" s="28" t="n">
        <v>143</v>
      </c>
      <c r="B146" s="28" t="inlineStr">
        <is>
          <t>2819</t>
        </is>
      </c>
      <c r="C146" s="30" t="inlineStr">
        <is>
          <t>D4</t>
        </is>
      </c>
      <c r="D146" s="32" t="inlineStr">
        <is>
          <t>격자판의 숫자 이어 붙이기</t>
        </is>
      </c>
      <c r="E146" s="28" t="inlineStr">
        <is>
          <t>DFS / 완전탐색 (숫자 이어붙이기)</t>
        </is>
      </c>
      <c r="F146" s="28" t="n"/>
      <c r="G146" s="28" t="n"/>
      <c r="H146" s="28" t="n"/>
      <c r="I146" s="28" t="n"/>
      <c r="J146" s="54">
        <f>IF(OR(ISNUMBER(SEARCH("보류",K146)),ISNUMBER(SEARCH("미룸",K146)),ISNUMBER(SEARCH("나중에",K146)),ISNUMBER(SEARCH("보류",L146)),ISNUMBER(SEARCH("미룸",L146)),ISNUMBER(SEARCH("나중에",L146))),"보류(나중에 풀기)",IF(AND(F146="",G146="",H146="",I146=""),"미완료",IF(I146&lt;&gt;"","복습3(마스터)",IF(H146&lt;&gt;"","복습2",IF(G146&lt;&gt;"","복습1",IF(ISNUMBER(SEARCH("제미나이",K146)),"복습대기(AI도움)",IF(ISNUMBER(SEARCH("간당간당",K146)),"복습대기(간당간당)",IF(OR(ISNUMBER(SEARCH("아이디어",K146)),ISNUMBER(SEARCH("시간초과",K146)),ISNUMBER(SEARCH("자료구조",K146)),ISNUMBER(SEARCH("경계값",K146)),ISNUMBER(SEARCH("다른 풀이",K146)),ISNUMBER(SEARCH("또풀기",K146))),"복습대기",IF(OR(ISNUMBER(SEARCH("복습필요없음",K146)),ISNUMBER(SEARCH("자력완벽",K146))),"품(복습불필요)",IF(F146&lt;&gt;"","품","미완료"))))))))))</f>
        <v/>
      </c>
      <c r="K146" s="32" t="inlineStr">
        <is>
          <t>-</t>
        </is>
      </c>
      <c r="L146" s="32" t="n"/>
      <c r="M146" s="28">
        <f>IF(OR(LEFT(J146,2)="보류", LEFT(J146,4)="복습대기", LEFT(J146,3)="복습1", LEFT(J146,3)="복습2"), MAX($M$3:M145)+1, "")</f>
        <v/>
      </c>
      <c r="N146" s="28" t="inlineStr">
        <is>
          <t>W06</t>
        </is>
      </c>
      <c r="O146" s="36" t="n">
        <v>46298</v>
      </c>
      <c r="P146" s="30">
        <f>IF(F146&lt;&gt;"","✅ 완료",IF(O146="","-",IF(TODAY()&gt;O146,"🚨 지연","⏳ 예정")))</f>
        <v/>
      </c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21.75" customHeight="1" s="209">
      <c r="A147" s="28" t="n">
        <v>144</v>
      </c>
      <c r="B147" s="28" t="inlineStr">
        <is>
          <t>8568</t>
        </is>
      </c>
      <c r="C147" s="30" t="inlineStr">
        <is>
          <t>D4</t>
        </is>
      </c>
      <c r="D147" s="32" t="inlineStr">
        <is>
          <t>3으로 나눈 순열</t>
        </is>
      </c>
      <c r="E147" s="28" t="inlineStr">
        <is>
          <t>DFS / 백트래킹</t>
        </is>
      </c>
      <c r="F147" s="28" t="n"/>
      <c r="G147" s="28" t="n"/>
      <c r="H147" s="28" t="n"/>
      <c r="I147" s="28" t="n"/>
      <c r="J147" s="54">
        <f>IF(OR(ISNUMBER(SEARCH("보류",K147)),ISNUMBER(SEARCH("미룸",K147)),ISNUMBER(SEARCH("나중에",K147)),ISNUMBER(SEARCH("보류",L147)),ISNUMBER(SEARCH("미룸",L147)),ISNUMBER(SEARCH("나중에",L147))),"보류(나중에 풀기)",IF(AND(F147="",G147="",H147="",I147=""),"미완료",IF(I147&lt;&gt;"","복습3(마스터)",IF(H147&lt;&gt;"","복습2",IF(G147&lt;&gt;"","복습1",IF(ISNUMBER(SEARCH("제미나이",K147)),"복습대기(AI도움)",IF(ISNUMBER(SEARCH("간당간당",K147)),"복습대기(간당간당)",IF(OR(ISNUMBER(SEARCH("아이디어",K147)),ISNUMBER(SEARCH("시간초과",K147)),ISNUMBER(SEARCH("자료구조",K147)),ISNUMBER(SEARCH("경계값",K147)),ISNUMBER(SEARCH("다른 풀이",K147)),ISNUMBER(SEARCH("또풀기",K147))),"복습대기",IF(OR(ISNUMBER(SEARCH("복습필요없음",K147)),ISNUMBER(SEARCH("자력완벽",K147))),"품(복습불필요)",IF(F147&lt;&gt;"","품","미완료"))))))))))</f>
        <v/>
      </c>
      <c r="K147" s="32" t="inlineStr">
        <is>
          <t>-</t>
        </is>
      </c>
      <c r="L147" s="32" t="n"/>
      <c r="M147" s="28">
        <f>IF(OR(LEFT(J147,2)="보류", LEFT(J147,4)="복습대기", LEFT(J147,3)="복습1", LEFT(J147,3)="복습2"), MAX($M$3:M146)+1, "")</f>
        <v/>
      </c>
      <c r="N147" s="28" t="inlineStr">
        <is>
          <t>W06</t>
        </is>
      </c>
      <c r="O147" s="36" t="n">
        <v>46299</v>
      </c>
      <c r="P147" s="30">
        <f>IF(F147&lt;&gt;"","✅ 완료",IF(O147="","-",IF(TODAY()&gt;O147,"🚨 지연","⏳ 예정")))</f>
        <v/>
      </c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21.75" customHeight="1" s="209">
      <c r="A148" s="28" t="n">
        <v>145</v>
      </c>
      <c r="B148" s="28" t="inlineStr">
        <is>
          <t>1247</t>
        </is>
      </c>
      <c r="C148" s="30" t="inlineStr">
        <is>
          <t>D5</t>
        </is>
      </c>
      <c r="D148" s="32" t="inlineStr">
        <is>
          <t>최적 경로</t>
        </is>
      </c>
      <c r="E148" s="28" t="inlineStr">
        <is>
          <t>DFS / 백트래킹 (최적 경로)</t>
        </is>
      </c>
      <c r="F148" s="28" t="n"/>
      <c r="G148" s="28" t="n"/>
      <c r="H148" s="28" t="n"/>
      <c r="I148" s="28" t="n"/>
      <c r="J148" s="54">
        <f>IF(OR(ISNUMBER(SEARCH("보류",K148)),ISNUMBER(SEARCH("미룸",K148)),ISNUMBER(SEARCH("나중에",K148)),ISNUMBER(SEARCH("보류",L148)),ISNUMBER(SEARCH("미룸",L148)),ISNUMBER(SEARCH("나중에",L148))),"보류(나중에 풀기)",IF(AND(F148="",G148="",H148="",I148=""),"미완료",IF(I148&lt;&gt;"","복습3(마스터)",IF(H148&lt;&gt;"","복습2",IF(G148&lt;&gt;"","복습1",IF(ISNUMBER(SEARCH("제미나이",K148)),"복습대기(AI도움)",IF(ISNUMBER(SEARCH("간당간당",K148)),"복습대기(간당간당)",IF(OR(ISNUMBER(SEARCH("아이디어",K148)),ISNUMBER(SEARCH("시간초과",K148)),ISNUMBER(SEARCH("자료구조",K148)),ISNUMBER(SEARCH("경계값",K148)),ISNUMBER(SEARCH("다른 풀이",K148)),ISNUMBER(SEARCH("또풀기",K148))),"복습대기",IF(OR(ISNUMBER(SEARCH("복습필요없음",K148)),ISNUMBER(SEARCH("자력완벽",K148))),"품(복습불필요)",IF(F148&lt;&gt;"","품","미완료"))))))))))</f>
        <v/>
      </c>
      <c r="K148" s="32" t="inlineStr">
        <is>
          <t>-</t>
        </is>
      </c>
      <c r="L148" s="32" t="n"/>
      <c r="M148" s="28">
        <f>IF(OR(LEFT(J148,2)="보류", LEFT(J148,4)="복습대기", LEFT(J148,3)="복습1", LEFT(J148,3)="복습2"), MAX($M$3:M147)+1, "")</f>
        <v/>
      </c>
      <c r="N148" s="28" t="inlineStr">
        <is>
          <t>W06</t>
        </is>
      </c>
      <c r="O148" s="36" t="n">
        <v>46299</v>
      </c>
      <c r="P148" s="30">
        <f>IF(F148&lt;&gt;"","✅ 완료",IF(O148="","-",IF(TODAY()&gt;O148,"🚨 지연","⏳ 예정")))</f>
        <v/>
      </c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21.75" customHeight="1" s="209">
      <c r="A149" s="28" t="n">
        <v>146</v>
      </c>
      <c r="B149" s="28" t="inlineStr">
        <is>
          <t>1248</t>
        </is>
      </c>
      <c r="C149" s="30" t="inlineStr">
        <is>
          <t>D5</t>
        </is>
      </c>
      <c r="D149" s="32" t="inlineStr">
        <is>
          <t>공통조상</t>
        </is>
      </c>
      <c r="E149" s="28" t="inlineStr">
        <is>
          <t>트리 / LCA (공통조상)</t>
        </is>
      </c>
      <c r="F149" s="28" t="n"/>
      <c r="G149" s="28" t="n"/>
      <c r="H149" s="28" t="n"/>
      <c r="I149" s="28" t="n"/>
      <c r="J149" s="54">
        <f>IF(OR(ISNUMBER(SEARCH("보류",K149)),ISNUMBER(SEARCH("미룸",K149)),ISNUMBER(SEARCH("나중에",K149)),ISNUMBER(SEARCH("보류",L149)),ISNUMBER(SEARCH("미룸",L149)),ISNUMBER(SEARCH("나중에",L149))),"보류(나중에 풀기)",IF(AND(F149="",G149="",H149="",I149=""),"미완료",IF(I149&lt;&gt;"","복습3(마스터)",IF(H149&lt;&gt;"","복습2",IF(G149&lt;&gt;"","복습1",IF(ISNUMBER(SEARCH("제미나이",K149)),"복습대기(AI도움)",IF(ISNUMBER(SEARCH("간당간당",K149)),"복습대기(간당간당)",IF(OR(ISNUMBER(SEARCH("아이디어",K149)),ISNUMBER(SEARCH("시간초과",K149)),ISNUMBER(SEARCH("자료구조",K149)),ISNUMBER(SEARCH("경계값",K149)),ISNUMBER(SEARCH("다른 풀이",K149)),ISNUMBER(SEARCH("또풀기",K149))),"복습대기",IF(OR(ISNUMBER(SEARCH("복습필요없음",K149)),ISNUMBER(SEARCH("자력완벽",K149))),"품(복습불필요)",IF(F149&lt;&gt;"","품","미완료"))))))))))</f>
        <v/>
      </c>
      <c r="K149" s="32" t="inlineStr">
        <is>
          <t>-</t>
        </is>
      </c>
      <c r="L149" s="32" t="n"/>
      <c r="M149" s="28">
        <f>IF(OR(LEFT(J149,2)="보류", LEFT(J149,4)="복습대기", LEFT(J149,3)="복습1", LEFT(J149,3)="복습2"), MAX($M$3:M148)+1, "")</f>
        <v/>
      </c>
      <c r="N149" s="28" t="inlineStr">
        <is>
          <t>W06</t>
        </is>
      </c>
      <c r="O149" s="36" t="n">
        <v>46299</v>
      </c>
      <c r="P149" s="30">
        <f>IF(F149&lt;&gt;"","✅ 완료",IF(O149="","-",IF(TODAY()&gt;O149,"🚨 지연","⏳ 예정")))</f>
        <v/>
      </c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21.75" customHeight="1" s="209">
      <c r="A150" s="28" t="n">
        <v>147</v>
      </c>
      <c r="B150" s="28" t="inlineStr">
        <is>
          <t>1245</t>
        </is>
      </c>
      <c r="C150" s="30" t="inlineStr">
        <is>
          <t>D5</t>
        </is>
      </c>
      <c r="D150" s="32" t="inlineStr">
        <is>
          <t>[S/W 문제해결 응용] 2일차 - 균형점</t>
        </is>
      </c>
      <c r="E150" s="28" t="inlineStr">
        <is>
          <t>이진탐색 (균형점)</t>
        </is>
      </c>
      <c r="F150" s="28" t="n"/>
      <c r="G150" s="28" t="n"/>
      <c r="H150" s="28" t="n"/>
      <c r="I150" s="28" t="n"/>
      <c r="J150" s="54">
        <f>IF(OR(ISNUMBER(SEARCH("보류",K150)),ISNUMBER(SEARCH("미룸",K150)),ISNUMBER(SEARCH("나중에",K150)),ISNUMBER(SEARCH("보류",L150)),ISNUMBER(SEARCH("미룸",L150)),ISNUMBER(SEARCH("나중에",L150))),"보류(나중에 풀기)",IF(AND(F150="",G150="",H150="",I150=""),"미완료",IF(I150&lt;&gt;"","복습3(마스터)",IF(H150&lt;&gt;"","복습2",IF(G150&lt;&gt;"","복습1",IF(ISNUMBER(SEARCH("제미나이",K150)),"복습대기(AI도움)",IF(ISNUMBER(SEARCH("간당간당",K150)),"복습대기(간당간당)",IF(OR(ISNUMBER(SEARCH("아이디어",K150)),ISNUMBER(SEARCH("시간초과",K150)),ISNUMBER(SEARCH("자료구조",K150)),ISNUMBER(SEARCH("경계값",K150)),ISNUMBER(SEARCH("다른 풀이",K150)),ISNUMBER(SEARCH("또풀기",K150))),"복습대기",IF(OR(ISNUMBER(SEARCH("복습필요없음",K150)),ISNUMBER(SEARCH("자력완벽",K150))),"품(복습불필요)",IF(F150&lt;&gt;"","품","미완료"))))))))))</f>
        <v/>
      </c>
      <c r="K150" s="32" t="inlineStr">
        <is>
          <t>-</t>
        </is>
      </c>
      <c r="L150" s="32" t="n"/>
      <c r="M150" s="28">
        <f>IF(OR(LEFT(J150,2)="보류", LEFT(J150,4)="복습대기", LEFT(J150,3)="복습1", LEFT(J150,3)="복습2"), MAX($M$3:M149)+1, "")</f>
        <v/>
      </c>
      <c r="N150" s="28" t="inlineStr">
        <is>
          <t>W06</t>
        </is>
      </c>
      <c r="O150" s="36" t="n">
        <v>46299</v>
      </c>
      <c r="P150" s="30">
        <f>IF(F150&lt;&gt;"","✅ 완료",IF(O150="","-",IF(TODAY()&gt;O150,"🚨 지연","⏳ 예정")))</f>
        <v/>
      </c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21.75" customHeight="1" s="209">
      <c r="A151" s="28" t="n">
        <v>148</v>
      </c>
      <c r="B151" s="28" t="inlineStr">
        <is>
          <t>1267</t>
        </is>
      </c>
      <c r="C151" s="30" t="inlineStr">
        <is>
          <t>D6</t>
        </is>
      </c>
      <c r="D151" s="32" t="inlineStr">
        <is>
          <t>작업순서</t>
        </is>
      </c>
      <c r="E151" s="28" t="inlineStr">
        <is>
          <t>그래프 / 위상정렬 (작업순서)</t>
        </is>
      </c>
      <c r="F151" s="28" t="n"/>
      <c r="G151" s="28" t="n"/>
      <c r="H151" s="28" t="n"/>
      <c r="I151" s="28" t="n"/>
      <c r="J151" s="54">
        <f>IF(OR(ISNUMBER(SEARCH("보류",K151)),ISNUMBER(SEARCH("미룸",K151)),ISNUMBER(SEARCH("나중에",K151)),ISNUMBER(SEARCH("보류",L151)),ISNUMBER(SEARCH("미룸",L151)),ISNUMBER(SEARCH("나중에",L151))),"보류(나중에 풀기)",IF(AND(F151="",G151="",H151="",I151=""),"미완료",IF(I151&lt;&gt;"","복습3(마스터)",IF(H151&lt;&gt;"","복습2",IF(G151&lt;&gt;"","복습1",IF(ISNUMBER(SEARCH("제미나이",K151)),"복습대기(AI도움)",IF(ISNUMBER(SEARCH("간당간당",K151)),"복습대기(간당간당)",IF(OR(ISNUMBER(SEARCH("아이디어",K151)),ISNUMBER(SEARCH("시간초과",K151)),ISNUMBER(SEARCH("자료구조",K151)),ISNUMBER(SEARCH("경계값",K151)),ISNUMBER(SEARCH("다른 풀이",K151)),ISNUMBER(SEARCH("또풀기",K151))),"복습대기",IF(OR(ISNUMBER(SEARCH("복습필요없음",K151)),ISNUMBER(SEARCH("자력완벽",K151))),"품(복습불필요)",IF(F151&lt;&gt;"","품","미완료"))))))))))</f>
        <v/>
      </c>
      <c r="K151" s="32" t="inlineStr">
        <is>
          <t>-</t>
        </is>
      </c>
      <c r="L151" s="32" t="n"/>
      <c r="M151" s="28">
        <f>IF(OR(LEFT(J151,2)="보류", LEFT(J151,4)="복습대기", LEFT(J151,3)="복습1", LEFT(J151,3)="복습2"), MAX($M$3:M150)+1, "")</f>
        <v/>
      </c>
      <c r="N151" s="28" t="inlineStr">
        <is>
          <t>W06</t>
        </is>
      </c>
      <c r="O151" s="36" t="n">
        <v>46299</v>
      </c>
      <c r="P151" s="30">
        <f>IF(F151&lt;&gt;"","✅ 완료",IF(O151="","-",IF(TODAY()&gt;O151,"🚨 지연","⏳ 예정")))</f>
        <v/>
      </c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21.75" customHeight="1" s="209">
      <c r="A152" s="28" t="n">
        <v>149</v>
      </c>
      <c r="B152" s="28" t="inlineStr">
        <is>
          <t>1234</t>
        </is>
      </c>
      <c r="C152" s="30" t="inlineStr">
        <is>
          <t>D3</t>
        </is>
      </c>
      <c r="D152" s="32" t="inlineStr">
        <is>
          <t>비밀번호</t>
        </is>
      </c>
      <c r="E152" s="28" t="inlineStr">
        <is>
          <t>자료구조 (스택 / 비밀번호)</t>
        </is>
      </c>
      <c r="F152" s="28" t="n"/>
      <c r="G152" s="28" t="n"/>
      <c r="H152" s="28" t="n"/>
      <c r="I152" s="28" t="n"/>
      <c r="J152" s="54">
        <f>IF(OR(ISNUMBER(SEARCH("보류",K152)),ISNUMBER(SEARCH("미룸",K152)),ISNUMBER(SEARCH("나중에",K152)),ISNUMBER(SEARCH("보류",L152)),ISNUMBER(SEARCH("미룸",L152)),ISNUMBER(SEARCH("나중에",L152))),"보류(나중에 풀기)",IF(AND(F152="",G152="",H152="",I152=""),"미완료",IF(I152&lt;&gt;"","복습3(마스터)",IF(H152&lt;&gt;"","복습2",IF(G152&lt;&gt;"","복습1",IF(ISNUMBER(SEARCH("제미나이",K152)),"복습대기(AI도움)",IF(ISNUMBER(SEARCH("간당간당",K152)),"복습대기(간당간당)",IF(OR(ISNUMBER(SEARCH("아이디어",K152)),ISNUMBER(SEARCH("시간초과",K152)),ISNUMBER(SEARCH("자료구조",K152)),ISNUMBER(SEARCH("경계값",K152)),ISNUMBER(SEARCH("다른 풀이",K152)),ISNUMBER(SEARCH("또풀기",K152))),"복습대기",IF(OR(ISNUMBER(SEARCH("복습필요없음",K152)),ISNUMBER(SEARCH("자력완벽",K152))),"품(복습불필요)",IF(F152&lt;&gt;"","품","미완료"))))))))))</f>
        <v/>
      </c>
      <c r="K152" s="32" t="inlineStr">
        <is>
          <t>-</t>
        </is>
      </c>
      <c r="L152" s="32" t="n"/>
      <c r="M152" s="28">
        <f>IF(OR(LEFT(J152,2)="보류", LEFT(J152,4)="복습대기", LEFT(J152,3)="복습1", LEFT(J152,3)="복습2"), MAX($M$3:M151)+1, "")</f>
        <v/>
      </c>
      <c r="N152" s="28" t="inlineStr">
        <is>
          <t>W06</t>
        </is>
      </c>
      <c r="O152" s="36" t="n">
        <v>46299</v>
      </c>
      <c r="P152" s="30">
        <f>IF(F152&lt;&gt;"","✅ 완료",IF(O152="","-",IF(TODAY()&gt;O152,"🚨 지연","⏳ 예정")))</f>
        <v/>
      </c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21.75" customHeight="1" s="209">
      <c r="A153" s="28" t="n">
        <v>150</v>
      </c>
      <c r="B153" s="28" t="inlineStr">
        <is>
          <t>1240</t>
        </is>
      </c>
      <c r="C153" s="30" t="inlineStr">
        <is>
          <t>D3</t>
        </is>
      </c>
      <c r="D153" s="32" t="inlineStr">
        <is>
          <t>단순 2진 암호코드</t>
        </is>
      </c>
      <c r="E153" s="28" t="inlineStr">
        <is>
          <t>문자열 / 비트 (단순2진암호)</t>
        </is>
      </c>
      <c r="F153" s="28" t="n"/>
      <c r="G153" s="28" t="n"/>
      <c r="H153" s="28" t="n"/>
      <c r="I153" s="28" t="n"/>
      <c r="J153" s="54">
        <f>IF(OR(ISNUMBER(SEARCH("보류",K153)),ISNUMBER(SEARCH("미룸",K153)),ISNUMBER(SEARCH("나중에",K153)),ISNUMBER(SEARCH("보류",L153)),ISNUMBER(SEARCH("미룸",L153)),ISNUMBER(SEARCH("나중에",L153))),"보류(나중에 풀기)",IF(AND(F153="",G153="",H153="",I153=""),"미완료",IF(I153&lt;&gt;"","복습3(마스터)",IF(H153&lt;&gt;"","복습2",IF(G153&lt;&gt;"","복습1",IF(ISNUMBER(SEARCH("제미나이",K153)),"복습대기(AI도움)",IF(ISNUMBER(SEARCH("간당간당",K153)),"복습대기(간당간당)",IF(OR(ISNUMBER(SEARCH("아이디어",K153)),ISNUMBER(SEARCH("시간초과",K153)),ISNUMBER(SEARCH("자료구조",K153)),ISNUMBER(SEARCH("경계값",K153)),ISNUMBER(SEARCH("다른 풀이",K153)),ISNUMBER(SEARCH("또풀기",K153))),"복습대기",IF(OR(ISNUMBER(SEARCH("복습필요없음",K153)),ISNUMBER(SEARCH("자력완벽",K153))),"품(복습불필요)",IF(F153&lt;&gt;"","품","미완료"))))))))))</f>
        <v/>
      </c>
      <c r="K153" s="32" t="inlineStr">
        <is>
          <t>-</t>
        </is>
      </c>
      <c r="L153" s="32" t="n"/>
      <c r="M153" s="28">
        <f>IF(OR(LEFT(J153,2)="보류", LEFT(J153,4)="복습대기", LEFT(J153,3)="복습1", LEFT(J153,3)="복습2"), MAX($M$3:M152)+1, "")</f>
        <v/>
      </c>
      <c r="N153" s="28" t="inlineStr">
        <is>
          <t>W06</t>
        </is>
      </c>
      <c r="O153" s="36" t="n">
        <v>46299</v>
      </c>
      <c r="P153" s="30">
        <f>IF(F153&lt;&gt;"","✅ 완료",IF(O153="","-",IF(TODAY()&gt;O153,"🚨 지연","⏳ 예정")))</f>
        <v/>
      </c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21.75" customHeight="1" s="209">
      <c r="A154" s="28" t="n">
        <v>151</v>
      </c>
      <c r="B154" s="28" t="inlineStr">
        <is>
          <t>1244</t>
        </is>
      </c>
      <c r="C154" s="30" t="inlineStr">
        <is>
          <t>D3</t>
        </is>
      </c>
      <c r="D154" s="32" t="inlineStr">
        <is>
          <t>최대 상금</t>
        </is>
      </c>
      <c r="E154" s="28" t="inlineStr">
        <is>
          <t>DFS / 완전탐색 (최대 상금)</t>
        </is>
      </c>
      <c r="F154" s="28" t="n"/>
      <c r="G154" s="28" t="n"/>
      <c r="H154" s="28" t="n"/>
      <c r="I154" s="28" t="n"/>
      <c r="J154" s="54">
        <f>IF(OR(ISNUMBER(SEARCH("보류",K154)),ISNUMBER(SEARCH("미룸",K154)),ISNUMBER(SEARCH("나중에",K154)),ISNUMBER(SEARCH("보류",L154)),ISNUMBER(SEARCH("미룸",L154)),ISNUMBER(SEARCH("나중에",L154))),"보류(나중에 풀기)",IF(AND(F154="",G154="",H154="",I154=""),"미완료",IF(I154&lt;&gt;"","복습3(마스터)",IF(H154&lt;&gt;"","복습2",IF(G154&lt;&gt;"","복습1",IF(ISNUMBER(SEARCH("제미나이",K154)),"복습대기(AI도움)",IF(ISNUMBER(SEARCH("간당간당",K154)),"복습대기(간당간당)",IF(OR(ISNUMBER(SEARCH("아이디어",K154)),ISNUMBER(SEARCH("시간초과",K154)),ISNUMBER(SEARCH("자료구조",K154)),ISNUMBER(SEARCH("경계값",K154)),ISNUMBER(SEARCH("다른 풀이",K154)),ISNUMBER(SEARCH("또풀기",K154))),"복습대기",IF(OR(ISNUMBER(SEARCH("복습필요없음",K154)),ISNUMBER(SEARCH("자력완벽",K154))),"품(복습불필요)",IF(F154&lt;&gt;"","품","미완료"))))))))))</f>
        <v/>
      </c>
      <c r="K154" s="32" t="inlineStr">
        <is>
          <t>-</t>
        </is>
      </c>
      <c r="L154" s="32" t="n"/>
      <c r="M154" s="28">
        <f>IF(OR(LEFT(J154,2)="보류", LEFT(J154,4)="복습대기", LEFT(J154,3)="복습1", LEFT(J154,3)="복습2"), MAX($M$3:M153)+1, "")</f>
        <v/>
      </c>
      <c r="N154" s="28" t="inlineStr">
        <is>
          <t>W07</t>
        </is>
      </c>
      <c r="O154" s="36" t="n">
        <v>46300</v>
      </c>
      <c r="P154" s="30">
        <f>IF(F154&lt;&gt;"","✅ 완료",IF(O154="","-",IF(TODAY()&gt;O154,"🚨 지연","⏳ 예정")))</f>
        <v/>
      </c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21.75" customHeight="1" s="209">
      <c r="A155" s="28" t="n">
        <v>152</v>
      </c>
      <c r="B155" s="28" t="inlineStr">
        <is>
          <t>1289</t>
        </is>
      </c>
      <c r="C155" s="30" t="inlineStr">
        <is>
          <t>D3</t>
        </is>
      </c>
      <c r="D155" s="32" t="inlineStr">
        <is>
          <t>원재의 메모리 복구하기</t>
        </is>
      </c>
      <c r="E155" s="28" t="inlineStr">
        <is>
          <t>동적계획법 (DP)</t>
        </is>
      </c>
      <c r="F155" s="28" t="n"/>
      <c r="G155" s="28" t="n"/>
      <c r="H155" s="28" t="n"/>
      <c r="I155" s="28" t="n"/>
      <c r="J155" s="54">
        <f>IF(OR(ISNUMBER(SEARCH("보류",K155)),ISNUMBER(SEARCH("미룸",K155)),ISNUMBER(SEARCH("나중에",K155)),ISNUMBER(SEARCH("보류",L155)),ISNUMBER(SEARCH("미룸",L155)),ISNUMBER(SEARCH("나중에",L155))),"보류(나중에 풀기)",IF(AND(F155="",G155="",H155="",I155=""),"미완료",IF(I155&lt;&gt;"","복습3(마스터)",IF(H155&lt;&gt;"","복습2",IF(G155&lt;&gt;"","복습1",IF(ISNUMBER(SEARCH("제미나이",K155)),"복습대기(AI도움)",IF(ISNUMBER(SEARCH("간당간당",K155)),"복습대기(간당간당)",IF(OR(ISNUMBER(SEARCH("아이디어",K155)),ISNUMBER(SEARCH("시간초과",K155)),ISNUMBER(SEARCH("자료구조",K155)),ISNUMBER(SEARCH("경계값",K155)),ISNUMBER(SEARCH("다른 풀이",K155)),ISNUMBER(SEARCH("또풀기",K155))),"복습대기",IF(OR(ISNUMBER(SEARCH("복습필요없음",K155)),ISNUMBER(SEARCH("자력완벽",K155))),"품(복습불필요)",IF(F155&lt;&gt;"","품","미완료"))))))))))</f>
        <v/>
      </c>
      <c r="K155" s="32" t="inlineStr">
        <is>
          <t>-</t>
        </is>
      </c>
      <c r="L155" s="32" t="n"/>
      <c r="M155" s="28">
        <f>IF(OR(LEFT(J155,2)="보류", LEFT(J155,4)="복습대기", LEFT(J155,3)="복습1", LEFT(J155,3)="복습2"), MAX($M$3:M154)+1, "")</f>
        <v/>
      </c>
      <c r="N155" s="28" t="inlineStr">
        <is>
          <t>W07</t>
        </is>
      </c>
      <c r="O155" s="36" t="n">
        <v>46300</v>
      </c>
      <c r="P155" s="30">
        <f>IF(F155&lt;&gt;"","✅ 완료",IF(O155="","-",IF(TODAY()&gt;O155,"🚨 지연","⏳ 예정")))</f>
        <v/>
      </c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21.75" customHeight="1" s="209">
      <c r="A156" s="28" t="n">
        <v>153</v>
      </c>
      <c r="B156" s="28" t="inlineStr">
        <is>
          <t>2805</t>
        </is>
      </c>
      <c r="C156" s="30" t="inlineStr">
        <is>
          <t>D3</t>
        </is>
      </c>
      <c r="D156" s="32" t="inlineStr">
        <is>
          <t>농작물 수확하기</t>
        </is>
      </c>
      <c r="E156" s="28" t="inlineStr">
        <is>
          <t>구현 / 2차원격자 (농작물 수확)</t>
        </is>
      </c>
      <c r="F156" s="28" t="n"/>
      <c r="G156" s="28" t="n"/>
      <c r="H156" s="28" t="n"/>
      <c r="I156" s="28" t="n"/>
      <c r="J156" s="54">
        <f>IF(OR(ISNUMBER(SEARCH("보류",K156)),ISNUMBER(SEARCH("미룸",K156)),ISNUMBER(SEARCH("나중에",K156)),ISNUMBER(SEARCH("보류",L156)),ISNUMBER(SEARCH("미룸",L156)),ISNUMBER(SEARCH("나중에",L156))),"보류(나중에 풀기)",IF(AND(F156="",G156="",H156="",I156=""),"미완료",IF(I156&lt;&gt;"","복습3(마스터)",IF(H156&lt;&gt;"","복습2",IF(G156&lt;&gt;"","복습1",IF(ISNUMBER(SEARCH("제미나이",K156)),"복습대기(AI도움)",IF(ISNUMBER(SEARCH("간당간당",K156)),"복습대기(간당간당)",IF(OR(ISNUMBER(SEARCH("아이디어",K156)),ISNUMBER(SEARCH("시간초과",K156)),ISNUMBER(SEARCH("자료구조",K156)),ISNUMBER(SEARCH("경계값",K156)),ISNUMBER(SEARCH("다른 풀이",K156)),ISNUMBER(SEARCH("또풀기",K156))),"복습대기",IF(OR(ISNUMBER(SEARCH("복습필요없음",K156)),ISNUMBER(SEARCH("자력완벽",K156))),"품(복습불필요)",IF(F156&lt;&gt;"","품","미완료"))))))))))</f>
        <v/>
      </c>
      <c r="K156" s="32" t="inlineStr">
        <is>
          <t>-</t>
        </is>
      </c>
      <c r="L156" s="32" t="n"/>
      <c r="M156" s="28">
        <f>IF(OR(LEFT(J156,2)="보류", LEFT(J156,4)="복습대기", LEFT(J156,3)="복습1", LEFT(J156,3)="복습2"), MAX($M$3:M155)+1, "")</f>
        <v/>
      </c>
      <c r="N156" s="28" t="inlineStr">
        <is>
          <t>W07</t>
        </is>
      </c>
      <c r="O156" s="36" t="n">
        <v>46300</v>
      </c>
      <c r="P156" s="30">
        <f>IF(F156&lt;&gt;"","✅ 완료",IF(O156="","-",IF(TODAY()&gt;O156,"🚨 지연","⏳ 예정")))</f>
        <v/>
      </c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21.75" customHeight="1" s="209">
      <c r="A157" s="28" t="n">
        <v>154</v>
      </c>
      <c r="B157" s="28" t="inlineStr">
        <is>
          <t>3282</t>
        </is>
      </c>
      <c r="C157" s="30" t="inlineStr">
        <is>
          <t>D3</t>
        </is>
      </c>
      <c r="D157" s="32" t="inlineStr">
        <is>
          <t>Knapsack</t>
        </is>
      </c>
      <c r="E157" s="28" t="inlineStr">
        <is>
          <t>동적계획법 (DP) (0/1 Knapsack)</t>
        </is>
      </c>
      <c r="F157" s="28" t="n"/>
      <c r="G157" s="28" t="n"/>
      <c r="H157" s="28" t="n"/>
      <c r="I157" s="28" t="n"/>
      <c r="J157" s="54">
        <f>IF(OR(ISNUMBER(SEARCH("보류",K157)),ISNUMBER(SEARCH("미룸",K157)),ISNUMBER(SEARCH("나중에",K157)),ISNUMBER(SEARCH("보류",L157)),ISNUMBER(SEARCH("미룸",L157)),ISNUMBER(SEARCH("나중에",L157))),"보류(나중에 풀기)",IF(AND(F157="",G157="",H157="",I157=""),"미완료",IF(I157&lt;&gt;"","복습3(마스터)",IF(H157&lt;&gt;"","복습2",IF(G157&lt;&gt;"","복습1",IF(ISNUMBER(SEARCH("제미나이",K157)),"복습대기(AI도움)",IF(ISNUMBER(SEARCH("간당간당",K157)),"복습대기(간당간당)",IF(OR(ISNUMBER(SEARCH("아이디어",K157)),ISNUMBER(SEARCH("시간초과",K157)),ISNUMBER(SEARCH("자료구조",K157)),ISNUMBER(SEARCH("경계값",K157)),ISNUMBER(SEARCH("다른 풀이",K157)),ISNUMBER(SEARCH("또풀기",K157))),"복습대기",IF(OR(ISNUMBER(SEARCH("복습필요없음",K157)),ISNUMBER(SEARCH("자력완벽",K157))),"품(복습불필요)",IF(F157&lt;&gt;"","품","미완료"))))))))))</f>
        <v/>
      </c>
      <c r="K157" s="32" t="inlineStr">
        <is>
          <t>-</t>
        </is>
      </c>
      <c r="L157" s="32" t="n"/>
      <c r="M157" s="28">
        <f>IF(OR(LEFT(J157,2)="보류", LEFT(J157,4)="복습대기", LEFT(J157,3)="복습1", LEFT(J157,3)="복습2"), MAX($M$3:M156)+1, "")</f>
        <v/>
      </c>
      <c r="N157" s="28" t="inlineStr">
        <is>
          <t>W07</t>
        </is>
      </c>
      <c r="O157" s="36" t="n">
        <v>46300</v>
      </c>
      <c r="P157" s="30">
        <f>IF(F157&lt;&gt;"","✅ 완료",IF(O157="","-",IF(TODAY()&gt;O157,"🚨 지연","⏳ 예정")))</f>
        <v/>
      </c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21.75" customHeight="1" s="209">
      <c r="A158" s="28" t="n">
        <v>155</v>
      </c>
      <c r="B158" s="28" t="inlineStr">
        <is>
          <t>3499</t>
        </is>
      </c>
      <c r="C158" s="30" t="inlineStr">
        <is>
          <t>D3</t>
        </is>
      </c>
      <c r="D158" s="32" t="inlineStr">
        <is>
          <t>퍼펙트 셔플</t>
        </is>
      </c>
      <c r="E158" s="28" t="inlineStr">
        <is>
          <t>완전탐색 / 시뮬레이션</t>
        </is>
      </c>
      <c r="F158" s="28" t="n"/>
      <c r="G158" s="28" t="n"/>
      <c r="H158" s="28" t="n"/>
      <c r="I158" s="28" t="n"/>
      <c r="J158" s="54">
        <f>IF(OR(ISNUMBER(SEARCH("보류",K158)),ISNUMBER(SEARCH("미룸",K158)),ISNUMBER(SEARCH("나중에",K158)),ISNUMBER(SEARCH("보류",L158)),ISNUMBER(SEARCH("미룸",L158)),ISNUMBER(SEARCH("나중에",L158))),"보류(나중에 풀기)",IF(AND(F158="",G158="",H158="",I158=""),"미완료",IF(I158&lt;&gt;"","복습3(마스터)",IF(H158&lt;&gt;"","복습2",IF(G158&lt;&gt;"","복습1",IF(ISNUMBER(SEARCH("제미나이",K158)),"복습대기(AI도움)",IF(ISNUMBER(SEARCH("간당간당",K158)),"복습대기(간당간당)",IF(OR(ISNUMBER(SEARCH("아이디어",K158)),ISNUMBER(SEARCH("시간초과",K158)),ISNUMBER(SEARCH("자료구조",K158)),ISNUMBER(SEARCH("경계값",K158)),ISNUMBER(SEARCH("다른 풀이",K158)),ISNUMBER(SEARCH("또풀기",K158))),"복습대기",IF(OR(ISNUMBER(SEARCH("복습필요없음",K158)),ISNUMBER(SEARCH("자력완벽",K158))),"품(복습불필요)",IF(F158&lt;&gt;"","품","미완료"))))))))))</f>
        <v/>
      </c>
      <c r="K158" s="32" t="inlineStr">
        <is>
          <t>-</t>
        </is>
      </c>
      <c r="L158" s="32" t="n"/>
      <c r="M158" s="28">
        <f>IF(OR(LEFT(J158,2)="보류", LEFT(J158,4)="복습대기", LEFT(J158,3)="복습1", LEFT(J158,3)="복습2"), MAX($M$3:M157)+1, "")</f>
        <v/>
      </c>
      <c r="N158" s="28" t="inlineStr">
        <is>
          <t>W07</t>
        </is>
      </c>
      <c r="O158" s="36" t="n">
        <v>46300</v>
      </c>
      <c r="P158" s="30">
        <f>IF(F158&lt;&gt;"","✅ 완료",IF(O158="","-",IF(TODAY()&gt;O158,"🚨 지연","⏳ 예정")))</f>
        <v/>
      </c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21.75" customHeight="1" s="209">
      <c r="A159" s="28" t="n">
        <v>156</v>
      </c>
      <c r="B159" s="28" t="inlineStr">
        <is>
          <t>6190</t>
        </is>
      </c>
      <c r="C159" s="30" t="inlineStr">
        <is>
          <t>D3</t>
        </is>
      </c>
      <c r="D159" s="32" t="inlineStr">
        <is>
          <t>정곤이의 단조 증가하는 수</t>
        </is>
      </c>
      <c r="E159" s="28" t="inlineStr">
        <is>
          <t>완전탐색 / 시뮬레이션</t>
        </is>
      </c>
      <c r="F159" s="28" t="n"/>
      <c r="G159" s="28" t="n"/>
      <c r="H159" s="28" t="n"/>
      <c r="I159" s="28" t="n"/>
      <c r="J159" s="54">
        <f>IF(OR(ISNUMBER(SEARCH("보류",K159)),ISNUMBER(SEARCH("미룸",K159)),ISNUMBER(SEARCH("나중에",K159)),ISNUMBER(SEARCH("보류",L159)),ISNUMBER(SEARCH("미룸",L159)),ISNUMBER(SEARCH("나중에",L159))),"보류(나중에 풀기)",IF(AND(F159="",G159="",H159="",I159=""),"미완료",IF(I159&lt;&gt;"","복습3(마스터)",IF(H159&lt;&gt;"","복습2",IF(G159&lt;&gt;"","복습1",IF(ISNUMBER(SEARCH("제미나이",K159)),"복습대기(AI도움)",IF(ISNUMBER(SEARCH("간당간당",K159)),"복습대기(간당간당)",IF(OR(ISNUMBER(SEARCH("아이디어",K159)),ISNUMBER(SEARCH("시간초과",K159)),ISNUMBER(SEARCH("자료구조",K159)),ISNUMBER(SEARCH("경계값",K159)),ISNUMBER(SEARCH("다른 풀이",K159)),ISNUMBER(SEARCH("또풀기",K159))),"복습대기",IF(OR(ISNUMBER(SEARCH("복습필요없음",K159)),ISNUMBER(SEARCH("자력완벽",K159))),"품(복습불필요)",IF(F159&lt;&gt;"","품","미완료"))))))))))</f>
        <v/>
      </c>
      <c r="K159" s="32" t="inlineStr">
        <is>
          <t>-</t>
        </is>
      </c>
      <c r="L159" s="32" t="n"/>
      <c r="M159" s="28">
        <f>IF(OR(LEFT(J159,2)="보류", LEFT(J159,4)="복습대기", LEFT(J159,3)="복습1", LEFT(J159,3)="복습2"), MAX($M$3:M158)+1, "")</f>
        <v/>
      </c>
      <c r="N159" s="28" t="inlineStr">
        <is>
          <t>W07</t>
        </is>
      </c>
      <c r="O159" s="36" t="n">
        <v>46300</v>
      </c>
      <c r="P159" s="30">
        <f>IF(F159&lt;&gt;"","✅ 완료",IF(O159="","-",IF(TODAY()&gt;O159,"🚨 지연","⏳ 예정")))</f>
        <v/>
      </c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21.75" customHeight="1" s="209">
      <c r="A160" s="28" t="n">
        <v>157</v>
      </c>
      <c r="B160" s="28" t="inlineStr">
        <is>
          <t>8931</t>
        </is>
      </c>
      <c r="C160" s="30" t="inlineStr">
        <is>
          <t>D3</t>
        </is>
      </c>
      <c r="D160" s="32" t="inlineStr">
        <is>
          <t>제로</t>
        </is>
      </c>
      <c r="E160" s="28" t="inlineStr">
        <is>
          <t>완전탐색 / 시뮬레이션</t>
        </is>
      </c>
      <c r="F160" s="28" t="n"/>
      <c r="G160" s="28" t="n"/>
      <c r="H160" s="28" t="n"/>
      <c r="I160" s="28" t="n"/>
      <c r="J160" s="54">
        <f>IF(OR(ISNUMBER(SEARCH("보류",K160)),ISNUMBER(SEARCH("미룸",K160)),ISNUMBER(SEARCH("나중에",K160)),ISNUMBER(SEARCH("보류",L160)),ISNUMBER(SEARCH("미룸",L160)),ISNUMBER(SEARCH("나중에",L160))),"보류(나중에 풀기)",IF(AND(F160="",G160="",H160="",I160=""),"미완료",IF(I160&lt;&gt;"","복습3(마스터)",IF(H160&lt;&gt;"","복습2",IF(G160&lt;&gt;"","복습1",IF(ISNUMBER(SEARCH("제미나이",K160)),"복습대기(AI도움)",IF(ISNUMBER(SEARCH("간당간당",K160)),"복습대기(간당간당)",IF(OR(ISNUMBER(SEARCH("아이디어",K160)),ISNUMBER(SEARCH("시간초과",K160)),ISNUMBER(SEARCH("자료구조",K160)),ISNUMBER(SEARCH("경계값",K160)),ISNUMBER(SEARCH("다른 풀이",K160)),ISNUMBER(SEARCH("또풀기",K160))),"복습대기",IF(OR(ISNUMBER(SEARCH("복습필요없음",K160)),ISNUMBER(SEARCH("자력완벽",K160))),"품(복습불필요)",IF(F160&lt;&gt;"","품","미완료"))))))))))</f>
        <v/>
      </c>
      <c r="K160" s="32" t="inlineStr">
        <is>
          <t>-</t>
        </is>
      </c>
      <c r="L160" s="32" t="n"/>
      <c r="M160" s="28">
        <f>IF(OR(LEFT(J160,2)="보류", LEFT(J160,4)="복습대기", LEFT(J160,3)="복습1", LEFT(J160,3)="복습2"), MAX($M$3:M159)+1, "")</f>
        <v/>
      </c>
      <c r="N160" s="28" t="inlineStr">
        <is>
          <t>W07</t>
        </is>
      </c>
      <c r="O160" s="36" t="n">
        <v>46300</v>
      </c>
      <c r="P160" s="30">
        <f>IF(F160&lt;&gt;"","✅ 완료",IF(O160="","-",IF(TODAY()&gt;O160,"🚨 지연","⏳ 예정")))</f>
        <v/>
      </c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21.75" customHeight="1" s="209">
      <c r="A161" s="28" t="n">
        <v>158</v>
      </c>
      <c r="B161" s="28" t="inlineStr">
        <is>
          <t>9229</t>
        </is>
      </c>
      <c r="C161" s="30" t="inlineStr">
        <is>
          <t>D3</t>
        </is>
      </c>
      <c r="D161" s="32" t="inlineStr">
        <is>
          <t>한빈이와 Spot Mart</t>
        </is>
      </c>
      <c r="E161" s="28" t="inlineStr">
        <is>
          <t>완전탐색 / 시뮬레이션</t>
        </is>
      </c>
      <c r="F161" s="28" t="n"/>
      <c r="G161" s="28" t="n"/>
      <c r="H161" s="28" t="n"/>
      <c r="I161" s="28" t="n"/>
      <c r="J161" s="54">
        <f>IF(OR(ISNUMBER(SEARCH("보류",K161)),ISNUMBER(SEARCH("미룸",K161)),ISNUMBER(SEARCH("나중에",K161)),ISNUMBER(SEARCH("보류",L161)),ISNUMBER(SEARCH("미룸",L161)),ISNUMBER(SEARCH("나중에",L161))),"보류(나중에 풀기)",IF(AND(F161="",G161="",H161="",I161=""),"미완료",IF(I161&lt;&gt;"","복습3(마스터)",IF(H161&lt;&gt;"","복습2",IF(G161&lt;&gt;"","복습1",IF(ISNUMBER(SEARCH("제미나이",K161)),"복습대기(AI도움)",IF(ISNUMBER(SEARCH("간당간당",K161)),"복습대기(간당간당)",IF(OR(ISNUMBER(SEARCH("아이디어",K161)),ISNUMBER(SEARCH("시간초과",K161)),ISNUMBER(SEARCH("자료구조",K161)),ISNUMBER(SEARCH("경계값",K161)),ISNUMBER(SEARCH("다른 풀이",K161)),ISNUMBER(SEARCH("또풀기",K161))),"복습대기",IF(OR(ISNUMBER(SEARCH("복습필요없음",K161)),ISNUMBER(SEARCH("자력완벽",K161))),"품(복습불필요)",IF(F161&lt;&gt;"","품","미완료"))))))))))</f>
        <v/>
      </c>
      <c r="K161" s="32" t="inlineStr">
        <is>
          <t>-</t>
        </is>
      </c>
      <c r="L161" s="32" t="n"/>
      <c r="M161" s="28">
        <f>IF(OR(LEFT(J161,2)="보류", LEFT(J161,4)="복습대기", LEFT(J161,3)="복습1", LEFT(J161,3)="복습2"), MAX($M$3:M160)+1, "")</f>
        <v/>
      </c>
      <c r="N161" s="28" t="inlineStr">
        <is>
          <t>W07</t>
        </is>
      </c>
      <c r="O161" s="36" t="n">
        <v>46300</v>
      </c>
      <c r="P161" s="30">
        <f>IF(F161&lt;&gt;"","✅ 완료",IF(O161="","-",IF(TODAY()&gt;O161,"🚨 지연","⏳ 예정")))</f>
        <v/>
      </c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21.75" customHeight="1" s="209">
      <c r="A162" s="28" t="n">
        <v>159</v>
      </c>
      <c r="B162" s="28" t="inlineStr">
        <is>
          <t>10761</t>
        </is>
      </c>
      <c r="C162" s="30" t="inlineStr">
        <is>
          <t>D3</t>
        </is>
      </c>
      <c r="D162" s="32" t="inlineStr">
        <is>
          <t>신뢰</t>
        </is>
      </c>
      <c r="E162" s="28" t="inlineStr">
        <is>
          <t>완전탐색 / 시뮬레이션</t>
        </is>
      </c>
      <c r="F162" s="28" t="n"/>
      <c r="G162" s="28" t="n"/>
      <c r="H162" s="28" t="n"/>
      <c r="I162" s="28" t="n"/>
      <c r="J162" s="54">
        <f>IF(OR(ISNUMBER(SEARCH("보류",K162)),ISNUMBER(SEARCH("미룸",K162)),ISNUMBER(SEARCH("나중에",K162)),ISNUMBER(SEARCH("보류",L162)),ISNUMBER(SEARCH("미룸",L162)),ISNUMBER(SEARCH("나중에",L162))),"보류(나중에 풀기)",IF(AND(F162="",G162="",H162="",I162=""),"미완료",IF(I162&lt;&gt;"","복습3(마스터)",IF(H162&lt;&gt;"","복습2",IF(G162&lt;&gt;"","복습1",IF(ISNUMBER(SEARCH("제미나이",K162)),"복습대기(AI도움)",IF(ISNUMBER(SEARCH("간당간당",K162)),"복습대기(간당간당)",IF(OR(ISNUMBER(SEARCH("아이디어",K162)),ISNUMBER(SEARCH("시간초과",K162)),ISNUMBER(SEARCH("자료구조",K162)),ISNUMBER(SEARCH("경계값",K162)),ISNUMBER(SEARCH("다른 풀이",K162)),ISNUMBER(SEARCH("또풀기",K162))),"복습대기",IF(OR(ISNUMBER(SEARCH("복습필요없음",K162)),ISNUMBER(SEARCH("자력완벽",K162))),"품(복습불필요)",IF(F162&lt;&gt;"","품","미완료"))))))))))</f>
        <v/>
      </c>
      <c r="K162" s="32" t="inlineStr">
        <is>
          <t>-</t>
        </is>
      </c>
      <c r="L162" s="32" t="n"/>
      <c r="M162" s="28">
        <f>IF(OR(LEFT(J162,2)="보류", LEFT(J162,4)="복습대기", LEFT(J162,3)="복습1", LEFT(J162,3)="복습2"), MAX($M$3:M161)+1, "")</f>
        <v/>
      </c>
      <c r="N162" s="28" t="inlineStr">
        <is>
          <t>W07</t>
        </is>
      </c>
      <c r="O162" s="36" t="n">
        <v>46301</v>
      </c>
      <c r="P162" s="30">
        <f>IF(F162&lt;&gt;"","✅ 완료",IF(O162="","-",IF(TODAY()&gt;O162,"🚨 지연","⏳ 예정")))</f>
        <v/>
      </c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21.75" customHeight="1" s="209">
      <c r="A163" s="28" t="n">
        <v>160</v>
      </c>
      <c r="B163" s="28" t="inlineStr">
        <is>
          <t>11315</t>
        </is>
      </c>
      <c r="C163" s="30" t="inlineStr">
        <is>
          <t>D3</t>
        </is>
      </c>
      <c r="D163" s="32" t="inlineStr">
        <is>
          <t>오목 판정</t>
        </is>
      </c>
      <c r="E163" s="28" t="inlineStr">
        <is>
          <t>완전탐색 / 시뮬레이션</t>
        </is>
      </c>
      <c r="F163" s="28" t="n"/>
      <c r="G163" s="28" t="n"/>
      <c r="H163" s="28" t="n"/>
      <c r="I163" s="28" t="n"/>
      <c r="J163" s="54">
        <f>IF(OR(ISNUMBER(SEARCH("보류",K163)),ISNUMBER(SEARCH("미룸",K163)),ISNUMBER(SEARCH("나중에",K163)),ISNUMBER(SEARCH("보류",L163)),ISNUMBER(SEARCH("미룸",L163)),ISNUMBER(SEARCH("나중에",L163))),"보류(나중에 풀기)",IF(AND(F163="",G163="",H163="",I163=""),"미완료",IF(I163&lt;&gt;"","복습3(마스터)",IF(H163&lt;&gt;"","복습2",IF(G163&lt;&gt;"","복습1",IF(ISNUMBER(SEARCH("제미나이",K163)),"복습대기(AI도움)",IF(ISNUMBER(SEARCH("간당간당",K163)),"복습대기(간당간당)",IF(OR(ISNUMBER(SEARCH("아이디어",K163)),ISNUMBER(SEARCH("시간초과",K163)),ISNUMBER(SEARCH("자료구조",K163)),ISNUMBER(SEARCH("경계값",K163)),ISNUMBER(SEARCH("다른 풀이",K163)),ISNUMBER(SEARCH("또풀기",K163))),"복습대기",IF(OR(ISNUMBER(SEARCH("복습필요없음",K163)),ISNUMBER(SEARCH("자력완벽",K163))),"품(복습불필요)",IF(F163&lt;&gt;"","품","미완료"))))))))))</f>
        <v/>
      </c>
      <c r="K163" s="32" t="inlineStr">
        <is>
          <t>-</t>
        </is>
      </c>
      <c r="L163" s="32" t="n"/>
      <c r="M163" s="28">
        <f>IF(OR(LEFT(J163,2)="보류", LEFT(J163,4)="복습대기", LEFT(J163,3)="복습1", LEFT(J163,3)="복습2"), MAX($M$3:M162)+1, "")</f>
        <v/>
      </c>
      <c r="N163" s="28" t="inlineStr">
        <is>
          <t>W07</t>
        </is>
      </c>
      <c r="O163" s="36" t="n">
        <v>46301</v>
      </c>
      <c r="P163" s="30">
        <f>IF(F163&lt;&gt;"","✅ 완료",IF(O163="","-",IF(TODAY()&gt;O163,"🚨 지연","⏳ 예정")))</f>
        <v/>
      </c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21.75" customHeight="1" s="209">
      <c r="A164" s="28" t="n">
        <v>161</v>
      </c>
      <c r="B164" s="28" t="inlineStr">
        <is>
          <t>14555</t>
        </is>
      </c>
      <c r="C164" s="30" t="inlineStr">
        <is>
          <t>D3</t>
        </is>
      </c>
      <c r="D164" s="32" t="inlineStr">
        <is>
          <t>공과 잡초</t>
        </is>
      </c>
      <c r="E164" s="28" t="inlineStr">
        <is>
          <t>완전탐색 / 시뮬레이션</t>
        </is>
      </c>
      <c r="F164" s="28" t="n"/>
      <c r="G164" s="28" t="n"/>
      <c r="H164" s="28" t="n"/>
      <c r="I164" s="28" t="n"/>
      <c r="J164" s="54">
        <f>IF(OR(ISNUMBER(SEARCH("보류",K164)),ISNUMBER(SEARCH("미룸",K164)),ISNUMBER(SEARCH("나중에",K164)),ISNUMBER(SEARCH("보류",L164)),ISNUMBER(SEARCH("미룸",L164)),ISNUMBER(SEARCH("나중에",L164))),"보류(나중에 풀기)",IF(AND(F164="",G164="",H164="",I164=""),"미완료",IF(I164&lt;&gt;"","복습3(마스터)",IF(H164&lt;&gt;"","복습2",IF(G164&lt;&gt;"","복습1",IF(ISNUMBER(SEARCH("제미나이",K164)),"복습대기(AI도움)",IF(ISNUMBER(SEARCH("간당간당",K164)),"복습대기(간당간당)",IF(OR(ISNUMBER(SEARCH("아이디어",K164)),ISNUMBER(SEARCH("시간초과",K164)),ISNUMBER(SEARCH("자료구조",K164)),ISNUMBER(SEARCH("경계값",K164)),ISNUMBER(SEARCH("다른 풀이",K164)),ISNUMBER(SEARCH("또풀기",K164))),"복습대기",IF(OR(ISNUMBER(SEARCH("복습필요없음",K164)),ISNUMBER(SEARCH("자력완벽",K164))),"품(복습불필요)",IF(F164&lt;&gt;"","품","미완료"))))))))))</f>
        <v/>
      </c>
      <c r="K164" s="32" t="inlineStr">
        <is>
          <t>-</t>
        </is>
      </c>
      <c r="L164" s="32" t="n"/>
      <c r="M164" s="28">
        <f>IF(OR(LEFT(J164,2)="보류", LEFT(J164,4)="복습대기", LEFT(J164,3)="복습1", LEFT(J164,3)="복습2"), MAX($M$3:M163)+1, "")</f>
        <v/>
      </c>
      <c r="N164" s="28" t="inlineStr">
        <is>
          <t>W07</t>
        </is>
      </c>
      <c r="O164" s="36" t="n">
        <v>46301</v>
      </c>
      <c r="P164" s="30">
        <f>IF(F164&lt;&gt;"","✅ 완료",IF(O164="","-",IF(TODAY()&gt;O164,"🚨 지연","⏳ 예정")))</f>
        <v/>
      </c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21.75" customHeight="1" s="209">
      <c r="A165" s="28" t="n">
        <v>162</v>
      </c>
      <c r="B165" s="28" t="inlineStr">
        <is>
          <t>26924</t>
        </is>
      </c>
      <c r="C165" s="30" t="inlineStr">
        <is>
          <t>D3</t>
        </is>
      </c>
      <c r="D165" s="32" t="inlineStr">
        <is>
          <t>트레일 달리기 급수대</t>
        </is>
      </c>
      <c r="E165" s="28" t="inlineStr">
        <is>
          <t>완전탐색 / 시뮬레이션</t>
        </is>
      </c>
      <c r="F165" s="28" t="n"/>
      <c r="G165" s="28" t="n"/>
      <c r="H165" s="28" t="n"/>
      <c r="I165" s="28" t="n"/>
      <c r="J165" s="54">
        <f>IF(OR(ISNUMBER(SEARCH("보류",K165)),ISNUMBER(SEARCH("미룸",K165)),ISNUMBER(SEARCH("나중에",K165)),ISNUMBER(SEARCH("보류",L165)),ISNUMBER(SEARCH("미룸",L165)),ISNUMBER(SEARCH("나중에",L165))),"보류(나중에 풀기)",IF(AND(F165="",G165="",H165="",I165=""),"미완료",IF(I165&lt;&gt;"","복습3(마스터)",IF(H165&lt;&gt;"","복습2",IF(G165&lt;&gt;"","복습1",IF(ISNUMBER(SEARCH("제미나이",K165)),"복습대기(AI도움)",IF(ISNUMBER(SEARCH("간당간당",K165)),"복습대기(간당간당)",IF(OR(ISNUMBER(SEARCH("아이디어",K165)),ISNUMBER(SEARCH("시간초과",K165)),ISNUMBER(SEARCH("자료구조",K165)),ISNUMBER(SEARCH("경계값",K165)),ISNUMBER(SEARCH("다른 풀이",K165)),ISNUMBER(SEARCH("또풀기",K165))),"복습대기",IF(OR(ISNUMBER(SEARCH("복습필요없음",K165)),ISNUMBER(SEARCH("자력완벽",K165))),"품(복습불필요)",IF(F165&lt;&gt;"","품","미완료"))))))))))</f>
        <v/>
      </c>
      <c r="K165" s="32" t="inlineStr">
        <is>
          <t>-</t>
        </is>
      </c>
      <c r="L165" s="32" t="n"/>
      <c r="M165" s="28">
        <f>IF(OR(LEFT(J165,2)="보류", LEFT(J165,4)="복습대기", LEFT(J165,3)="복습1", LEFT(J165,3)="복습2"), MAX($M$3:M164)+1, "")</f>
        <v/>
      </c>
      <c r="N165" s="28" t="inlineStr">
        <is>
          <t>W07</t>
        </is>
      </c>
      <c r="O165" s="36" t="n">
        <v>46301</v>
      </c>
      <c r="P165" s="30">
        <f>IF(F165&lt;&gt;"","✅ 완료",IF(O165="","-",IF(TODAY()&gt;O165,"🚨 지연","⏳ 예정")))</f>
        <v/>
      </c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21.75" customHeight="1" s="209">
      <c r="A166" s="28" t="n">
        <v>163</v>
      </c>
      <c r="B166" s="28" t="inlineStr">
        <is>
          <t>26934</t>
        </is>
      </c>
      <c r="C166" s="30" t="inlineStr">
        <is>
          <t>D3</t>
        </is>
      </c>
      <c r="D166" s="32" t="inlineStr">
        <is>
          <t>회전 드럼식 커피 로스터</t>
        </is>
      </c>
      <c r="E166" s="28" t="inlineStr">
        <is>
          <t>시뮬레이션 / 구현</t>
        </is>
      </c>
      <c r="F166" s="28" t="n"/>
      <c r="G166" s="28" t="n"/>
      <c r="H166" s="28" t="n"/>
      <c r="I166" s="28" t="n"/>
      <c r="J166" s="54">
        <f>IF(OR(ISNUMBER(SEARCH("보류",K166)),ISNUMBER(SEARCH("미룸",K166)),ISNUMBER(SEARCH("나중에",K166)),ISNUMBER(SEARCH("보류",L166)),ISNUMBER(SEARCH("미룸",L166)),ISNUMBER(SEARCH("나중에",L166))),"보류(나중에 풀기)",IF(AND(F166="",G166="",H166="",I166=""),"미완료",IF(I166&lt;&gt;"","복습3(마스터)",IF(H166&lt;&gt;"","복습2",IF(G166&lt;&gt;"","복습1",IF(ISNUMBER(SEARCH("제미나이",K166)),"복습대기(AI도움)",IF(ISNUMBER(SEARCH("간당간당",K166)),"복습대기(간당간당)",IF(OR(ISNUMBER(SEARCH("아이디어",K166)),ISNUMBER(SEARCH("시간초과",K166)),ISNUMBER(SEARCH("자료구조",K166)),ISNUMBER(SEARCH("경계값",K166)),ISNUMBER(SEARCH("다른 풀이",K166)),ISNUMBER(SEARCH("또풀기",K166))),"복습대기",IF(OR(ISNUMBER(SEARCH("복습필요없음",K166)),ISNUMBER(SEARCH("자력완벽",K166))),"품(복습불필요)",IF(F166&lt;&gt;"","품","미완료"))))))))))</f>
        <v/>
      </c>
      <c r="K166" s="32" t="inlineStr">
        <is>
          <t>-</t>
        </is>
      </c>
      <c r="L166" s="32" t="n"/>
      <c r="M166" s="28">
        <f>IF(OR(LEFT(J166,2)="보류", LEFT(J166,4)="복습대기", LEFT(J166,3)="복습1", LEFT(J166,3)="복습2"), MAX($M$3:M165)+1, "")</f>
        <v/>
      </c>
      <c r="N166" s="28" t="inlineStr">
        <is>
          <t>W07</t>
        </is>
      </c>
      <c r="O166" s="36" t="n">
        <v>46301</v>
      </c>
      <c r="P166" s="30">
        <f>IF(F166&lt;&gt;"","✅ 완료",IF(O166="","-",IF(TODAY()&gt;O166,"🚨 지연","⏳ 예정")))</f>
        <v/>
      </c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21.75" customHeight="1" s="209">
      <c r="A167" s="28" t="n">
        <v>164</v>
      </c>
      <c r="B167" s="28" t="inlineStr">
        <is>
          <t>26941</t>
        </is>
      </c>
      <c r="C167" s="30" t="inlineStr">
        <is>
          <t>D3</t>
        </is>
      </c>
      <c r="D167" s="32" t="inlineStr">
        <is>
          <t>토너먼트 점수 합산</t>
        </is>
      </c>
      <c r="E167" s="28" t="inlineStr">
        <is>
          <t>수학 / 정수론</t>
        </is>
      </c>
      <c r="F167" s="28" t="n"/>
      <c r="G167" s="28" t="n"/>
      <c r="H167" s="28" t="n"/>
      <c r="I167" s="28" t="n"/>
      <c r="J167" s="54">
        <f>IF(OR(ISNUMBER(SEARCH("보류",K167)),ISNUMBER(SEARCH("미룸",K167)),ISNUMBER(SEARCH("나중에",K167)),ISNUMBER(SEARCH("보류",L167)),ISNUMBER(SEARCH("미룸",L167)),ISNUMBER(SEARCH("나중에",L167))),"보류(나중에 풀기)",IF(AND(F167="",G167="",H167="",I167=""),"미완료",IF(I167&lt;&gt;"","복습3(마스터)",IF(H167&lt;&gt;"","복습2",IF(G167&lt;&gt;"","복습1",IF(ISNUMBER(SEARCH("제미나이",K167)),"복습대기(AI도움)",IF(ISNUMBER(SEARCH("간당간당",K167)),"복습대기(간당간당)",IF(OR(ISNUMBER(SEARCH("아이디어",K167)),ISNUMBER(SEARCH("시간초과",K167)),ISNUMBER(SEARCH("자료구조",K167)),ISNUMBER(SEARCH("경계값",K167)),ISNUMBER(SEARCH("다른 풀이",K167)),ISNUMBER(SEARCH("또풀기",K167))),"복습대기",IF(OR(ISNUMBER(SEARCH("복습필요없음",K167)),ISNUMBER(SEARCH("자력완벽",K167))),"품(복습불필요)",IF(F167&lt;&gt;"","품","미완료"))))))))))</f>
        <v/>
      </c>
      <c r="K167" s="32" t="inlineStr">
        <is>
          <t>-</t>
        </is>
      </c>
      <c r="L167" s="32" t="n"/>
      <c r="M167" s="28">
        <f>IF(OR(LEFT(J167,2)="보류", LEFT(J167,4)="복습대기", LEFT(J167,3)="복습1", LEFT(J167,3)="복습2"), MAX($M$3:M166)+1, "")</f>
        <v/>
      </c>
      <c r="N167" s="28" t="inlineStr">
        <is>
          <t>W07</t>
        </is>
      </c>
      <c r="O167" s="36" t="n">
        <v>46301</v>
      </c>
      <c r="P167" s="30">
        <f>IF(F167&lt;&gt;"","✅ 완료",IF(O167="","-",IF(TODAY()&gt;O167,"🚨 지연","⏳ 예정")))</f>
        <v/>
      </c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21.75" customHeight="1" s="209">
      <c r="A168" s="28" t="n">
        <v>165</v>
      </c>
      <c r="B168" s="28" t="inlineStr">
        <is>
          <t>26944</t>
        </is>
      </c>
      <c r="C168" s="30" t="inlineStr">
        <is>
          <t>D3</t>
        </is>
      </c>
      <c r="D168" s="32" t="inlineStr">
        <is>
          <t>이삿짐 상자 나르기</t>
        </is>
      </c>
      <c r="E168" s="28" t="inlineStr">
        <is>
          <t>완전탐색 / 시뮬레이션</t>
        </is>
      </c>
      <c r="F168" s="28" t="n"/>
      <c r="G168" s="28" t="n"/>
      <c r="H168" s="28" t="n"/>
      <c r="I168" s="28" t="n"/>
      <c r="J168" s="54">
        <f>IF(OR(ISNUMBER(SEARCH("보류",K168)),ISNUMBER(SEARCH("미룸",K168)),ISNUMBER(SEARCH("나중에",K168)),ISNUMBER(SEARCH("보류",L168)),ISNUMBER(SEARCH("미룸",L168)),ISNUMBER(SEARCH("나중에",L168))),"보류(나중에 풀기)",IF(AND(F168="",G168="",H168="",I168=""),"미완료",IF(I168&lt;&gt;"","복습3(마스터)",IF(H168&lt;&gt;"","복습2",IF(G168&lt;&gt;"","복습1",IF(ISNUMBER(SEARCH("제미나이",K168)),"복습대기(AI도움)",IF(ISNUMBER(SEARCH("간당간당",K168)),"복습대기(간당간당)",IF(OR(ISNUMBER(SEARCH("아이디어",K168)),ISNUMBER(SEARCH("시간초과",K168)),ISNUMBER(SEARCH("자료구조",K168)),ISNUMBER(SEARCH("경계값",K168)),ISNUMBER(SEARCH("다른 풀이",K168)),ISNUMBER(SEARCH("또풀기",K168))),"복습대기",IF(OR(ISNUMBER(SEARCH("복습필요없음",K168)),ISNUMBER(SEARCH("자력완벽",K168))),"품(복습불필요)",IF(F168&lt;&gt;"","품","미완료"))))))))))</f>
        <v/>
      </c>
      <c r="K168" s="32" t="inlineStr">
        <is>
          <t>-</t>
        </is>
      </c>
      <c r="L168" s="32" t="n"/>
      <c r="M168" s="28">
        <f>IF(OR(LEFT(J168,2)="보류", LEFT(J168,4)="복습대기", LEFT(J168,3)="복습1", LEFT(J168,3)="복습2"), MAX($M$3:M167)+1, "")</f>
        <v/>
      </c>
      <c r="N168" s="28" t="inlineStr">
        <is>
          <t>W07</t>
        </is>
      </c>
      <c r="O168" s="36" t="n">
        <v>46301</v>
      </c>
      <c r="P168" s="30">
        <f>IF(F168&lt;&gt;"","✅ 완료",IF(O168="","-",IF(TODAY()&gt;O168,"🚨 지연","⏳ 예정")))</f>
        <v/>
      </c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21.75" customHeight="1" s="209">
      <c r="A169" s="28" t="n">
        <v>166</v>
      </c>
      <c r="B169" s="28" t="inlineStr">
        <is>
          <t>26945</t>
        </is>
      </c>
      <c r="C169" s="30" t="inlineStr">
        <is>
          <t>D3</t>
        </is>
      </c>
      <c r="D169" s="32" t="inlineStr">
        <is>
          <t>메이커스페이스 3D 프린터 예약</t>
        </is>
      </c>
      <c r="E169" s="28" t="inlineStr">
        <is>
          <t>완전탐색 / 시뮬레이션</t>
        </is>
      </c>
      <c r="F169" s="28" t="n"/>
      <c r="G169" s="28" t="n"/>
      <c r="H169" s="28" t="n"/>
      <c r="I169" s="28" t="n"/>
      <c r="J169" s="54">
        <f>IF(OR(ISNUMBER(SEARCH("보류",K169)),ISNUMBER(SEARCH("미룸",K169)),ISNUMBER(SEARCH("나중에",K169)),ISNUMBER(SEARCH("보류",L169)),ISNUMBER(SEARCH("미룸",L169)),ISNUMBER(SEARCH("나중에",L169))),"보류(나중에 풀기)",IF(AND(F169="",G169="",H169="",I169=""),"미완료",IF(I169&lt;&gt;"","복습3(마스터)",IF(H169&lt;&gt;"","복습2",IF(G169&lt;&gt;"","복습1",IF(ISNUMBER(SEARCH("제미나이",K169)),"복습대기(AI도움)",IF(ISNUMBER(SEARCH("간당간당",K169)),"복습대기(간당간당)",IF(OR(ISNUMBER(SEARCH("아이디어",K169)),ISNUMBER(SEARCH("시간초과",K169)),ISNUMBER(SEARCH("자료구조",K169)),ISNUMBER(SEARCH("경계값",K169)),ISNUMBER(SEARCH("다른 풀이",K169)),ISNUMBER(SEARCH("또풀기",K169))),"복습대기",IF(OR(ISNUMBER(SEARCH("복습필요없음",K169)),ISNUMBER(SEARCH("자력완벽",K169))),"품(복습불필요)",IF(F169&lt;&gt;"","품","미완료"))))))))))</f>
        <v/>
      </c>
      <c r="K169" s="32" t="inlineStr">
        <is>
          <t>-</t>
        </is>
      </c>
      <c r="L169" s="32" t="n"/>
      <c r="M169" s="28">
        <f>IF(OR(LEFT(J169,2)="보류", LEFT(J169,4)="복습대기", LEFT(J169,3)="복습1", LEFT(J169,3)="복습2"), MAX($M$3:M168)+1, "")</f>
        <v/>
      </c>
      <c r="N169" s="28" t="inlineStr">
        <is>
          <t>W07</t>
        </is>
      </c>
      <c r="O169" s="36" t="n">
        <v>46302</v>
      </c>
      <c r="P169" s="30">
        <f>IF(F169&lt;&gt;"","✅ 완료",IF(O169="","-",IF(TODAY()&gt;O169,"🚨 지연","⏳ 예정")))</f>
        <v/>
      </c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21.75" customHeight="1" s="209">
      <c r="A170" s="28" t="n">
        <v>167</v>
      </c>
      <c r="B170" s="28" t="inlineStr">
        <is>
          <t>26946</t>
        </is>
      </c>
      <c r="C170" s="30" t="inlineStr">
        <is>
          <t>D3</t>
        </is>
      </c>
      <c r="D170" s="32" t="inlineStr">
        <is>
          <t>숫자 타일 보드게임 대결</t>
        </is>
      </c>
      <c r="E170" s="28" t="inlineStr">
        <is>
          <t>시뮬레이션 / 구현</t>
        </is>
      </c>
      <c r="F170" s="28" t="n"/>
      <c r="G170" s="28" t="n"/>
      <c r="H170" s="28" t="n"/>
      <c r="I170" s="28" t="n"/>
      <c r="J170" s="54">
        <f>IF(OR(ISNUMBER(SEARCH("보류",K170)),ISNUMBER(SEARCH("미룸",K170)),ISNUMBER(SEARCH("나중에",K170)),ISNUMBER(SEARCH("보류",L170)),ISNUMBER(SEARCH("미룸",L170)),ISNUMBER(SEARCH("나중에",L170))),"보류(나중에 풀기)",IF(AND(F170="",G170="",H170="",I170=""),"미완료",IF(I170&lt;&gt;"","복습3(마스터)",IF(H170&lt;&gt;"","복습2",IF(G170&lt;&gt;"","복습1",IF(ISNUMBER(SEARCH("제미나이",K170)),"복습대기(AI도움)",IF(ISNUMBER(SEARCH("간당간당",K170)),"복습대기(간당간당)",IF(OR(ISNUMBER(SEARCH("아이디어",K170)),ISNUMBER(SEARCH("시간초과",K170)),ISNUMBER(SEARCH("자료구조",K170)),ISNUMBER(SEARCH("경계값",K170)),ISNUMBER(SEARCH("다른 풀이",K170)),ISNUMBER(SEARCH("또풀기",K170))),"복습대기",IF(OR(ISNUMBER(SEARCH("복습필요없음",K170)),ISNUMBER(SEARCH("자력완벽",K170))),"품(복습불필요)",IF(F170&lt;&gt;"","품","미완료"))))))))))</f>
        <v/>
      </c>
      <c r="K170" s="32" t="inlineStr">
        <is>
          <t>-</t>
        </is>
      </c>
      <c r="L170" s="32" t="n"/>
      <c r="M170" s="28">
        <f>IF(OR(LEFT(J170,2)="보류", LEFT(J170,4)="복습대기", LEFT(J170,3)="복습1", LEFT(J170,3)="복습2"), MAX($M$3:M169)+1, "")</f>
        <v/>
      </c>
      <c r="N170" s="28" t="inlineStr">
        <is>
          <t>W07</t>
        </is>
      </c>
      <c r="O170" s="36" t="n">
        <v>46302</v>
      </c>
      <c r="P170" s="30">
        <f>IF(F170&lt;&gt;"","✅ 완료",IF(O170="","-",IF(TODAY()&gt;O170,"🚨 지연","⏳ 예정")))</f>
        <v/>
      </c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21.75" customHeight="1" s="209">
      <c r="A171" s="28" t="n">
        <v>168</v>
      </c>
      <c r="B171" s="28" t="inlineStr">
        <is>
          <t>26948</t>
        </is>
      </c>
      <c r="C171" s="30" t="inlineStr">
        <is>
          <t>D3</t>
        </is>
      </c>
      <c r="D171" s="32" t="inlineStr">
        <is>
          <t>반찬가게 조리 배정</t>
        </is>
      </c>
      <c r="E171" s="28" t="inlineStr">
        <is>
          <t>완전탐색 / 시뮬레이션</t>
        </is>
      </c>
      <c r="F171" s="28" t="n"/>
      <c r="G171" s="28" t="n"/>
      <c r="H171" s="28" t="n"/>
      <c r="I171" s="28" t="n"/>
      <c r="J171" s="54">
        <f>IF(OR(ISNUMBER(SEARCH("보류",K171)),ISNUMBER(SEARCH("미룸",K171)),ISNUMBER(SEARCH("나중에",K171)),ISNUMBER(SEARCH("보류",L171)),ISNUMBER(SEARCH("미룸",L171)),ISNUMBER(SEARCH("나중에",L171))),"보류(나중에 풀기)",IF(AND(F171="",G171="",H171="",I171=""),"미완료",IF(I171&lt;&gt;"","복습3(마스터)",IF(H171&lt;&gt;"","복습2",IF(G171&lt;&gt;"","복습1",IF(ISNUMBER(SEARCH("제미나이",K171)),"복습대기(AI도움)",IF(ISNUMBER(SEARCH("간당간당",K171)),"복습대기(간당간당)",IF(OR(ISNUMBER(SEARCH("아이디어",K171)),ISNUMBER(SEARCH("시간초과",K171)),ISNUMBER(SEARCH("자료구조",K171)),ISNUMBER(SEARCH("경계값",K171)),ISNUMBER(SEARCH("다른 풀이",K171)),ISNUMBER(SEARCH("또풀기",K171))),"복습대기",IF(OR(ISNUMBER(SEARCH("복습필요없음",K171)),ISNUMBER(SEARCH("자력완벽",K171))),"품(복습불필요)",IF(F171&lt;&gt;"","품","미완료"))))))))))</f>
        <v/>
      </c>
      <c r="K171" s="32" t="inlineStr">
        <is>
          <t>-</t>
        </is>
      </c>
      <c r="L171" s="32" t="n"/>
      <c r="M171" s="28">
        <f>IF(OR(LEFT(J171,2)="보류", LEFT(J171,4)="복습대기", LEFT(J171,3)="복습1", LEFT(J171,3)="복습2"), MAX($M$3:M170)+1, "")</f>
        <v/>
      </c>
      <c r="N171" s="28" t="inlineStr">
        <is>
          <t>W07</t>
        </is>
      </c>
      <c r="O171" s="36" t="n">
        <v>46302</v>
      </c>
      <c r="P171" s="30">
        <f>IF(F171&lt;&gt;"","✅ 완료",IF(O171="","-",IF(TODAY()&gt;O171,"🚨 지연","⏳ 예정")))</f>
        <v/>
      </c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21.75" customHeight="1" s="209">
      <c r="A172" s="28" t="n">
        <v>169</v>
      </c>
      <c r="B172" s="28" t="inlineStr">
        <is>
          <t>26950</t>
        </is>
      </c>
      <c r="C172" s="30" t="inlineStr">
        <is>
          <t>D3</t>
        </is>
      </c>
      <c r="D172" s="32" t="inlineStr">
        <is>
          <t>온라인 쇼핑몰 상품 가격순 분류와 가격 역전 세기</t>
        </is>
      </c>
      <c r="E172" s="28" t="inlineStr">
        <is>
          <t>완전탐색 / 시뮬레이션</t>
        </is>
      </c>
      <c r="F172" s="28" t="n"/>
      <c r="G172" s="28" t="n"/>
      <c r="H172" s="28" t="n"/>
      <c r="I172" s="28" t="n"/>
      <c r="J172" s="54">
        <f>IF(OR(ISNUMBER(SEARCH("보류",K172)),ISNUMBER(SEARCH("미룸",K172)),ISNUMBER(SEARCH("나중에",K172)),ISNUMBER(SEARCH("보류",L172)),ISNUMBER(SEARCH("미룸",L172)),ISNUMBER(SEARCH("나중에",L172))),"보류(나중에 풀기)",IF(AND(F172="",G172="",H172="",I172=""),"미완료",IF(I172&lt;&gt;"","복습3(마스터)",IF(H172&lt;&gt;"","복습2",IF(G172&lt;&gt;"","복습1",IF(ISNUMBER(SEARCH("제미나이",K172)),"복습대기(AI도움)",IF(ISNUMBER(SEARCH("간당간당",K172)),"복습대기(간당간당)",IF(OR(ISNUMBER(SEARCH("아이디어",K172)),ISNUMBER(SEARCH("시간초과",K172)),ISNUMBER(SEARCH("자료구조",K172)),ISNUMBER(SEARCH("경계값",K172)),ISNUMBER(SEARCH("다른 풀이",K172)),ISNUMBER(SEARCH("또풀기",K172))),"복습대기",IF(OR(ISNUMBER(SEARCH("복습필요없음",K172)),ISNUMBER(SEARCH("자력완벽",K172))),"품(복습불필요)",IF(F172&lt;&gt;"","품","미완료"))))))))))</f>
        <v/>
      </c>
      <c r="K172" s="32" t="inlineStr">
        <is>
          <t>-</t>
        </is>
      </c>
      <c r="L172" s="32" t="n"/>
      <c r="M172" s="28">
        <f>IF(OR(LEFT(J172,2)="보류", LEFT(J172,4)="복습대기", LEFT(J172,3)="복습1", LEFT(J172,3)="복습2"), MAX($M$3:M171)+1, "")</f>
        <v/>
      </c>
      <c r="N172" s="28" t="inlineStr">
        <is>
          <t>W07</t>
        </is>
      </c>
      <c r="O172" s="36" t="n">
        <v>46302</v>
      </c>
      <c r="P172" s="30">
        <f>IF(F172&lt;&gt;"","✅ 완료",IF(O172="","-",IF(TODAY()&gt;O172,"🚨 지연","⏳ 예정")))</f>
        <v/>
      </c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21.75" customHeight="1" s="209">
      <c r="A173" s="28" t="n">
        <v>170</v>
      </c>
      <c r="B173" s="28" t="inlineStr">
        <is>
          <t>26954</t>
        </is>
      </c>
      <c r="C173" s="30" t="inlineStr">
        <is>
          <t>D3</t>
        </is>
      </c>
      <c r="D173" s="32" t="inlineStr">
        <is>
          <t>출근 카풀 그룹 나누기</t>
        </is>
      </c>
      <c r="E173" s="28" t="inlineStr">
        <is>
          <t>완전탐색 / 시뮬레이션</t>
        </is>
      </c>
      <c r="F173" s="28" t="n"/>
      <c r="G173" s="28" t="n"/>
      <c r="H173" s="28" t="n"/>
      <c r="I173" s="28" t="n"/>
      <c r="J173" s="54">
        <f>IF(OR(ISNUMBER(SEARCH("보류",K173)),ISNUMBER(SEARCH("미룸",K173)),ISNUMBER(SEARCH("나중에",K173)),ISNUMBER(SEARCH("보류",L173)),ISNUMBER(SEARCH("미룸",L173)),ISNUMBER(SEARCH("나중에",L173))),"보류(나중에 풀기)",IF(AND(F173="",G173="",H173="",I173=""),"미완료",IF(I173&lt;&gt;"","복습3(마스터)",IF(H173&lt;&gt;"","복습2",IF(G173&lt;&gt;"","복습1",IF(ISNUMBER(SEARCH("제미나이",K173)),"복습대기(AI도움)",IF(ISNUMBER(SEARCH("간당간당",K173)),"복습대기(간당간당)",IF(OR(ISNUMBER(SEARCH("아이디어",K173)),ISNUMBER(SEARCH("시간초과",K173)),ISNUMBER(SEARCH("자료구조",K173)),ISNUMBER(SEARCH("경계값",K173)),ISNUMBER(SEARCH("다른 풀이",K173)),ISNUMBER(SEARCH("또풀기",K173))),"복습대기",IF(OR(ISNUMBER(SEARCH("복습필요없음",K173)),ISNUMBER(SEARCH("자력완벽",K173))),"품(복습불필요)",IF(F173&lt;&gt;"","품","미완료"))))))))))</f>
        <v/>
      </c>
      <c r="K173" s="32" t="inlineStr">
        <is>
          <t>-</t>
        </is>
      </c>
      <c r="L173" s="32" t="n"/>
      <c r="M173" s="28">
        <f>IF(OR(LEFT(J173,2)="보류", LEFT(J173,4)="복습대기", LEFT(J173,3)="복습1", LEFT(J173,3)="복습2"), MAX($M$3:M172)+1, "")</f>
        <v/>
      </c>
      <c r="N173" s="28" t="inlineStr">
        <is>
          <t>W07</t>
        </is>
      </c>
      <c r="O173" s="36" t="n">
        <v>46302</v>
      </c>
      <c r="P173" s="30">
        <f>IF(F173&lt;&gt;"","✅ 완료",IF(O173="","-",IF(TODAY()&gt;O173,"🚨 지연","⏳ 예정")))</f>
        <v/>
      </c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21.75" customHeight="1" s="209">
      <c r="A174" s="28" t="n">
        <v>171</v>
      </c>
      <c r="B174" s="28" t="inlineStr">
        <is>
          <t>26955</t>
        </is>
      </c>
      <c r="C174" s="30" t="inlineStr">
        <is>
          <t>D3</t>
        </is>
      </c>
      <c r="D174" s="32" t="inlineStr">
        <is>
          <t>재생 목록에 곡 끼워 넣기</t>
        </is>
      </c>
      <c r="E174" s="28" t="inlineStr">
        <is>
          <t>완전탐색 / 시뮬레이션</t>
        </is>
      </c>
      <c r="F174" s="28" t="n"/>
      <c r="G174" s="28" t="n"/>
      <c r="H174" s="28" t="n"/>
      <c r="I174" s="28" t="n"/>
      <c r="J174" s="54">
        <f>IF(OR(ISNUMBER(SEARCH("보류",K174)),ISNUMBER(SEARCH("미룸",K174)),ISNUMBER(SEARCH("나중에",K174)),ISNUMBER(SEARCH("보류",L174)),ISNUMBER(SEARCH("미룸",L174)),ISNUMBER(SEARCH("나중에",L174))),"보류(나중에 풀기)",IF(AND(F174="",G174="",H174="",I174=""),"미완료",IF(I174&lt;&gt;"","복습3(마스터)",IF(H174&lt;&gt;"","복습2",IF(G174&lt;&gt;"","복습1",IF(ISNUMBER(SEARCH("제미나이",K174)),"복습대기(AI도움)",IF(ISNUMBER(SEARCH("간당간당",K174)),"복습대기(간당간당)",IF(OR(ISNUMBER(SEARCH("아이디어",K174)),ISNUMBER(SEARCH("시간초과",K174)),ISNUMBER(SEARCH("자료구조",K174)),ISNUMBER(SEARCH("경계값",K174)),ISNUMBER(SEARCH("다른 풀이",K174)),ISNUMBER(SEARCH("또풀기",K174))),"복습대기",IF(OR(ISNUMBER(SEARCH("복습필요없음",K174)),ISNUMBER(SEARCH("자력완벽",K174))),"품(복습불필요)",IF(F174&lt;&gt;"","품","미완료"))))))))))</f>
        <v/>
      </c>
      <c r="K174" s="32" t="inlineStr">
        <is>
          <t>-</t>
        </is>
      </c>
      <c r="L174" s="32" t="n"/>
      <c r="M174" s="28">
        <f>IF(OR(LEFT(J174,2)="보류", LEFT(J174,4)="복습대기", LEFT(J174,3)="복습1", LEFT(J174,3)="복습2"), MAX($M$3:M173)+1, "")</f>
        <v/>
      </c>
      <c r="N174" s="28" t="inlineStr">
        <is>
          <t>W07</t>
        </is>
      </c>
      <c r="O174" s="36" t="n">
        <v>46302</v>
      </c>
      <c r="P174" s="30">
        <f>IF(F174&lt;&gt;"","✅ 완료",IF(O174="","-",IF(TODAY()&gt;O174,"🚨 지연","⏳ 예정")))</f>
        <v/>
      </c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21.75" customHeight="1" s="209">
      <c r="A175" s="28" t="n">
        <v>172</v>
      </c>
      <c r="B175" s="28" t="inlineStr">
        <is>
          <t>26957</t>
        </is>
      </c>
      <c r="C175" s="30" t="inlineStr">
        <is>
          <t>D3</t>
        </is>
      </c>
      <c r="D175" s="32" t="inlineStr">
        <is>
          <t>번호 타일 띠 이어 붙이기</t>
        </is>
      </c>
      <c r="E175" s="28" t="inlineStr">
        <is>
          <t>완전탐색 / 시뮬레이션</t>
        </is>
      </c>
      <c r="F175" s="28" t="n"/>
      <c r="G175" s="28" t="n"/>
      <c r="H175" s="28" t="n"/>
      <c r="I175" s="28" t="n"/>
      <c r="J175" s="54">
        <f>IF(OR(ISNUMBER(SEARCH("보류",K175)),ISNUMBER(SEARCH("미룸",K175)),ISNUMBER(SEARCH("나중에",K175)),ISNUMBER(SEARCH("보류",L175)),ISNUMBER(SEARCH("미룸",L175)),ISNUMBER(SEARCH("나중에",L175))),"보류(나중에 풀기)",IF(AND(F175="",G175="",H175="",I175=""),"미완료",IF(I175&lt;&gt;"","복습3(마스터)",IF(H175&lt;&gt;"","복습2",IF(G175&lt;&gt;"","복습1",IF(ISNUMBER(SEARCH("제미나이",K175)),"복습대기(AI도움)",IF(ISNUMBER(SEARCH("간당간당",K175)),"복습대기(간당간당)",IF(OR(ISNUMBER(SEARCH("아이디어",K175)),ISNUMBER(SEARCH("시간초과",K175)),ISNUMBER(SEARCH("자료구조",K175)),ISNUMBER(SEARCH("경계값",K175)),ISNUMBER(SEARCH("다른 풀이",K175)),ISNUMBER(SEARCH("또풀기",K175))),"복습대기",IF(OR(ISNUMBER(SEARCH("복습필요없음",K175)),ISNUMBER(SEARCH("자력완벽",K175))),"품(복습불필요)",IF(F175&lt;&gt;"","품","미완료"))))))))))</f>
        <v/>
      </c>
      <c r="K175" s="32" t="inlineStr">
        <is>
          <t>-</t>
        </is>
      </c>
      <c r="L175" s="32" t="n"/>
      <c r="M175" s="28">
        <f>IF(OR(LEFT(J175,2)="보류", LEFT(J175,4)="복습대기", LEFT(J175,3)="복습1", LEFT(J175,3)="복습2"), MAX($M$3:M174)+1, "")</f>
        <v/>
      </c>
      <c r="N175" s="28" t="inlineStr">
        <is>
          <t>W07</t>
        </is>
      </c>
      <c r="O175" s="36" t="n">
        <v>46302</v>
      </c>
      <c r="P175" s="30">
        <f>IF(F175&lt;&gt;"","✅ 완료",IF(O175="","-",IF(TODAY()&gt;O175,"🚨 지연","⏳ 예정")))</f>
        <v/>
      </c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21.75" customHeight="1" s="209">
      <c r="A176" s="28" t="n">
        <v>173</v>
      </c>
      <c r="B176" s="28" t="inlineStr">
        <is>
          <t>1220</t>
        </is>
      </c>
      <c r="C176" s="30" t="inlineStr">
        <is>
          <t>D3</t>
        </is>
      </c>
      <c r="D176" s="32" t="inlineStr">
        <is>
          <t>[S/W 문제해결 기본] 5일차 - Magnetic</t>
        </is>
      </c>
      <c r="E176" s="28" t="inlineStr">
        <is>
          <t>시뮬레이션 (Magnetic)</t>
        </is>
      </c>
      <c r="F176" s="28" t="n"/>
      <c r="G176" s="28" t="n"/>
      <c r="H176" s="28" t="n"/>
      <c r="I176" s="28" t="n"/>
      <c r="J176" s="54">
        <f>IF(OR(ISNUMBER(SEARCH("보류",K176)),ISNUMBER(SEARCH("미룸",K176)),ISNUMBER(SEARCH("나중에",K176)),ISNUMBER(SEARCH("보류",L176)),ISNUMBER(SEARCH("미룸",L176)),ISNUMBER(SEARCH("나중에",L176))),"보류(나중에 풀기)",IF(AND(F176="",G176="",H176="",I176=""),"미완료",IF(I176&lt;&gt;"","복습3(마스터)",IF(H176&lt;&gt;"","복습2",IF(G176&lt;&gt;"","복습1",IF(ISNUMBER(SEARCH("제미나이",K176)),"복습대기(AI도움)",IF(ISNUMBER(SEARCH("간당간당",K176)),"복습대기(간당간당)",IF(OR(ISNUMBER(SEARCH("아이디어",K176)),ISNUMBER(SEARCH("시간초과",K176)),ISNUMBER(SEARCH("자료구조",K176)),ISNUMBER(SEARCH("경계값",K176)),ISNUMBER(SEARCH("다른 풀이",K176)),ISNUMBER(SEARCH("또풀기",K176))),"복습대기",IF(OR(ISNUMBER(SEARCH("복습필요없음",K176)),ISNUMBER(SEARCH("자력완벽",K176))),"품(복습불필요)",IF(F176&lt;&gt;"","품","미완료"))))))))))</f>
        <v/>
      </c>
      <c r="K176" s="32" t="inlineStr">
        <is>
          <t>-</t>
        </is>
      </c>
      <c r="L176" s="32" t="n"/>
      <c r="M176" s="28">
        <f>IF(OR(LEFT(J176,2)="보류", LEFT(J176,4)="복습대기", LEFT(J176,3)="복습1", LEFT(J176,3)="복습2"), MAX($M$3:M175)+1, "")</f>
        <v/>
      </c>
      <c r="N176" s="28" t="inlineStr">
        <is>
          <t>W07</t>
        </is>
      </c>
      <c r="O176" s="36" t="n">
        <v>46303</v>
      </c>
      <c r="P176" s="30">
        <f>IF(F176&lt;&gt;"","✅ 완료",IF(O176="","-",IF(TODAY()&gt;O176,"🚨 지연","⏳ 예정")))</f>
        <v/>
      </c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21.75" customHeight="1" s="209">
      <c r="A177" s="28" t="n">
        <v>174</v>
      </c>
      <c r="B177" s="28" t="inlineStr">
        <is>
          <t>1491</t>
        </is>
      </c>
      <c r="C177" s="30" t="inlineStr">
        <is>
          <t>D3</t>
        </is>
      </c>
      <c r="D177" s="32" t="inlineStr">
        <is>
          <t>원재의 벽 꾸미기</t>
        </is>
      </c>
      <c r="E177" s="28" t="inlineStr">
        <is>
          <t>완전탐색 / 시뮬레이션</t>
        </is>
      </c>
      <c r="F177" s="28" t="n"/>
      <c r="G177" s="28" t="n"/>
      <c r="H177" s="28" t="n"/>
      <c r="I177" s="28" t="n"/>
      <c r="J177" s="54">
        <f>IF(OR(ISNUMBER(SEARCH("보류",K177)),ISNUMBER(SEARCH("미룸",K177)),ISNUMBER(SEARCH("나중에",K177)),ISNUMBER(SEARCH("보류",L177)),ISNUMBER(SEARCH("미룸",L177)),ISNUMBER(SEARCH("나중에",L177))),"보류(나중에 풀기)",IF(AND(F177="",G177="",H177="",I177=""),"미완료",IF(I177&lt;&gt;"","복습3(마스터)",IF(H177&lt;&gt;"","복습2",IF(G177&lt;&gt;"","복습1",IF(ISNUMBER(SEARCH("제미나이",K177)),"복습대기(AI도움)",IF(ISNUMBER(SEARCH("간당간당",K177)),"복습대기(간당간당)",IF(OR(ISNUMBER(SEARCH("아이디어",K177)),ISNUMBER(SEARCH("시간초과",K177)),ISNUMBER(SEARCH("자료구조",K177)),ISNUMBER(SEARCH("경계값",K177)),ISNUMBER(SEARCH("다른 풀이",K177)),ISNUMBER(SEARCH("또풀기",K177))),"복습대기",IF(OR(ISNUMBER(SEARCH("복습필요없음",K177)),ISNUMBER(SEARCH("자력완벽",K177))),"품(복습불필요)",IF(F177&lt;&gt;"","품","미완료"))))))))))</f>
        <v/>
      </c>
      <c r="K177" s="32" t="inlineStr">
        <is>
          <t>-</t>
        </is>
      </c>
      <c r="L177" s="32" t="n"/>
      <c r="M177" s="28">
        <f>IF(OR(LEFT(J177,2)="보류", LEFT(J177,4)="복습대기", LEFT(J177,3)="복습1", LEFT(J177,3)="복습2"), MAX($M$3:M176)+1, "")</f>
        <v/>
      </c>
      <c r="N177" s="28" t="inlineStr">
        <is>
          <t>W07</t>
        </is>
      </c>
      <c r="O177" s="36" t="n">
        <v>46303</v>
      </c>
      <c r="P177" s="30">
        <f>IF(F177&lt;&gt;"","✅ 완료",IF(O177="","-",IF(TODAY()&gt;O177,"🚨 지연","⏳ 예정")))</f>
        <v/>
      </c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21.75" customHeight="1" s="209">
      <c r="A178" s="28" t="n">
        <v>175</v>
      </c>
      <c r="B178" s="28" t="inlineStr">
        <is>
          <t>1493</t>
        </is>
      </c>
      <c r="C178" s="30" t="inlineStr">
        <is>
          <t>D3</t>
        </is>
      </c>
      <c r="D178" s="32" t="inlineStr">
        <is>
          <t>수의 새로운 연산</t>
        </is>
      </c>
      <c r="E178" s="28" t="inlineStr">
        <is>
          <t>완전탐색 / 시뮬레이션</t>
        </is>
      </c>
      <c r="F178" s="28" t="n"/>
      <c r="G178" s="28" t="n"/>
      <c r="H178" s="28" t="n"/>
      <c r="I178" s="28" t="n"/>
      <c r="J178" s="54">
        <f>IF(OR(ISNUMBER(SEARCH("보류",K178)),ISNUMBER(SEARCH("미룸",K178)),ISNUMBER(SEARCH("나중에",K178)),ISNUMBER(SEARCH("보류",L178)),ISNUMBER(SEARCH("미룸",L178)),ISNUMBER(SEARCH("나중에",L178))),"보류(나중에 풀기)",IF(AND(F178="",G178="",H178="",I178=""),"미완료",IF(I178&lt;&gt;"","복습3(마스터)",IF(H178&lt;&gt;"","복습2",IF(G178&lt;&gt;"","복습1",IF(ISNUMBER(SEARCH("제미나이",K178)),"복습대기(AI도움)",IF(ISNUMBER(SEARCH("간당간당",K178)),"복습대기(간당간당)",IF(OR(ISNUMBER(SEARCH("아이디어",K178)),ISNUMBER(SEARCH("시간초과",K178)),ISNUMBER(SEARCH("자료구조",K178)),ISNUMBER(SEARCH("경계값",K178)),ISNUMBER(SEARCH("다른 풀이",K178)),ISNUMBER(SEARCH("또풀기",K178))),"복습대기",IF(OR(ISNUMBER(SEARCH("복습필요없음",K178)),ISNUMBER(SEARCH("자력완벽",K178))),"품(복습불필요)",IF(F178&lt;&gt;"","품","미완료"))))))))))</f>
        <v/>
      </c>
      <c r="K178" s="32" t="inlineStr">
        <is>
          <t>-</t>
        </is>
      </c>
      <c r="L178" s="32" t="n"/>
      <c r="M178" s="28">
        <f>IF(OR(LEFT(J178,2)="보류", LEFT(J178,4)="복습대기", LEFT(J178,3)="복습1", LEFT(J178,3)="복습2"), MAX($M$3:M177)+1, "")</f>
        <v/>
      </c>
      <c r="N178" s="28" t="inlineStr">
        <is>
          <t>W07</t>
        </is>
      </c>
      <c r="O178" s="36" t="n">
        <v>46303</v>
      </c>
      <c r="P178" s="30">
        <f>IF(F178&lt;&gt;"","✅ 완료",IF(O178="","-",IF(TODAY()&gt;O178,"🚨 지연","⏳ 예정")))</f>
        <v/>
      </c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21.75" customHeight="1" s="209">
      <c r="A179" s="28" t="n">
        <v>176</v>
      </c>
      <c r="B179" s="28" t="inlineStr">
        <is>
          <t>1860</t>
        </is>
      </c>
      <c r="C179" s="30" t="inlineStr">
        <is>
          <t>D3</t>
        </is>
      </c>
      <c r="D179" s="32" t="inlineStr">
        <is>
          <t>진기의 최고급 붕어빵</t>
        </is>
      </c>
      <c r="E179" s="28" t="inlineStr">
        <is>
          <t>완전탐색 / 시뮬레이션</t>
        </is>
      </c>
      <c r="F179" s="28" t="n"/>
      <c r="G179" s="28" t="n"/>
      <c r="H179" s="28" t="n"/>
      <c r="I179" s="28" t="n"/>
      <c r="J179" s="54">
        <f>IF(OR(ISNUMBER(SEARCH("보류",K179)),ISNUMBER(SEARCH("미룸",K179)),ISNUMBER(SEARCH("나중에",K179)),ISNUMBER(SEARCH("보류",L179)),ISNUMBER(SEARCH("미룸",L179)),ISNUMBER(SEARCH("나중에",L179))),"보류(나중에 풀기)",IF(AND(F179="",G179="",H179="",I179=""),"미완료",IF(I179&lt;&gt;"","복습3(마스터)",IF(H179&lt;&gt;"","복습2",IF(G179&lt;&gt;"","복습1",IF(ISNUMBER(SEARCH("제미나이",K179)),"복습대기(AI도움)",IF(ISNUMBER(SEARCH("간당간당",K179)),"복습대기(간당간당)",IF(OR(ISNUMBER(SEARCH("아이디어",K179)),ISNUMBER(SEARCH("시간초과",K179)),ISNUMBER(SEARCH("자료구조",K179)),ISNUMBER(SEARCH("경계값",K179)),ISNUMBER(SEARCH("다른 풀이",K179)),ISNUMBER(SEARCH("또풀기",K179))),"복습대기",IF(OR(ISNUMBER(SEARCH("복습필요없음",K179)),ISNUMBER(SEARCH("자력완벽",K179))),"품(복습불필요)",IF(F179&lt;&gt;"","품","미완료"))))))))))</f>
        <v/>
      </c>
      <c r="K179" s="32" t="inlineStr">
        <is>
          <t>-</t>
        </is>
      </c>
      <c r="L179" s="32" t="n"/>
      <c r="M179" s="28">
        <f>IF(OR(LEFT(J179,2)="보류", LEFT(J179,4)="복습대기", LEFT(J179,3)="복습1", LEFT(J179,3)="복습2"), MAX($M$3:M178)+1, "")</f>
        <v/>
      </c>
      <c r="N179" s="28" t="inlineStr">
        <is>
          <t>W07</t>
        </is>
      </c>
      <c r="O179" s="36" t="n">
        <v>46303</v>
      </c>
      <c r="P179" s="30">
        <f>IF(F179&lt;&gt;"","✅ 완료",IF(O179="","-",IF(TODAY()&gt;O179,"🚨 지연","⏳ 예정")))</f>
        <v/>
      </c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21.75" customHeight="1" s="209">
      <c r="A180" s="28" t="n">
        <v>177</v>
      </c>
      <c r="B180" s="28" t="inlineStr">
        <is>
          <t>2814</t>
        </is>
      </c>
      <c r="C180" s="30" t="inlineStr">
        <is>
          <t>D3</t>
        </is>
      </c>
      <c r="D180" s="32" t="inlineStr">
        <is>
          <t>최장 경로</t>
        </is>
      </c>
      <c r="E180" s="28" t="inlineStr">
        <is>
          <t>DFS (최장 경로)</t>
        </is>
      </c>
      <c r="F180" s="28" t="n"/>
      <c r="G180" s="28" t="n"/>
      <c r="H180" s="28" t="n"/>
      <c r="I180" s="28" t="n"/>
      <c r="J180" s="54">
        <f>IF(OR(ISNUMBER(SEARCH("보류",K180)),ISNUMBER(SEARCH("미룸",K180)),ISNUMBER(SEARCH("나중에",K180)),ISNUMBER(SEARCH("보류",L180)),ISNUMBER(SEARCH("미룸",L180)),ISNUMBER(SEARCH("나중에",L180))),"보류(나중에 풀기)",IF(AND(F180="",G180="",H180="",I180=""),"미완료",IF(I180&lt;&gt;"","복습3(마스터)",IF(H180&lt;&gt;"","복습2",IF(G180&lt;&gt;"","복습1",IF(ISNUMBER(SEARCH("제미나이",K180)),"복습대기(AI도움)",IF(ISNUMBER(SEARCH("간당간당",K180)),"복습대기(간당간당)",IF(OR(ISNUMBER(SEARCH("아이디어",K180)),ISNUMBER(SEARCH("시간초과",K180)),ISNUMBER(SEARCH("자료구조",K180)),ISNUMBER(SEARCH("경계값",K180)),ISNUMBER(SEARCH("다른 풀이",K180)),ISNUMBER(SEARCH("또풀기",K180))),"복습대기",IF(OR(ISNUMBER(SEARCH("복습필요없음",K180)),ISNUMBER(SEARCH("자력완벽",K180))),"품(복습불필요)",IF(F180&lt;&gt;"","품","미완료"))))))))))</f>
        <v/>
      </c>
      <c r="K180" s="32" t="inlineStr">
        <is>
          <t>-</t>
        </is>
      </c>
      <c r="L180" s="32" t="n"/>
      <c r="M180" s="28">
        <f>IF(OR(LEFT(J180,2)="보류", LEFT(J180,4)="복습대기", LEFT(J180,3)="복습1", LEFT(J180,3)="복습2"), MAX($M$3:M179)+1, "")</f>
        <v/>
      </c>
      <c r="N180" s="28" t="inlineStr">
        <is>
          <t>W07</t>
        </is>
      </c>
      <c r="O180" s="36" t="n">
        <v>46303</v>
      </c>
      <c r="P180" s="30">
        <f>IF(F180&lt;&gt;"","✅ 완료",IF(O180="","-",IF(TODAY()&gt;O180,"🚨 지연","⏳ 예정")))</f>
        <v/>
      </c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21.75" customHeight="1" s="209">
      <c r="A181" s="28" t="n">
        <v>178</v>
      </c>
      <c r="B181" s="28" t="inlineStr">
        <is>
          <t>2948</t>
        </is>
      </c>
      <c r="C181" s="30" t="inlineStr">
        <is>
          <t>D3</t>
        </is>
      </c>
      <c r="D181" s="32" t="inlineStr">
        <is>
          <t>문자열 교집합</t>
        </is>
      </c>
      <c r="E181" s="28" t="inlineStr">
        <is>
          <t>문자열 / 파싱</t>
        </is>
      </c>
      <c r="F181" s="28" t="n"/>
      <c r="G181" s="28" t="n"/>
      <c r="H181" s="28" t="n"/>
      <c r="I181" s="28" t="n"/>
      <c r="J181" s="54">
        <f>IF(OR(ISNUMBER(SEARCH("보류",K181)),ISNUMBER(SEARCH("미룸",K181)),ISNUMBER(SEARCH("나중에",K181)),ISNUMBER(SEARCH("보류",L181)),ISNUMBER(SEARCH("미룸",L181)),ISNUMBER(SEARCH("나중에",L181))),"보류(나중에 풀기)",IF(AND(F181="",G181="",H181="",I181=""),"미완료",IF(I181&lt;&gt;"","복습3(마스터)",IF(H181&lt;&gt;"","복습2",IF(G181&lt;&gt;"","복습1",IF(ISNUMBER(SEARCH("제미나이",K181)),"복습대기(AI도움)",IF(ISNUMBER(SEARCH("간당간당",K181)),"복습대기(간당간당)",IF(OR(ISNUMBER(SEARCH("아이디어",K181)),ISNUMBER(SEARCH("시간초과",K181)),ISNUMBER(SEARCH("자료구조",K181)),ISNUMBER(SEARCH("경계값",K181)),ISNUMBER(SEARCH("다른 풀이",K181)),ISNUMBER(SEARCH("또풀기",K181))),"복습대기",IF(OR(ISNUMBER(SEARCH("복습필요없음",K181)),ISNUMBER(SEARCH("자력완벽",K181))),"품(복습불필요)",IF(F181&lt;&gt;"","품","미완료"))))))))))</f>
        <v/>
      </c>
      <c r="K181" s="32" t="inlineStr">
        <is>
          <t>-</t>
        </is>
      </c>
      <c r="L181" s="32" t="n"/>
      <c r="M181" s="28">
        <f>IF(OR(LEFT(J181,2)="보류", LEFT(J181,4)="복습대기", LEFT(J181,3)="복습1", LEFT(J181,3)="복습2"), MAX($M$3:M180)+1, "")</f>
        <v/>
      </c>
      <c r="N181" s="28" t="inlineStr">
        <is>
          <t>W07</t>
        </is>
      </c>
      <c r="O181" s="36" t="n">
        <v>46303</v>
      </c>
      <c r="P181" s="30">
        <f>IF(F181&lt;&gt;"","✅ 완료",IF(O181="","-",IF(TODAY()&gt;O181,"🚨 지연","⏳ 예정")))</f>
        <v/>
      </c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21.75" customHeight="1" s="209">
      <c r="A182" s="28" t="n">
        <v>179</v>
      </c>
      <c r="B182" s="28" t="inlineStr">
        <is>
          <t>3032</t>
        </is>
      </c>
      <c r="C182" s="30" t="inlineStr">
        <is>
          <t>D3</t>
        </is>
      </c>
      <c r="D182" s="32" t="inlineStr">
        <is>
          <t>홍준이의 숫자 놀이</t>
        </is>
      </c>
      <c r="E182" s="28" t="inlineStr">
        <is>
          <t>완전탐색 / 시뮬레이션</t>
        </is>
      </c>
      <c r="F182" s="28" t="n"/>
      <c r="G182" s="28" t="n"/>
      <c r="H182" s="28" t="n"/>
      <c r="I182" s="28" t="n"/>
      <c r="J182" s="54">
        <f>IF(OR(ISNUMBER(SEARCH("보류",K182)),ISNUMBER(SEARCH("미룸",K182)),ISNUMBER(SEARCH("나중에",K182)),ISNUMBER(SEARCH("보류",L182)),ISNUMBER(SEARCH("미룸",L182)),ISNUMBER(SEARCH("나중에",L182))),"보류(나중에 풀기)",IF(AND(F182="",G182="",H182="",I182=""),"미완료",IF(I182&lt;&gt;"","복습3(마스터)",IF(H182&lt;&gt;"","복습2",IF(G182&lt;&gt;"","복습1",IF(ISNUMBER(SEARCH("제미나이",K182)),"복습대기(AI도움)",IF(ISNUMBER(SEARCH("간당간당",K182)),"복습대기(간당간당)",IF(OR(ISNUMBER(SEARCH("아이디어",K182)),ISNUMBER(SEARCH("시간초과",K182)),ISNUMBER(SEARCH("자료구조",K182)),ISNUMBER(SEARCH("경계값",K182)),ISNUMBER(SEARCH("다른 풀이",K182)),ISNUMBER(SEARCH("또풀기",K182))),"복습대기",IF(OR(ISNUMBER(SEARCH("복습필요없음",K182)),ISNUMBER(SEARCH("자력완벽",K182))),"품(복습불필요)",IF(F182&lt;&gt;"","품","미완료"))))))))))</f>
        <v/>
      </c>
      <c r="K182" s="32" t="inlineStr">
        <is>
          <t>-</t>
        </is>
      </c>
      <c r="L182" s="32" t="n"/>
      <c r="M182" s="28">
        <f>IF(OR(LEFT(J182,2)="보류", LEFT(J182,4)="복습대기", LEFT(J182,3)="복습1", LEFT(J182,3)="복습2"), MAX($M$3:M181)+1, "")</f>
        <v/>
      </c>
      <c r="N182" s="28" t="inlineStr">
        <is>
          <t>W07</t>
        </is>
      </c>
      <c r="O182" s="36" t="n">
        <v>46303</v>
      </c>
      <c r="P182" s="30">
        <f>IF(F182&lt;&gt;"","✅ 완료",IF(O182="","-",IF(TODAY()&gt;O182,"🚨 지연","⏳ 예정")))</f>
        <v/>
      </c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21.75" customHeight="1" s="209">
      <c r="A183" s="28" t="n">
        <v>180</v>
      </c>
      <c r="B183" s="28" t="inlineStr">
        <is>
          <t>3131</t>
        </is>
      </c>
      <c r="C183" s="30" t="inlineStr">
        <is>
          <t>D3</t>
        </is>
      </c>
      <c r="D183" s="32" t="inlineStr">
        <is>
          <t>100만 이하의 모든 소수</t>
        </is>
      </c>
      <c r="E183" s="28" t="inlineStr">
        <is>
          <t>수학 / 정수론</t>
        </is>
      </c>
      <c r="F183" s="28" t="n"/>
      <c r="G183" s="28" t="n"/>
      <c r="H183" s="28" t="n"/>
      <c r="I183" s="28" t="n"/>
      <c r="J183" s="54">
        <f>IF(OR(ISNUMBER(SEARCH("보류",K183)),ISNUMBER(SEARCH("미룸",K183)),ISNUMBER(SEARCH("나중에",K183)),ISNUMBER(SEARCH("보류",L183)),ISNUMBER(SEARCH("미룸",L183)),ISNUMBER(SEARCH("나중에",L183))),"보류(나중에 풀기)",IF(AND(F183="",G183="",H183="",I183=""),"미완료",IF(I183&lt;&gt;"","복습3(마스터)",IF(H183&lt;&gt;"","복습2",IF(G183&lt;&gt;"","복습1",IF(ISNUMBER(SEARCH("제미나이",K183)),"복습대기(AI도움)",IF(ISNUMBER(SEARCH("간당간당",K183)),"복습대기(간당간당)",IF(OR(ISNUMBER(SEARCH("아이디어",K183)),ISNUMBER(SEARCH("시간초과",K183)),ISNUMBER(SEARCH("자료구조",K183)),ISNUMBER(SEARCH("경계값",K183)),ISNUMBER(SEARCH("다른 풀이",K183)),ISNUMBER(SEARCH("또풀기",K183))),"복습대기",IF(OR(ISNUMBER(SEARCH("복습필요없음",K183)),ISNUMBER(SEARCH("자력완벽",K183))),"품(복습불필요)",IF(F183&lt;&gt;"","품","미완료"))))))))))</f>
        <v/>
      </c>
      <c r="K183" s="32" t="inlineStr">
        <is>
          <t>-</t>
        </is>
      </c>
      <c r="L183" s="32" t="n"/>
      <c r="M183" s="28">
        <f>IF(OR(LEFT(J183,2)="보류", LEFT(J183,4)="복습대기", LEFT(J183,3)="복습1", LEFT(J183,3)="복습2"), MAX($M$3:M182)+1, "")</f>
        <v/>
      </c>
      <c r="N183" s="28" t="inlineStr">
        <is>
          <t>W07</t>
        </is>
      </c>
      <c r="O183" s="36" t="n">
        <v>46304</v>
      </c>
      <c r="P183" s="30">
        <f>IF(F183&lt;&gt;"","✅ 완료",IF(O183="","-",IF(TODAY()&gt;O183,"🚨 지연","⏳ 예정")))</f>
        <v/>
      </c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21.75" customHeight="1" s="209">
      <c r="A184" s="28" t="n">
        <v>181</v>
      </c>
      <c r="B184" s="28" t="inlineStr">
        <is>
          <t>3142</t>
        </is>
      </c>
      <c r="C184" s="30" t="inlineStr">
        <is>
          <t>D3</t>
        </is>
      </c>
      <c r="D184" s="32" t="inlineStr">
        <is>
          <t>영준이와 신비한 뿔의 숲</t>
        </is>
      </c>
      <c r="E184" s="28" t="inlineStr">
        <is>
          <t>완전탐색 / 시뮬레이션</t>
        </is>
      </c>
      <c r="F184" s="28" t="n"/>
      <c r="G184" s="28" t="n"/>
      <c r="H184" s="28" t="n"/>
      <c r="I184" s="28" t="n"/>
      <c r="J184" s="54">
        <f>IF(OR(ISNUMBER(SEARCH("보류",K184)),ISNUMBER(SEARCH("미룸",K184)),ISNUMBER(SEARCH("나중에",K184)),ISNUMBER(SEARCH("보류",L184)),ISNUMBER(SEARCH("미룸",L184)),ISNUMBER(SEARCH("나중에",L184))),"보류(나중에 풀기)",IF(AND(F184="",G184="",H184="",I184=""),"미완료",IF(I184&lt;&gt;"","복습3(마스터)",IF(H184&lt;&gt;"","복습2",IF(G184&lt;&gt;"","복습1",IF(ISNUMBER(SEARCH("제미나이",K184)),"복습대기(AI도움)",IF(ISNUMBER(SEARCH("간당간당",K184)),"복습대기(간당간당)",IF(OR(ISNUMBER(SEARCH("아이디어",K184)),ISNUMBER(SEARCH("시간초과",K184)),ISNUMBER(SEARCH("자료구조",K184)),ISNUMBER(SEARCH("경계값",K184)),ISNUMBER(SEARCH("다른 풀이",K184)),ISNUMBER(SEARCH("또풀기",K184))),"복습대기",IF(OR(ISNUMBER(SEARCH("복습필요없음",K184)),ISNUMBER(SEARCH("자력완벽",K184))),"품(복습불필요)",IF(F184&lt;&gt;"","품","미완료"))))))))))</f>
        <v/>
      </c>
      <c r="K184" s="32" t="inlineStr">
        <is>
          <t>-</t>
        </is>
      </c>
      <c r="L184" s="32" t="n"/>
      <c r="M184" s="28">
        <f>IF(OR(LEFT(J184,2)="보류", LEFT(J184,4)="복습대기", LEFT(J184,3)="복습1", LEFT(J184,3)="복습2"), MAX($M$3:M183)+1, "")</f>
        <v/>
      </c>
      <c r="N184" s="28" t="inlineStr">
        <is>
          <t>W07</t>
        </is>
      </c>
      <c r="O184" s="36" t="n">
        <v>46304</v>
      </c>
      <c r="P184" s="30">
        <f>IF(F184&lt;&gt;"","✅ 완료",IF(O184="","-",IF(TODAY()&gt;O184,"🚨 지연","⏳ 예정")))</f>
        <v/>
      </c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21.75" customHeight="1" s="209">
      <c r="A185" s="28" t="n">
        <v>182</v>
      </c>
      <c r="B185" s="28" t="inlineStr">
        <is>
          <t>3233</t>
        </is>
      </c>
      <c r="C185" s="30" t="inlineStr">
        <is>
          <t>D3</t>
        </is>
      </c>
      <c r="D185" s="32" t="inlineStr">
        <is>
          <t>정삼각형 분할 놀이</t>
        </is>
      </c>
      <c r="E185" s="28" t="inlineStr">
        <is>
          <t>완전탐색 / 시뮬레이션</t>
        </is>
      </c>
      <c r="F185" s="28" t="n"/>
      <c r="G185" s="28" t="n"/>
      <c r="H185" s="28" t="n"/>
      <c r="I185" s="28" t="n"/>
      <c r="J185" s="54">
        <f>IF(OR(ISNUMBER(SEARCH("보류",K185)),ISNUMBER(SEARCH("미룸",K185)),ISNUMBER(SEARCH("나중에",K185)),ISNUMBER(SEARCH("보류",L185)),ISNUMBER(SEARCH("미룸",L185)),ISNUMBER(SEARCH("나중에",L185))),"보류(나중에 풀기)",IF(AND(F185="",G185="",H185="",I185=""),"미완료",IF(I185&lt;&gt;"","복습3(마스터)",IF(H185&lt;&gt;"","복습2",IF(G185&lt;&gt;"","복습1",IF(ISNUMBER(SEARCH("제미나이",K185)),"복습대기(AI도움)",IF(ISNUMBER(SEARCH("간당간당",K185)),"복습대기(간당간당)",IF(OR(ISNUMBER(SEARCH("아이디어",K185)),ISNUMBER(SEARCH("시간초과",K185)),ISNUMBER(SEARCH("자료구조",K185)),ISNUMBER(SEARCH("경계값",K185)),ISNUMBER(SEARCH("다른 풀이",K185)),ISNUMBER(SEARCH("또풀기",K185))),"복습대기",IF(OR(ISNUMBER(SEARCH("복습필요없음",K185)),ISNUMBER(SEARCH("자력완벽",K185))),"품(복습불필요)",IF(F185&lt;&gt;"","품","미완료"))))))))))</f>
        <v/>
      </c>
      <c r="K185" s="32" t="inlineStr">
        <is>
          <t>-</t>
        </is>
      </c>
      <c r="L185" s="32" t="n"/>
      <c r="M185" s="28">
        <f>IF(OR(LEFT(J185,2)="보류", LEFT(J185,4)="복습대기", LEFT(J185,3)="복습1", LEFT(J185,3)="복습2"), MAX($M$3:M184)+1, "")</f>
        <v/>
      </c>
      <c r="N185" s="28" t="inlineStr">
        <is>
          <t>W07</t>
        </is>
      </c>
      <c r="O185" s="36" t="n">
        <v>46304</v>
      </c>
      <c r="P185" s="30">
        <f>IF(F185&lt;&gt;"","✅ 완료",IF(O185="","-",IF(TODAY()&gt;O185,"🚨 지연","⏳ 예정")))</f>
        <v/>
      </c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21.75" customHeight="1" s="209">
      <c r="A186" s="28" t="n">
        <v>183</v>
      </c>
      <c r="B186" s="28" t="inlineStr">
        <is>
          <t>3304</t>
        </is>
      </c>
      <c r="C186" s="30" t="inlineStr">
        <is>
          <t>D3</t>
        </is>
      </c>
      <c r="D186" s="32" t="inlineStr">
        <is>
          <t>최장 공통 부분 수열</t>
        </is>
      </c>
      <c r="E186" s="28" t="inlineStr">
        <is>
          <t>동적계획법 (DP)</t>
        </is>
      </c>
      <c r="F186" s="28" t="n"/>
      <c r="G186" s="28" t="n"/>
      <c r="H186" s="28" t="n"/>
      <c r="I186" s="28" t="n"/>
      <c r="J186" s="54">
        <f>IF(OR(ISNUMBER(SEARCH("보류",K186)),ISNUMBER(SEARCH("미룸",K186)),ISNUMBER(SEARCH("나중에",K186)),ISNUMBER(SEARCH("보류",L186)),ISNUMBER(SEARCH("미룸",L186)),ISNUMBER(SEARCH("나중에",L186))),"보류(나중에 풀기)",IF(AND(F186="",G186="",H186="",I186=""),"미완료",IF(I186&lt;&gt;"","복습3(마스터)",IF(H186&lt;&gt;"","복습2",IF(G186&lt;&gt;"","복습1",IF(ISNUMBER(SEARCH("제미나이",K186)),"복습대기(AI도움)",IF(ISNUMBER(SEARCH("간당간당",K186)),"복습대기(간당간당)",IF(OR(ISNUMBER(SEARCH("아이디어",K186)),ISNUMBER(SEARCH("시간초과",K186)),ISNUMBER(SEARCH("자료구조",K186)),ISNUMBER(SEARCH("경계값",K186)),ISNUMBER(SEARCH("다른 풀이",K186)),ISNUMBER(SEARCH("또풀기",K186))),"복습대기",IF(OR(ISNUMBER(SEARCH("복습필요없음",K186)),ISNUMBER(SEARCH("자력완벽",K186))),"품(복습불필요)",IF(F186&lt;&gt;"","품","미완료"))))))))))</f>
        <v/>
      </c>
      <c r="K186" s="32" t="inlineStr">
        <is>
          <t>-</t>
        </is>
      </c>
      <c r="L186" s="32" t="n"/>
      <c r="M186" s="28">
        <f>IF(OR(LEFT(J186,2)="보류", LEFT(J186,4)="복습대기", LEFT(J186,3)="복습1", LEFT(J186,3)="복습2"), MAX($M$3:M185)+1, "")</f>
        <v/>
      </c>
      <c r="N186" s="28" t="inlineStr">
        <is>
          <t>W07</t>
        </is>
      </c>
      <c r="O186" s="36" t="n">
        <v>46304</v>
      </c>
      <c r="P186" s="30">
        <f>IF(F186&lt;&gt;"","✅ 완료",IF(O186="","-",IF(TODAY()&gt;O186,"🚨 지연","⏳ 예정")))</f>
        <v/>
      </c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21.75" customHeight="1" s="209">
      <c r="A187" s="28" t="n">
        <v>184</v>
      </c>
      <c r="B187" s="28" t="inlineStr">
        <is>
          <t>3307</t>
        </is>
      </c>
      <c r="C187" s="30" t="inlineStr">
        <is>
          <t>D3</t>
        </is>
      </c>
      <c r="D187" s="32" t="inlineStr">
        <is>
          <t>최장 증가 부분 수열</t>
        </is>
      </c>
      <c r="E187" s="28" t="inlineStr">
        <is>
          <t>동적계획법 (DP) (LIS)</t>
        </is>
      </c>
      <c r="F187" s="28" t="n"/>
      <c r="G187" s="28" t="n"/>
      <c r="H187" s="28" t="n"/>
      <c r="I187" s="28" t="n"/>
      <c r="J187" s="54">
        <f>IF(OR(ISNUMBER(SEARCH("보류",K187)),ISNUMBER(SEARCH("미룸",K187)),ISNUMBER(SEARCH("나중에",K187)),ISNUMBER(SEARCH("보류",L187)),ISNUMBER(SEARCH("미룸",L187)),ISNUMBER(SEARCH("나중에",L187))),"보류(나중에 풀기)",IF(AND(F187="",G187="",H187="",I187=""),"미완료",IF(I187&lt;&gt;"","복습3(마스터)",IF(H187&lt;&gt;"","복습2",IF(G187&lt;&gt;"","복습1",IF(ISNUMBER(SEARCH("제미나이",K187)),"복습대기(AI도움)",IF(ISNUMBER(SEARCH("간당간당",K187)),"복습대기(간당간당)",IF(OR(ISNUMBER(SEARCH("아이디어",K187)),ISNUMBER(SEARCH("시간초과",K187)),ISNUMBER(SEARCH("자료구조",K187)),ISNUMBER(SEARCH("경계값",K187)),ISNUMBER(SEARCH("다른 풀이",K187)),ISNUMBER(SEARCH("또풀기",K187))),"복습대기",IF(OR(ISNUMBER(SEARCH("복습필요없음",K187)),ISNUMBER(SEARCH("자력완벽",K187))),"품(복습불필요)",IF(F187&lt;&gt;"","품","미완료"))))))))))</f>
        <v/>
      </c>
      <c r="K187" s="32" t="inlineStr">
        <is>
          <t>-</t>
        </is>
      </c>
      <c r="L187" s="32" t="n"/>
      <c r="M187" s="28">
        <f>IF(OR(LEFT(J187,2)="보류", LEFT(J187,4)="복습대기", LEFT(J187,3)="복습1", LEFT(J187,3)="복습2"), MAX($M$3:M186)+1, "")</f>
        <v/>
      </c>
      <c r="N187" s="28" t="inlineStr">
        <is>
          <t>W07</t>
        </is>
      </c>
      <c r="O187" s="36" t="n">
        <v>46304</v>
      </c>
      <c r="P187" s="30">
        <f>IF(F187&lt;&gt;"","✅ 완료",IF(O187="","-",IF(TODAY()&gt;O187,"🚨 지연","⏳ 예정")))</f>
        <v/>
      </c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21.75" customHeight="1" s="209">
      <c r="A188" s="28" t="n">
        <v>185</v>
      </c>
      <c r="B188" s="28" t="inlineStr">
        <is>
          <t>3314</t>
        </is>
      </c>
      <c r="C188" s="30" t="inlineStr">
        <is>
          <t>D3</t>
        </is>
      </c>
      <c r="D188" s="32" t="inlineStr">
        <is>
          <t>보충학습과 평균</t>
        </is>
      </c>
      <c r="E188" s="28" t="inlineStr">
        <is>
          <t>완전탐색 / 시뮬레이션</t>
        </is>
      </c>
      <c r="F188" s="28" t="n"/>
      <c r="G188" s="28" t="n"/>
      <c r="H188" s="28" t="n"/>
      <c r="I188" s="28" t="n"/>
      <c r="J188" s="54">
        <f>IF(OR(ISNUMBER(SEARCH("보류",K188)),ISNUMBER(SEARCH("미룸",K188)),ISNUMBER(SEARCH("나중에",K188)),ISNUMBER(SEARCH("보류",L188)),ISNUMBER(SEARCH("미룸",L188)),ISNUMBER(SEARCH("나중에",L188))),"보류(나중에 풀기)",IF(AND(F188="",G188="",H188="",I188=""),"미완료",IF(I188&lt;&gt;"","복습3(마스터)",IF(H188&lt;&gt;"","복습2",IF(G188&lt;&gt;"","복습1",IF(ISNUMBER(SEARCH("제미나이",K188)),"복습대기(AI도움)",IF(ISNUMBER(SEARCH("간당간당",K188)),"복습대기(간당간당)",IF(OR(ISNUMBER(SEARCH("아이디어",K188)),ISNUMBER(SEARCH("시간초과",K188)),ISNUMBER(SEARCH("자료구조",K188)),ISNUMBER(SEARCH("경계값",K188)),ISNUMBER(SEARCH("다른 풀이",K188)),ISNUMBER(SEARCH("또풀기",K188))),"복습대기",IF(OR(ISNUMBER(SEARCH("복습필요없음",K188)),ISNUMBER(SEARCH("자력완벽",K188))),"품(복습불필요)",IF(F188&lt;&gt;"","품","미완료"))))))))))</f>
        <v/>
      </c>
      <c r="K188" s="32" t="inlineStr">
        <is>
          <t>-</t>
        </is>
      </c>
      <c r="L188" s="32" t="n"/>
      <c r="M188" s="28">
        <f>IF(OR(LEFT(J188,2)="보류", LEFT(J188,4)="복습대기", LEFT(J188,3)="복습1", LEFT(J188,3)="복습2"), MAX($M$3:M187)+1, "")</f>
        <v/>
      </c>
      <c r="N188" s="28" t="inlineStr">
        <is>
          <t>W07</t>
        </is>
      </c>
      <c r="O188" s="36" t="n">
        <v>46304</v>
      </c>
      <c r="P188" s="30">
        <f>IF(F188&lt;&gt;"","✅ 완료",IF(O188="","-",IF(TODAY()&gt;O188,"🚨 지연","⏳ 예정")))</f>
        <v/>
      </c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21.75" customHeight="1" s="209">
      <c r="A189" s="28" t="n">
        <v>186</v>
      </c>
      <c r="B189" s="28" t="inlineStr">
        <is>
          <t>3376</t>
        </is>
      </c>
      <c r="C189" s="30" t="inlineStr">
        <is>
          <t>D3</t>
        </is>
      </c>
      <c r="D189" s="32" t="inlineStr">
        <is>
          <t>파도반 수열</t>
        </is>
      </c>
      <c r="E189" s="28" t="inlineStr">
        <is>
          <t>동적계획법 (DP)</t>
        </is>
      </c>
      <c r="F189" s="28" t="n"/>
      <c r="G189" s="28" t="n"/>
      <c r="H189" s="28" t="n"/>
      <c r="I189" s="28" t="n"/>
      <c r="J189" s="54">
        <f>IF(OR(ISNUMBER(SEARCH("보류",K189)),ISNUMBER(SEARCH("미룸",K189)),ISNUMBER(SEARCH("나중에",K189)),ISNUMBER(SEARCH("보류",L189)),ISNUMBER(SEARCH("미룸",L189)),ISNUMBER(SEARCH("나중에",L189))),"보류(나중에 풀기)",IF(AND(F189="",G189="",H189="",I189=""),"미완료",IF(I189&lt;&gt;"","복습3(마스터)",IF(H189&lt;&gt;"","복습2",IF(G189&lt;&gt;"","복습1",IF(ISNUMBER(SEARCH("제미나이",K189)),"복습대기(AI도움)",IF(ISNUMBER(SEARCH("간당간당",K189)),"복습대기(간당간당)",IF(OR(ISNUMBER(SEARCH("아이디어",K189)),ISNUMBER(SEARCH("시간초과",K189)),ISNUMBER(SEARCH("자료구조",K189)),ISNUMBER(SEARCH("경계값",K189)),ISNUMBER(SEARCH("다른 풀이",K189)),ISNUMBER(SEARCH("또풀기",K189))),"복습대기",IF(OR(ISNUMBER(SEARCH("복습필요없음",K189)),ISNUMBER(SEARCH("자력완벽",K189))),"품(복습불필요)",IF(F189&lt;&gt;"","품","미완료"))))))))))</f>
        <v/>
      </c>
      <c r="K189" s="32" t="inlineStr">
        <is>
          <t>-</t>
        </is>
      </c>
      <c r="L189" s="32" t="n"/>
      <c r="M189" s="28">
        <f>IF(OR(LEFT(J189,2)="보류", LEFT(J189,4)="복습대기", LEFT(J189,3)="복습1", LEFT(J189,3)="복습2"), MAX($M$3:M188)+1, "")</f>
        <v/>
      </c>
      <c r="N189" s="28" t="inlineStr">
        <is>
          <t>W07</t>
        </is>
      </c>
      <c r="O189" s="36" t="n">
        <v>46304</v>
      </c>
      <c r="P189" s="30">
        <f>IF(F189&lt;&gt;"","✅ 완료",IF(O189="","-",IF(TODAY()&gt;O189,"🚨 지연","⏳ 예정")))</f>
        <v/>
      </c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21.75" customHeight="1" s="209">
      <c r="A190" s="28" t="n">
        <v>187</v>
      </c>
      <c r="B190" s="28" t="inlineStr">
        <is>
          <t>3408</t>
        </is>
      </c>
      <c r="C190" s="30" t="inlineStr">
        <is>
          <t>D3</t>
        </is>
      </c>
      <c r="D190" s="32" t="inlineStr">
        <is>
          <t>세가지 합 구하기</t>
        </is>
      </c>
      <c r="E190" s="28" t="inlineStr">
        <is>
          <t>수학 / 정수론</t>
        </is>
      </c>
      <c r="F190" s="28" t="n"/>
      <c r="G190" s="28" t="n"/>
      <c r="H190" s="28" t="n"/>
      <c r="I190" s="28" t="n"/>
      <c r="J190" s="54">
        <f>IF(OR(ISNUMBER(SEARCH("보류",K190)),ISNUMBER(SEARCH("미룸",K190)),ISNUMBER(SEARCH("나중에",K190)),ISNUMBER(SEARCH("보류",L190)),ISNUMBER(SEARCH("미룸",L190)),ISNUMBER(SEARCH("나중에",L190))),"보류(나중에 풀기)",IF(AND(F190="",G190="",H190="",I190=""),"미완료",IF(I190&lt;&gt;"","복습3(마스터)",IF(H190&lt;&gt;"","복습2",IF(G190&lt;&gt;"","복습1",IF(ISNUMBER(SEARCH("제미나이",K190)),"복습대기(AI도움)",IF(ISNUMBER(SEARCH("간당간당",K190)),"복습대기(간당간당)",IF(OR(ISNUMBER(SEARCH("아이디어",K190)),ISNUMBER(SEARCH("시간초과",K190)),ISNUMBER(SEARCH("자료구조",K190)),ISNUMBER(SEARCH("경계값",K190)),ISNUMBER(SEARCH("다른 풀이",K190)),ISNUMBER(SEARCH("또풀기",K190))),"복습대기",IF(OR(ISNUMBER(SEARCH("복습필요없음",K190)),ISNUMBER(SEARCH("자력완벽",K190))),"품(복습불필요)",IF(F190&lt;&gt;"","품","미완료"))))))))))</f>
        <v/>
      </c>
      <c r="K190" s="32" t="inlineStr">
        <is>
          <t>-</t>
        </is>
      </c>
      <c r="L190" s="32" t="n"/>
      <c r="M190" s="28">
        <f>IF(OR(LEFT(J190,2)="보류", LEFT(J190,4)="복습대기", LEFT(J190,3)="복습1", LEFT(J190,3)="복습2"), MAX($M$3:M189)+1, "")</f>
        <v/>
      </c>
      <c r="N190" s="28" t="inlineStr">
        <is>
          <t>W07</t>
        </is>
      </c>
      <c r="O190" s="36" t="n">
        <v>46305</v>
      </c>
      <c r="P190" s="30">
        <f>IF(F190&lt;&gt;"","✅ 완료",IF(O190="","-",IF(TODAY()&gt;O190,"🚨 지연","⏳ 예정")))</f>
        <v/>
      </c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21.75" customHeight="1" s="209">
      <c r="A191" s="28" t="n">
        <v>188</v>
      </c>
      <c r="B191" s="28" t="inlineStr">
        <is>
          <t>3431</t>
        </is>
      </c>
      <c r="C191" s="30" t="inlineStr">
        <is>
          <t>D3</t>
        </is>
      </c>
      <c r="D191" s="32" t="inlineStr">
        <is>
          <t>준환이의 운동관리</t>
        </is>
      </c>
      <c r="E191" s="28" t="inlineStr">
        <is>
          <t>완전탐색 / 시뮬레이션</t>
        </is>
      </c>
      <c r="F191" s="28" t="n"/>
      <c r="G191" s="28" t="n"/>
      <c r="H191" s="28" t="n"/>
      <c r="I191" s="28" t="n"/>
      <c r="J191" s="54">
        <f>IF(OR(ISNUMBER(SEARCH("보류",K191)),ISNUMBER(SEARCH("미룸",K191)),ISNUMBER(SEARCH("나중에",K191)),ISNUMBER(SEARCH("보류",L191)),ISNUMBER(SEARCH("미룸",L191)),ISNUMBER(SEARCH("나중에",L191))),"보류(나중에 풀기)",IF(AND(F191="",G191="",H191="",I191=""),"미완료",IF(I191&lt;&gt;"","복습3(마스터)",IF(H191&lt;&gt;"","복습2",IF(G191&lt;&gt;"","복습1",IF(ISNUMBER(SEARCH("제미나이",K191)),"복습대기(AI도움)",IF(ISNUMBER(SEARCH("간당간당",K191)),"복습대기(간당간당)",IF(OR(ISNUMBER(SEARCH("아이디어",K191)),ISNUMBER(SEARCH("시간초과",K191)),ISNUMBER(SEARCH("자료구조",K191)),ISNUMBER(SEARCH("경계값",K191)),ISNUMBER(SEARCH("다른 풀이",K191)),ISNUMBER(SEARCH("또풀기",K191))),"복습대기",IF(OR(ISNUMBER(SEARCH("복습필요없음",K191)),ISNUMBER(SEARCH("자력완벽",K191))),"품(복습불필요)",IF(F191&lt;&gt;"","품","미완료"))))))))))</f>
        <v/>
      </c>
      <c r="K191" s="32" t="inlineStr">
        <is>
          <t>-</t>
        </is>
      </c>
      <c r="L191" s="32" t="n"/>
      <c r="M191" s="28">
        <f>IF(OR(LEFT(J191,2)="보류", LEFT(J191,4)="복습대기", LEFT(J191,3)="복습1", LEFT(J191,3)="복습2"), MAX($M$3:M190)+1, "")</f>
        <v/>
      </c>
      <c r="N191" s="28" t="inlineStr">
        <is>
          <t>W07</t>
        </is>
      </c>
      <c r="O191" s="36" t="n">
        <v>46305</v>
      </c>
      <c r="P191" s="30">
        <f>IF(F191&lt;&gt;"","✅ 완료",IF(O191="","-",IF(TODAY()&gt;O191,"🚨 지연","⏳ 예정")))</f>
        <v/>
      </c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21.75" customHeight="1" s="209">
      <c r="A192" s="28" t="n">
        <v>189</v>
      </c>
      <c r="B192" s="28" t="inlineStr">
        <is>
          <t>3456</t>
        </is>
      </c>
      <c r="C192" s="30" t="inlineStr">
        <is>
          <t>D3</t>
        </is>
      </c>
      <c r="D192" s="32" t="inlineStr">
        <is>
          <t>직사각형 길이 찾기</t>
        </is>
      </c>
      <c r="E192" s="28" t="inlineStr">
        <is>
          <t>완전탐색 / 시뮬레이션</t>
        </is>
      </c>
      <c r="F192" s="28" t="n"/>
      <c r="G192" s="28" t="n"/>
      <c r="H192" s="28" t="n"/>
      <c r="I192" s="28" t="n"/>
      <c r="J192" s="54">
        <f>IF(OR(ISNUMBER(SEARCH("보류",K192)),ISNUMBER(SEARCH("미룸",K192)),ISNUMBER(SEARCH("나중에",K192)),ISNUMBER(SEARCH("보류",L192)),ISNUMBER(SEARCH("미룸",L192)),ISNUMBER(SEARCH("나중에",L192))),"보류(나중에 풀기)",IF(AND(F192="",G192="",H192="",I192=""),"미완료",IF(I192&lt;&gt;"","복습3(마스터)",IF(H192&lt;&gt;"","복습2",IF(G192&lt;&gt;"","복습1",IF(ISNUMBER(SEARCH("제미나이",K192)),"복습대기(AI도움)",IF(ISNUMBER(SEARCH("간당간당",K192)),"복습대기(간당간당)",IF(OR(ISNUMBER(SEARCH("아이디어",K192)),ISNUMBER(SEARCH("시간초과",K192)),ISNUMBER(SEARCH("자료구조",K192)),ISNUMBER(SEARCH("경계값",K192)),ISNUMBER(SEARCH("다른 풀이",K192)),ISNUMBER(SEARCH("또풀기",K192))),"복습대기",IF(OR(ISNUMBER(SEARCH("복습필요없음",K192)),ISNUMBER(SEARCH("자력완벽",K192))),"품(복습불필요)",IF(F192&lt;&gt;"","품","미완료"))))))))))</f>
        <v/>
      </c>
      <c r="K192" s="32" t="inlineStr">
        <is>
          <t>-</t>
        </is>
      </c>
      <c r="L192" s="32" t="n"/>
      <c r="M192" s="28">
        <f>IF(OR(LEFT(J192,2)="보류", LEFT(J192,4)="복습대기", LEFT(J192,3)="복습1", LEFT(J192,3)="복습2"), MAX($M$3:M191)+1, "")</f>
        <v/>
      </c>
      <c r="N192" s="28" t="inlineStr">
        <is>
          <t>W07</t>
        </is>
      </c>
      <c r="O192" s="36" t="n">
        <v>46305</v>
      </c>
      <c r="P192" s="30">
        <f>IF(F192&lt;&gt;"","✅ 완료",IF(O192="","-",IF(TODAY()&gt;O192,"🚨 지연","⏳ 예정")))</f>
        <v/>
      </c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21.75" customHeight="1" s="209">
      <c r="A193" s="28" t="n">
        <v>190</v>
      </c>
      <c r="B193" s="28" t="inlineStr">
        <is>
          <t>3750</t>
        </is>
      </c>
      <c r="C193" s="30" t="inlineStr">
        <is>
          <t>D3</t>
        </is>
      </c>
      <c r="D193" s="32" t="inlineStr">
        <is>
          <t>Digit sum</t>
        </is>
      </c>
      <c r="E193" s="28" t="inlineStr">
        <is>
          <t>완전탐색 / 시뮬레이션</t>
        </is>
      </c>
      <c r="F193" s="28" t="n"/>
      <c r="G193" s="28" t="n"/>
      <c r="H193" s="28" t="n"/>
      <c r="I193" s="28" t="n"/>
      <c r="J193" s="54">
        <f>IF(OR(ISNUMBER(SEARCH("보류",K193)),ISNUMBER(SEARCH("미룸",K193)),ISNUMBER(SEARCH("나중에",K193)),ISNUMBER(SEARCH("보류",L193)),ISNUMBER(SEARCH("미룸",L193)),ISNUMBER(SEARCH("나중에",L193))),"보류(나중에 풀기)",IF(AND(F193="",G193="",H193="",I193=""),"미완료",IF(I193&lt;&gt;"","복습3(마스터)",IF(H193&lt;&gt;"","복습2",IF(G193&lt;&gt;"","복습1",IF(ISNUMBER(SEARCH("제미나이",K193)),"복습대기(AI도움)",IF(ISNUMBER(SEARCH("간당간당",K193)),"복습대기(간당간당)",IF(OR(ISNUMBER(SEARCH("아이디어",K193)),ISNUMBER(SEARCH("시간초과",K193)),ISNUMBER(SEARCH("자료구조",K193)),ISNUMBER(SEARCH("경계값",K193)),ISNUMBER(SEARCH("다른 풀이",K193)),ISNUMBER(SEARCH("또풀기",K193))),"복습대기",IF(OR(ISNUMBER(SEARCH("복습필요없음",K193)),ISNUMBER(SEARCH("자력완벽",K193))),"품(복습불필요)",IF(F193&lt;&gt;"","품","미완료"))))))))))</f>
        <v/>
      </c>
      <c r="K193" s="32" t="inlineStr">
        <is>
          <t>-</t>
        </is>
      </c>
      <c r="L193" s="32" t="n"/>
      <c r="M193" s="28">
        <f>IF(OR(LEFT(J193,2)="보류", LEFT(J193,4)="복습대기", LEFT(J193,3)="복습1", LEFT(J193,3)="복습2"), MAX($M$3:M192)+1, "")</f>
        <v/>
      </c>
      <c r="N193" s="28" t="inlineStr">
        <is>
          <t>W07</t>
        </is>
      </c>
      <c r="O193" s="36" t="n">
        <v>46305</v>
      </c>
      <c r="P193" s="30">
        <f>IF(F193&lt;&gt;"","✅ 완료",IF(O193="","-",IF(TODAY()&gt;O193,"🚨 지연","⏳ 예정")))</f>
        <v/>
      </c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21.75" customHeight="1" s="209">
      <c r="A194" s="28" t="n">
        <v>191</v>
      </c>
      <c r="B194" s="28" t="inlineStr">
        <is>
          <t>3809</t>
        </is>
      </c>
      <c r="C194" s="30" t="inlineStr">
        <is>
          <t>D3</t>
        </is>
      </c>
      <c r="D194" s="32" t="inlineStr">
        <is>
          <t>화섭이의 정수 나열</t>
        </is>
      </c>
      <c r="E194" s="28" t="inlineStr">
        <is>
          <t>수학 / 정수론</t>
        </is>
      </c>
      <c r="F194" s="28" t="n"/>
      <c r="G194" s="28" t="n"/>
      <c r="H194" s="28" t="n"/>
      <c r="I194" s="28" t="n"/>
      <c r="J194" s="54">
        <f>IF(OR(ISNUMBER(SEARCH("보류",K194)),ISNUMBER(SEARCH("미룸",K194)),ISNUMBER(SEARCH("나중에",K194)),ISNUMBER(SEARCH("보류",L194)),ISNUMBER(SEARCH("미룸",L194)),ISNUMBER(SEARCH("나중에",L194))),"보류(나중에 풀기)",IF(AND(F194="",G194="",H194="",I194=""),"미완료",IF(I194&lt;&gt;"","복습3(마스터)",IF(H194&lt;&gt;"","복습2",IF(G194&lt;&gt;"","복습1",IF(ISNUMBER(SEARCH("제미나이",K194)),"복습대기(AI도움)",IF(ISNUMBER(SEARCH("간당간당",K194)),"복습대기(간당간당)",IF(OR(ISNUMBER(SEARCH("아이디어",K194)),ISNUMBER(SEARCH("시간초과",K194)),ISNUMBER(SEARCH("자료구조",K194)),ISNUMBER(SEARCH("경계값",K194)),ISNUMBER(SEARCH("다른 풀이",K194)),ISNUMBER(SEARCH("또풀기",K194))),"복습대기",IF(OR(ISNUMBER(SEARCH("복습필요없음",K194)),ISNUMBER(SEARCH("자력완벽",K194))),"품(복습불필요)",IF(F194&lt;&gt;"","품","미완료"))))))))))</f>
        <v/>
      </c>
      <c r="K194" s="32" t="inlineStr">
        <is>
          <t>-</t>
        </is>
      </c>
      <c r="L194" s="32" t="n"/>
      <c r="M194" s="28">
        <f>IF(OR(LEFT(J194,2)="보류", LEFT(J194,4)="복습대기", LEFT(J194,3)="복습1", LEFT(J194,3)="복습2"), MAX($M$3:M193)+1, "")</f>
        <v/>
      </c>
      <c r="N194" s="28" t="inlineStr">
        <is>
          <t>W07</t>
        </is>
      </c>
      <c r="O194" s="36" t="n">
        <v>46305</v>
      </c>
      <c r="P194" s="30">
        <f>IF(F194&lt;&gt;"","✅ 완료",IF(O194="","-",IF(TODAY()&gt;O194,"🚨 지연","⏳ 예정")))</f>
        <v/>
      </c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21.75" customHeight="1" s="209">
      <c r="A195" s="28" t="n">
        <v>192</v>
      </c>
      <c r="B195" s="28" t="inlineStr">
        <is>
          <t>3975</t>
        </is>
      </c>
      <c r="C195" s="30" t="inlineStr">
        <is>
          <t>D3</t>
        </is>
      </c>
      <c r="D195" s="32" t="inlineStr">
        <is>
          <t>승률 비교하기</t>
        </is>
      </c>
      <c r="E195" s="28" t="inlineStr">
        <is>
          <t>완전탐색 / 시뮬레이션</t>
        </is>
      </c>
      <c r="F195" s="28" t="n"/>
      <c r="G195" s="28" t="n"/>
      <c r="H195" s="28" t="n"/>
      <c r="I195" s="28" t="n"/>
      <c r="J195" s="54">
        <f>IF(OR(ISNUMBER(SEARCH("보류",K195)),ISNUMBER(SEARCH("미룸",K195)),ISNUMBER(SEARCH("나중에",K195)),ISNUMBER(SEARCH("보류",L195)),ISNUMBER(SEARCH("미룸",L195)),ISNUMBER(SEARCH("나중에",L195))),"보류(나중에 풀기)",IF(AND(F195="",G195="",H195="",I195=""),"미완료",IF(I195&lt;&gt;"","복습3(마스터)",IF(H195&lt;&gt;"","복습2",IF(G195&lt;&gt;"","복습1",IF(ISNUMBER(SEARCH("제미나이",K195)),"복습대기(AI도움)",IF(ISNUMBER(SEARCH("간당간당",K195)),"복습대기(간당간당)",IF(OR(ISNUMBER(SEARCH("아이디어",K195)),ISNUMBER(SEARCH("시간초과",K195)),ISNUMBER(SEARCH("자료구조",K195)),ISNUMBER(SEARCH("경계값",K195)),ISNUMBER(SEARCH("다른 풀이",K195)),ISNUMBER(SEARCH("또풀기",K195))),"복습대기",IF(OR(ISNUMBER(SEARCH("복습필요없음",K195)),ISNUMBER(SEARCH("자력완벽",K195))),"품(복습불필요)",IF(F195&lt;&gt;"","품","미완료"))))))))))</f>
        <v/>
      </c>
      <c r="K195" s="32" t="inlineStr">
        <is>
          <t>-</t>
        </is>
      </c>
      <c r="L195" s="32" t="n"/>
      <c r="M195" s="28">
        <f>IF(OR(LEFT(J195,2)="보류", LEFT(J195,4)="복습대기", LEFT(J195,3)="복습1", LEFT(J195,3)="복습2"), MAX($M$3:M194)+1, "")</f>
        <v/>
      </c>
      <c r="N195" s="28" t="inlineStr">
        <is>
          <t>W07</t>
        </is>
      </c>
      <c r="O195" s="36" t="n">
        <v>46305</v>
      </c>
      <c r="P195" s="30">
        <f>IF(F195&lt;&gt;"","✅ 완료",IF(O195="","-",IF(TODAY()&gt;O195,"🚨 지연","⏳ 예정")))</f>
        <v/>
      </c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21.75" customHeight="1" s="209">
      <c r="A196" s="28" t="n">
        <v>193</v>
      </c>
      <c r="B196" s="28" t="inlineStr">
        <is>
          <t>4047</t>
        </is>
      </c>
      <c r="C196" s="30" t="inlineStr">
        <is>
          <t>D3</t>
        </is>
      </c>
      <c r="D196" s="32" t="inlineStr">
        <is>
          <t>영준이의 카드 카운팅</t>
        </is>
      </c>
      <c r="E196" s="28" t="inlineStr">
        <is>
          <t>완전탐색 / 시뮬레이션</t>
        </is>
      </c>
      <c r="F196" s="28" t="n"/>
      <c r="G196" s="28" t="n"/>
      <c r="H196" s="28" t="n"/>
      <c r="I196" s="28" t="n"/>
      <c r="J196" s="54">
        <f>IF(OR(ISNUMBER(SEARCH("보류",K196)),ISNUMBER(SEARCH("미룸",K196)),ISNUMBER(SEARCH("나중에",K196)),ISNUMBER(SEARCH("보류",L196)),ISNUMBER(SEARCH("미룸",L196)),ISNUMBER(SEARCH("나중에",L196))),"보류(나중에 풀기)",IF(AND(F196="",G196="",H196="",I196=""),"미완료",IF(I196&lt;&gt;"","복습3(마스터)",IF(H196&lt;&gt;"","복습2",IF(G196&lt;&gt;"","복습1",IF(ISNUMBER(SEARCH("제미나이",K196)),"복습대기(AI도움)",IF(ISNUMBER(SEARCH("간당간당",K196)),"복습대기(간당간당)",IF(OR(ISNUMBER(SEARCH("아이디어",K196)),ISNUMBER(SEARCH("시간초과",K196)),ISNUMBER(SEARCH("자료구조",K196)),ISNUMBER(SEARCH("경계값",K196)),ISNUMBER(SEARCH("다른 풀이",K196)),ISNUMBER(SEARCH("또풀기",K196))),"복습대기",IF(OR(ISNUMBER(SEARCH("복습필요없음",K196)),ISNUMBER(SEARCH("자력완벽",K196))),"품(복습불필요)",IF(F196&lt;&gt;"","품","미완료"))))))))))</f>
        <v/>
      </c>
      <c r="K196" s="32" t="inlineStr">
        <is>
          <t>-</t>
        </is>
      </c>
      <c r="L196" s="32" t="n"/>
      <c r="M196" s="28">
        <f>IF(OR(LEFT(J196,2)="보류", LEFT(J196,4)="복습대기", LEFT(J196,3)="복습1", LEFT(J196,3)="복습2"), MAX($M$3:M195)+1, "")</f>
        <v/>
      </c>
      <c r="N196" s="28" t="inlineStr">
        <is>
          <t>W07</t>
        </is>
      </c>
      <c r="O196" s="36" t="n">
        <v>46305</v>
      </c>
      <c r="P196" s="30">
        <f>IF(F196&lt;&gt;"","✅ 완료",IF(O196="","-",IF(TODAY()&gt;O196,"🚨 지연","⏳ 예정")))</f>
        <v/>
      </c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21.75" customHeight="1" s="209">
      <c r="A197" s="28" t="n">
        <v>194</v>
      </c>
      <c r="B197" s="28" t="inlineStr">
        <is>
          <t>4299</t>
        </is>
      </c>
      <c r="C197" s="30" t="inlineStr">
        <is>
          <t>D3</t>
        </is>
      </c>
      <c r="D197" s="32" t="inlineStr">
        <is>
          <t>태혁이의 사랑은 타이밍</t>
        </is>
      </c>
      <c r="E197" s="28" t="inlineStr">
        <is>
          <t>완전탐색 / 시뮬레이션</t>
        </is>
      </c>
      <c r="F197" s="28" t="n"/>
      <c r="G197" s="28" t="n"/>
      <c r="H197" s="28" t="n"/>
      <c r="I197" s="28" t="n"/>
      <c r="J197" s="54">
        <f>IF(OR(ISNUMBER(SEARCH("보류",K197)),ISNUMBER(SEARCH("미룸",K197)),ISNUMBER(SEARCH("나중에",K197)),ISNUMBER(SEARCH("보류",L197)),ISNUMBER(SEARCH("미룸",L197)),ISNUMBER(SEARCH("나중에",L197))),"보류(나중에 풀기)",IF(AND(F197="",G197="",H197="",I197=""),"미완료",IF(I197&lt;&gt;"","복습3(마스터)",IF(H197&lt;&gt;"","복습2",IF(G197&lt;&gt;"","복습1",IF(ISNUMBER(SEARCH("제미나이",K197)),"복습대기(AI도움)",IF(ISNUMBER(SEARCH("간당간당",K197)),"복습대기(간당간당)",IF(OR(ISNUMBER(SEARCH("아이디어",K197)),ISNUMBER(SEARCH("시간초과",K197)),ISNUMBER(SEARCH("자료구조",K197)),ISNUMBER(SEARCH("경계값",K197)),ISNUMBER(SEARCH("다른 풀이",K197)),ISNUMBER(SEARCH("또풀기",K197))),"복습대기",IF(OR(ISNUMBER(SEARCH("복습필요없음",K197)),ISNUMBER(SEARCH("자력완벽",K197))),"품(복습불필요)",IF(F197&lt;&gt;"","품","미완료"))))))))))</f>
        <v/>
      </c>
      <c r="K197" s="32" t="inlineStr">
        <is>
          <t>-</t>
        </is>
      </c>
      <c r="L197" s="32" t="n"/>
      <c r="M197" s="28">
        <f>IF(OR(LEFT(J197,2)="보류", LEFT(J197,4)="복습대기", LEFT(J197,3)="복습1", LEFT(J197,3)="복습2"), MAX($M$3:M196)+1, "")</f>
        <v/>
      </c>
      <c r="N197" s="28" t="inlineStr">
        <is>
          <t>W07</t>
        </is>
      </c>
      <c r="O197" s="36" t="n">
        <v>46306</v>
      </c>
      <c r="P197" s="30">
        <f>IF(F197&lt;&gt;"","✅ 완료",IF(O197="","-",IF(TODAY()&gt;O197,"🚨 지연","⏳ 예정")))</f>
        <v/>
      </c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21.75" customHeight="1" s="209">
      <c r="A198" s="28" t="n">
        <v>195</v>
      </c>
      <c r="B198" s="28" t="inlineStr">
        <is>
          <t>4371</t>
        </is>
      </c>
      <c r="C198" s="30" t="inlineStr">
        <is>
          <t>D3</t>
        </is>
      </c>
      <c r="D198" s="32" t="inlineStr">
        <is>
          <t>항구에 들어오는 배</t>
        </is>
      </c>
      <c r="E198" s="28" t="inlineStr">
        <is>
          <t>완전탐색 / 시뮬레이션</t>
        </is>
      </c>
      <c r="F198" s="28" t="n"/>
      <c r="G198" s="28" t="n"/>
      <c r="H198" s="28" t="n"/>
      <c r="I198" s="28" t="n"/>
      <c r="J198" s="54">
        <f>IF(OR(ISNUMBER(SEARCH("보류",K198)),ISNUMBER(SEARCH("미룸",K198)),ISNUMBER(SEARCH("나중에",K198)),ISNUMBER(SEARCH("보류",L198)),ISNUMBER(SEARCH("미룸",L198)),ISNUMBER(SEARCH("나중에",L198))),"보류(나중에 풀기)",IF(AND(F198="",G198="",H198="",I198=""),"미완료",IF(I198&lt;&gt;"","복습3(마스터)",IF(H198&lt;&gt;"","복습2",IF(G198&lt;&gt;"","복습1",IF(ISNUMBER(SEARCH("제미나이",K198)),"복습대기(AI도움)",IF(ISNUMBER(SEARCH("간당간당",K198)),"복습대기(간당간당)",IF(OR(ISNUMBER(SEARCH("아이디어",K198)),ISNUMBER(SEARCH("시간초과",K198)),ISNUMBER(SEARCH("자료구조",K198)),ISNUMBER(SEARCH("경계값",K198)),ISNUMBER(SEARCH("다른 풀이",K198)),ISNUMBER(SEARCH("또풀기",K198))),"복습대기",IF(OR(ISNUMBER(SEARCH("복습필요없음",K198)),ISNUMBER(SEARCH("자력완벽",K198))),"품(복습불필요)",IF(F198&lt;&gt;"","품","미완료"))))))))))</f>
        <v/>
      </c>
      <c r="K198" s="32" t="inlineStr">
        <is>
          <t>-</t>
        </is>
      </c>
      <c r="L198" s="32" t="n"/>
      <c r="M198" s="28">
        <f>IF(OR(LEFT(J198,2)="보류", LEFT(J198,4)="복습대기", LEFT(J198,3)="복습1", LEFT(J198,3)="복습2"), MAX($M$3:M197)+1, "")</f>
        <v/>
      </c>
      <c r="N198" s="28" t="inlineStr">
        <is>
          <t>W07</t>
        </is>
      </c>
      <c r="O198" s="36" t="n">
        <v>46306</v>
      </c>
      <c r="P198" s="30">
        <f>IF(F198&lt;&gt;"","✅ 완료",IF(O198="","-",IF(TODAY()&gt;O198,"🚨 지연","⏳ 예정")))</f>
        <v/>
      </c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21.75" customHeight="1" s="209">
      <c r="A199" s="28" t="n">
        <v>196</v>
      </c>
      <c r="B199" s="28" t="inlineStr">
        <is>
          <t>4406</t>
        </is>
      </c>
      <c r="C199" s="30" t="inlineStr">
        <is>
          <t>D3</t>
        </is>
      </c>
      <c r="D199" s="32" t="inlineStr">
        <is>
          <t>모음이 보이지 않는 사람</t>
        </is>
      </c>
      <c r="E199" s="28" t="inlineStr">
        <is>
          <t>완전탐색 / 시뮬레이션</t>
        </is>
      </c>
      <c r="F199" s="28" t="n"/>
      <c r="G199" s="28" t="n"/>
      <c r="H199" s="28" t="n"/>
      <c r="I199" s="28" t="n"/>
      <c r="J199" s="54">
        <f>IF(OR(ISNUMBER(SEARCH("보류",K199)),ISNUMBER(SEARCH("미룸",K199)),ISNUMBER(SEARCH("나중에",K199)),ISNUMBER(SEARCH("보류",L199)),ISNUMBER(SEARCH("미룸",L199)),ISNUMBER(SEARCH("나중에",L199))),"보류(나중에 풀기)",IF(AND(F199="",G199="",H199="",I199=""),"미완료",IF(I199&lt;&gt;"","복습3(마스터)",IF(H199&lt;&gt;"","복습2",IF(G199&lt;&gt;"","복습1",IF(ISNUMBER(SEARCH("제미나이",K199)),"복습대기(AI도움)",IF(ISNUMBER(SEARCH("간당간당",K199)),"복습대기(간당간당)",IF(OR(ISNUMBER(SEARCH("아이디어",K199)),ISNUMBER(SEARCH("시간초과",K199)),ISNUMBER(SEARCH("자료구조",K199)),ISNUMBER(SEARCH("경계값",K199)),ISNUMBER(SEARCH("다른 풀이",K199)),ISNUMBER(SEARCH("또풀기",K199))),"복습대기",IF(OR(ISNUMBER(SEARCH("복습필요없음",K199)),ISNUMBER(SEARCH("자력완벽",K199))),"품(복습불필요)",IF(F199&lt;&gt;"","품","미완료"))))))))))</f>
        <v/>
      </c>
      <c r="K199" s="32" t="inlineStr">
        <is>
          <t>-</t>
        </is>
      </c>
      <c r="L199" s="32" t="n"/>
      <c r="M199" s="28">
        <f>IF(OR(LEFT(J199,2)="보류", LEFT(J199,4)="복습대기", LEFT(J199,3)="복습1", LEFT(J199,3)="복습2"), MAX($M$3:M198)+1, "")</f>
        <v/>
      </c>
      <c r="N199" s="28" t="inlineStr">
        <is>
          <t>W07</t>
        </is>
      </c>
      <c r="O199" s="36" t="n">
        <v>46306</v>
      </c>
      <c r="P199" s="30">
        <f>IF(F199&lt;&gt;"","✅ 완료",IF(O199="","-",IF(TODAY()&gt;O199,"🚨 지연","⏳ 예정")))</f>
        <v/>
      </c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21.75" customHeight="1" s="209">
      <c r="A200" s="28" t="n">
        <v>197</v>
      </c>
      <c r="B200" s="28" t="inlineStr">
        <is>
          <t>4466</t>
        </is>
      </c>
      <c r="C200" s="30" t="inlineStr">
        <is>
          <t>D3</t>
        </is>
      </c>
      <c r="D200" s="32" t="inlineStr">
        <is>
          <t>최대 성적표 만들기</t>
        </is>
      </c>
      <c r="E200" s="28" t="inlineStr">
        <is>
          <t>완전탐색 / 시뮬레이션</t>
        </is>
      </c>
      <c r="F200" s="28" t="n"/>
      <c r="G200" s="28" t="n"/>
      <c r="H200" s="28" t="n"/>
      <c r="I200" s="28" t="n"/>
      <c r="J200" s="54">
        <f>IF(OR(ISNUMBER(SEARCH("보류",K200)),ISNUMBER(SEARCH("미룸",K200)),ISNUMBER(SEARCH("나중에",K200)),ISNUMBER(SEARCH("보류",L200)),ISNUMBER(SEARCH("미룸",L200)),ISNUMBER(SEARCH("나중에",L200))),"보류(나중에 풀기)",IF(AND(F200="",G200="",H200="",I200=""),"미완료",IF(I200&lt;&gt;"","복습3(마스터)",IF(H200&lt;&gt;"","복습2",IF(G200&lt;&gt;"","복습1",IF(ISNUMBER(SEARCH("제미나이",K200)),"복습대기(AI도움)",IF(ISNUMBER(SEARCH("간당간당",K200)),"복습대기(간당간당)",IF(OR(ISNUMBER(SEARCH("아이디어",K200)),ISNUMBER(SEARCH("시간초과",K200)),ISNUMBER(SEARCH("자료구조",K200)),ISNUMBER(SEARCH("경계값",K200)),ISNUMBER(SEARCH("다른 풀이",K200)),ISNUMBER(SEARCH("또풀기",K200))),"복습대기",IF(OR(ISNUMBER(SEARCH("복습필요없음",K200)),ISNUMBER(SEARCH("자력완벽",K200))),"품(복습불필요)",IF(F200&lt;&gt;"","품","미완료"))))))))))</f>
        <v/>
      </c>
      <c r="K200" s="32" t="inlineStr">
        <is>
          <t>-</t>
        </is>
      </c>
      <c r="L200" s="32" t="n"/>
      <c r="M200" s="28">
        <f>IF(OR(LEFT(J200,2)="보류", LEFT(J200,4)="복습대기", LEFT(J200,3)="복습1", LEFT(J200,3)="복습2"), MAX($M$3:M199)+1, "")</f>
        <v/>
      </c>
      <c r="N200" s="28" t="inlineStr">
        <is>
          <t>W07</t>
        </is>
      </c>
      <c r="O200" s="36" t="n">
        <v>46306</v>
      </c>
      <c r="P200" s="30">
        <f>IF(F200&lt;&gt;"","✅ 완료",IF(O200="","-",IF(TODAY()&gt;O200,"🚨 지연","⏳ 예정")))</f>
        <v/>
      </c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21.75" customHeight="1" s="209">
      <c r="A201" s="28" t="n">
        <v>198</v>
      </c>
      <c r="B201" s="28" t="inlineStr">
        <is>
          <t>4522</t>
        </is>
      </c>
      <c r="C201" s="30" t="inlineStr">
        <is>
          <t>D3</t>
        </is>
      </c>
      <c r="D201" s="32" t="inlineStr">
        <is>
          <t>세상의 모든 팰린드롬</t>
        </is>
      </c>
      <c r="E201" s="28" t="inlineStr">
        <is>
          <t>문자열 / 파싱</t>
        </is>
      </c>
      <c r="F201" s="28" t="n"/>
      <c r="G201" s="28" t="n"/>
      <c r="H201" s="28" t="n"/>
      <c r="I201" s="28" t="n"/>
      <c r="J201" s="54">
        <f>IF(OR(ISNUMBER(SEARCH("보류",K201)),ISNUMBER(SEARCH("미룸",K201)),ISNUMBER(SEARCH("나중에",K201)),ISNUMBER(SEARCH("보류",L201)),ISNUMBER(SEARCH("미룸",L201)),ISNUMBER(SEARCH("나중에",L201))),"보류(나중에 풀기)",IF(AND(F201="",G201="",H201="",I201=""),"미완료",IF(I201&lt;&gt;"","복습3(마스터)",IF(H201&lt;&gt;"","복습2",IF(G201&lt;&gt;"","복습1",IF(ISNUMBER(SEARCH("제미나이",K201)),"복습대기(AI도움)",IF(ISNUMBER(SEARCH("간당간당",K201)),"복습대기(간당간당)",IF(OR(ISNUMBER(SEARCH("아이디어",K201)),ISNUMBER(SEARCH("시간초과",K201)),ISNUMBER(SEARCH("자료구조",K201)),ISNUMBER(SEARCH("경계값",K201)),ISNUMBER(SEARCH("다른 풀이",K201)),ISNUMBER(SEARCH("또풀기",K201))),"복습대기",IF(OR(ISNUMBER(SEARCH("복습필요없음",K201)),ISNUMBER(SEARCH("자력완벽",K201))),"품(복습불필요)",IF(F201&lt;&gt;"","품","미완료"))))))))))</f>
        <v/>
      </c>
      <c r="K201" s="32" t="inlineStr">
        <is>
          <t>-</t>
        </is>
      </c>
      <c r="L201" s="32" t="n"/>
      <c r="M201" s="28">
        <f>IF(OR(LEFT(J201,2)="보류", LEFT(J201,4)="복습대기", LEFT(J201,3)="복습1", LEFT(J201,3)="복습2"), MAX($M$3:M200)+1, "")</f>
        <v/>
      </c>
      <c r="N201" s="28" t="inlineStr">
        <is>
          <t>W07</t>
        </is>
      </c>
      <c r="O201" s="36" t="n">
        <v>46306</v>
      </c>
      <c r="P201" s="30">
        <f>IF(F201&lt;&gt;"","✅ 완료",IF(O201="","-",IF(TODAY()&gt;O201,"🚨 지연","⏳ 예정")))</f>
        <v/>
      </c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21.75" customHeight="1" s="209">
      <c r="A202" s="28" t="n">
        <v>199</v>
      </c>
      <c r="B202" s="28" t="inlineStr">
        <is>
          <t>4579</t>
        </is>
      </c>
      <c r="C202" s="30" t="inlineStr">
        <is>
          <t>D3</t>
        </is>
      </c>
      <c r="D202" s="32" t="inlineStr">
        <is>
          <t>세상의 모든 팰린드롬 2</t>
        </is>
      </c>
      <c r="E202" s="28" t="inlineStr">
        <is>
          <t>문자열 / 파싱</t>
        </is>
      </c>
      <c r="F202" s="28" t="n"/>
      <c r="G202" s="28" t="n"/>
      <c r="H202" s="28" t="n"/>
      <c r="I202" s="28" t="n"/>
      <c r="J202" s="54">
        <f>IF(OR(ISNUMBER(SEARCH("보류",K202)),ISNUMBER(SEARCH("미룸",K202)),ISNUMBER(SEARCH("나중에",K202)),ISNUMBER(SEARCH("보류",L202)),ISNUMBER(SEARCH("미룸",L202)),ISNUMBER(SEARCH("나중에",L202))),"보류(나중에 풀기)",IF(AND(F202="",G202="",H202="",I202=""),"미완료",IF(I202&lt;&gt;"","복습3(마스터)",IF(H202&lt;&gt;"","복습2",IF(G202&lt;&gt;"","복습1",IF(ISNUMBER(SEARCH("제미나이",K202)),"복습대기(AI도움)",IF(ISNUMBER(SEARCH("간당간당",K202)),"복습대기(간당간당)",IF(OR(ISNUMBER(SEARCH("아이디어",K202)),ISNUMBER(SEARCH("시간초과",K202)),ISNUMBER(SEARCH("자료구조",K202)),ISNUMBER(SEARCH("경계값",K202)),ISNUMBER(SEARCH("다른 풀이",K202)),ISNUMBER(SEARCH("또풀기",K202))),"복습대기",IF(OR(ISNUMBER(SEARCH("복습필요없음",K202)),ISNUMBER(SEARCH("자력완벽",K202))),"품(복습불필요)",IF(F202&lt;&gt;"","품","미완료"))))))))))</f>
        <v/>
      </c>
      <c r="K202" s="32" t="inlineStr">
        <is>
          <t>-</t>
        </is>
      </c>
      <c r="L202" s="32" t="n"/>
      <c r="M202" s="28">
        <f>IF(OR(LEFT(J202,2)="보류", LEFT(J202,4)="복습대기", LEFT(J202,3)="복습1", LEFT(J202,3)="복습2"), MAX($M$3:M201)+1, "")</f>
        <v/>
      </c>
      <c r="N202" s="28" t="inlineStr">
        <is>
          <t>W07</t>
        </is>
      </c>
      <c r="O202" s="36" t="n">
        <v>46306</v>
      </c>
      <c r="P202" s="30">
        <f>IF(F202&lt;&gt;"","✅ 완료",IF(O202="","-",IF(TODAY()&gt;O202,"🚨 지연","⏳ 예정")))</f>
        <v/>
      </c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21.75" customHeight="1" s="209">
      <c r="A203" s="28" t="n">
        <v>200</v>
      </c>
      <c r="B203" s="28" t="inlineStr">
        <is>
          <t>4615</t>
        </is>
      </c>
      <c r="C203" s="30" t="inlineStr">
        <is>
          <t>D3</t>
        </is>
      </c>
      <c r="D203" s="32" t="inlineStr">
        <is>
          <t>재미있는 오셀로 게임</t>
        </is>
      </c>
      <c r="E203" s="28" t="inlineStr">
        <is>
          <t>시뮬레이션 / 구현</t>
        </is>
      </c>
      <c r="F203" s="28" t="n"/>
      <c r="G203" s="28" t="n"/>
      <c r="H203" s="28" t="n"/>
      <c r="I203" s="28" t="n"/>
      <c r="J203" s="54">
        <f>IF(OR(ISNUMBER(SEARCH("보류",K203)),ISNUMBER(SEARCH("미룸",K203)),ISNUMBER(SEARCH("나중에",K203)),ISNUMBER(SEARCH("보류",L203)),ISNUMBER(SEARCH("미룸",L203)),ISNUMBER(SEARCH("나중에",L203))),"보류(나중에 풀기)",IF(AND(F203="",G203="",H203="",I203=""),"미완료",IF(I203&lt;&gt;"","복습3(마스터)",IF(H203&lt;&gt;"","복습2",IF(G203&lt;&gt;"","복습1",IF(ISNUMBER(SEARCH("제미나이",K203)),"복습대기(AI도움)",IF(ISNUMBER(SEARCH("간당간당",K203)),"복습대기(간당간당)",IF(OR(ISNUMBER(SEARCH("아이디어",K203)),ISNUMBER(SEARCH("시간초과",K203)),ISNUMBER(SEARCH("자료구조",K203)),ISNUMBER(SEARCH("경계값",K203)),ISNUMBER(SEARCH("다른 풀이",K203)),ISNUMBER(SEARCH("또풀기",K203))),"복습대기",IF(OR(ISNUMBER(SEARCH("복습필요없음",K203)),ISNUMBER(SEARCH("자력완벽",K203))),"품(복습불필요)",IF(F203&lt;&gt;"","품","미완료"))))))))))</f>
        <v/>
      </c>
      <c r="K203" s="32" t="inlineStr">
        <is>
          <t>-</t>
        </is>
      </c>
      <c r="L203" s="32" t="n"/>
      <c r="M203" s="28">
        <f>IF(OR(LEFT(J203,2)="보류", LEFT(J203,4)="복습대기", LEFT(J203,3)="복습1", LEFT(J203,3)="복습2"), MAX($M$3:M202)+1, "")</f>
        <v/>
      </c>
      <c r="N203" s="28" t="inlineStr">
        <is>
          <t>W07</t>
        </is>
      </c>
      <c r="O203" s="36" t="n">
        <v>46306</v>
      </c>
      <c r="P203" s="30">
        <f>IF(F203&lt;&gt;"","✅ 완료",IF(O203="","-",IF(TODAY()&gt;O203,"🚨 지연","⏳ 예정")))</f>
        <v/>
      </c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21.75" customHeight="1" s="209">
      <c r="A204" s="28" t="n">
        <v>201</v>
      </c>
      <c r="B204" s="28" t="inlineStr">
        <is>
          <t>4676</t>
        </is>
      </c>
      <c r="C204" s="30" t="inlineStr">
        <is>
          <t>D3</t>
        </is>
      </c>
      <c r="D204" s="32" t="inlineStr">
        <is>
          <t>늘어지는 소리 만들기</t>
        </is>
      </c>
      <c r="E204" s="28" t="inlineStr">
        <is>
          <t>완전탐색 / 시뮬레이션</t>
        </is>
      </c>
      <c r="F204" s="28" t="n"/>
      <c r="G204" s="28" t="n"/>
      <c r="H204" s="28" t="n"/>
      <c r="I204" s="28" t="n"/>
      <c r="J204" s="54">
        <f>IF(OR(ISNUMBER(SEARCH("보류",K204)),ISNUMBER(SEARCH("미룸",K204)),ISNUMBER(SEARCH("나중에",K204)),ISNUMBER(SEARCH("보류",L204)),ISNUMBER(SEARCH("미룸",L204)),ISNUMBER(SEARCH("나중에",L204))),"보류(나중에 풀기)",IF(AND(F204="",G204="",H204="",I204=""),"미완료",IF(I204&lt;&gt;"","복습3(마스터)",IF(H204&lt;&gt;"","복습2",IF(G204&lt;&gt;"","복습1",IF(ISNUMBER(SEARCH("제미나이",K204)),"복습대기(AI도움)",IF(ISNUMBER(SEARCH("간당간당",K204)),"복습대기(간당간당)",IF(OR(ISNUMBER(SEARCH("아이디어",K204)),ISNUMBER(SEARCH("시간초과",K204)),ISNUMBER(SEARCH("자료구조",K204)),ISNUMBER(SEARCH("경계값",K204)),ISNUMBER(SEARCH("다른 풀이",K204)),ISNUMBER(SEARCH("또풀기",K204))),"복습대기",IF(OR(ISNUMBER(SEARCH("복습필요없음",K204)),ISNUMBER(SEARCH("자력완벽",K204))),"품(복습불필요)",IF(F204&lt;&gt;"","품","미완료"))))))))))</f>
        <v/>
      </c>
      <c r="K204" s="32" t="inlineStr">
        <is>
          <t>-</t>
        </is>
      </c>
      <c r="L204" s="32" t="n"/>
      <c r="M204" s="28">
        <f>IF(OR(LEFT(J204,2)="보류", LEFT(J204,4)="복습대기", LEFT(J204,3)="복습1", LEFT(J204,3)="복습2"), MAX($M$3:M203)+1, "")</f>
        <v/>
      </c>
      <c r="N204" s="28" t="inlineStr">
        <is>
          <t>W08</t>
        </is>
      </c>
      <c r="O204" s="36" t="n">
        <v>46307</v>
      </c>
      <c r="P204" s="30">
        <f>IF(F204&lt;&gt;"","✅ 완료",IF(O204="","-",IF(TODAY()&gt;O204,"🚨 지연","⏳ 예정")))</f>
        <v/>
      </c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21.75" customHeight="1" s="209">
      <c r="A205" s="28" t="n">
        <v>202</v>
      </c>
      <c r="B205" s="28" t="inlineStr">
        <is>
          <t>4698</t>
        </is>
      </c>
      <c r="C205" s="30" t="inlineStr">
        <is>
          <t>D3</t>
        </is>
      </c>
      <c r="D205" s="32" t="inlineStr">
        <is>
          <t>테네스의 특별한 소수</t>
        </is>
      </c>
      <c r="E205" s="28" t="inlineStr">
        <is>
          <t>수학 / 정수론</t>
        </is>
      </c>
      <c r="F205" s="28" t="n"/>
      <c r="G205" s="28" t="n"/>
      <c r="H205" s="28" t="n"/>
      <c r="I205" s="28" t="n"/>
      <c r="J205" s="54">
        <f>IF(OR(ISNUMBER(SEARCH("보류",K205)),ISNUMBER(SEARCH("미룸",K205)),ISNUMBER(SEARCH("나중에",K205)),ISNUMBER(SEARCH("보류",L205)),ISNUMBER(SEARCH("미룸",L205)),ISNUMBER(SEARCH("나중에",L205))),"보류(나중에 풀기)",IF(AND(F205="",G205="",H205="",I205=""),"미완료",IF(I205&lt;&gt;"","복습3(마스터)",IF(H205&lt;&gt;"","복습2",IF(G205&lt;&gt;"","복습1",IF(ISNUMBER(SEARCH("제미나이",K205)),"복습대기(AI도움)",IF(ISNUMBER(SEARCH("간당간당",K205)),"복습대기(간당간당)",IF(OR(ISNUMBER(SEARCH("아이디어",K205)),ISNUMBER(SEARCH("시간초과",K205)),ISNUMBER(SEARCH("자료구조",K205)),ISNUMBER(SEARCH("경계값",K205)),ISNUMBER(SEARCH("다른 풀이",K205)),ISNUMBER(SEARCH("또풀기",K205))),"복습대기",IF(OR(ISNUMBER(SEARCH("복습필요없음",K205)),ISNUMBER(SEARCH("자력완벽",K205))),"품(복습불필요)",IF(F205&lt;&gt;"","품","미완료"))))))))))</f>
        <v/>
      </c>
      <c r="K205" s="32" t="inlineStr">
        <is>
          <t>-</t>
        </is>
      </c>
      <c r="L205" s="32" t="n"/>
      <c r="M205" s="28">
        <f>IF(OR(LEFT(J205,2)="보류", LEFT(J205,4)="복습대기", LEFT(J205,3)="복습1", LEFT(J205,3)="복습2"), MAX($M$3:M204)+1, "")</f>
        <v/>
      </c>
      <c r="N205" s="28" t="inlineStr">
        <is>
          <t>W08</t>
        </is>
      </c>
      <c r="O205" s="36" t="n">
        <v>46307</v>
      </c>
      <c r="P205" s="30">
        <f>IF(F205&lt;&gt;"","✅ 완료",IF(O205="","-",IF(TODAY()&gt;O205,"🚨 지연","⏳ 예정")))</f>
        <v/>
      </c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21.75" customHeight="1" s="209">
      <c r="A206" s="28" t="n">
        <v>203</v>
      </c>
      <c r="B206" s="28" t="inlineStr">
        <is>
          <t>4751</t>
        </is>
      </c>
      <c r="C206" s="30" t="inlineStr">
        <is>
          <t>D3</t>
        </is>
      </c>
      <c r="D206" s="32" t="inlineStr">
        <is>
          <t>다솔이의 다이아몬드 장식</t>
        </is>
      </c>
      <c r="E206" s="28" t="inlineStr">
        <is>
          <t>완전탐색 / 시뮬레이션</t>
        </is>
      </c>
      <c r="F206" s="28" t="n"/>
      <c r="G206" s="28" t="n"/>
      <c r="H206" s="28" t="n"/>
      <c r="I206" s="28" t="n"/>
      <c r="J206" s="54">
        <f>IF(OR(ISNUMBER(SEARCH("보류",K206)),ISNUMBER(SEARCH("미룸",K206)),ISNUMBER(SEARCH("나중에",K206)),ISNUMBER(SEARCH("보류",L206)),ISNUMBER(SEARCH("미룸",L206)),ISNUMBER(SEARCH("나중에",L206))),"보류(나중에 풀기)",IF(AND(F206="",G206="",H206="",I206=""),"미완료",IF(I206&lt;&gt;"","복습3(마스터)",IF(H206&lt;&gt;"","복습2",IF(G206&lt;&gt;"","복습1",IF(ISNUMBER(SEARCH("제미나이",K206)),"복습대기(AI도움)",IF(ISNUMBER(SEARCH("간당간당",K206)),"복습대기(간당간당)",IF(OR(ISNUMBER(SEARCH("아이디어",K206)),ISNUMBER(SEARCH("시간초과",K206)),ISNUMBER(SEARCH("자료구조",K206)),ISNUMBER(SEARCH("경계값",K206)),ISNUMBER(SEARCH("다른 풀이",K206)),ISNUMBER(SEARCH("또풀기",K206))),"복습대기",IF(OR(ISNUMBER(SEARCH("복습필요없음",K206)),ISNUMBER(SEARCH("자력완벽",K206))),"품(복습불필요)",IF(F206&lt;&gt;"","품","미완료"))))))))))</f>
        <v/>
      </c>
      <c r="K206" s="32" t="inlineStr">
        <is>
          <t>-</t>
        </is>
      </c>
      <c r="L206" s="32" t="n"/>
      <c r="M206" s="28">
        <f>IF(OR(LEFT(J206,2)="보류", LEFT(J206,4)="복습대기", LEFT(J206,3)="복습1", LEFT(J206,3)="복습2"), MAX($M$3:M205)+1, "")</f>
        <v/>
      </c>
      <c r="N206" s="28" t="inlineStr">
        <is>
          <t>W08</t>
        </is>
      </c>
      <c r="O206" s="36" t="n">
        <v>46307</v>
      </c>
      <c r="P206" s="30">
        <f>IF(F206&lt;&gt;"","✅ 완료",IF(O206="","-",IF(TODAY()&gt;O206,"🚨 지연","⏳ 예정")))</f>
        <v/>
      </c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21.75" customHeight="1" s="209">
      <c r="A207" s="28" t="n">
        <v>204</v>
      </c>
      <c r="B207" s="28" t="inlineStr">
        <is>
          <t>4789</t>
        </is>
      </c>
      <c r="C207" s="30" t="inlineStr">
        <is>
          <t>D3</t>
        </is>
      </c>
      <c r="D207" s="32" t="inlineStr">
        <is>
          <t>성공적인 공연 기획</t>
        </is>
      </c>
      <c r="E207" s="28" t="inlineStr">
        <is>
          <t>완전탐색 / 시뮬레이션</t>
        </is>
      </c>
      <c r="F207" s="28" t="n"/>
      <c r="G207" s="28" t="n"/>
      <c r="H207" s="28" t="n"/>
      <c r="I207" s="28" t="n"/>
      <c r="J207" s="54">
        <f>IF(OR(ISNUMBER(SEARCH("보류",K207)),ISNUMBER(SEARCH("미룸",K207)),ISNUMBER(SEARCH("나중에",K207)),ISNUMBER(SEARCH("보류",L207)),ISNUMBER(SEARCH("미룸",L207)),ISNUMBER(SEARCH("나중에",L207))),"보류(나중에 풀기)",IF(AND(F207="",G207="",H207="",I207=""),"미완료",IF(I207&lt;&gt;"","복습3(마스터)",IF(H207&lt;&gt;"","복습2",IF(G207&lt;&gt;"","복습1",IF(ISNUMBER(SEARCH("제미나이",K207)),"복습대기(AI도움)",IF(ISNUMBER(SEARCH("간당간당",K207)),"복습대기(간당간당)",IF(OR(ISNUMBER(SEARCH("아이디어",K207)),ISNUMBER(SEARCH("시간초과",K207)),ISNUMBER(SEARCH("자료구조",K207)),ISNUMBER(SEARCH("경계값",K207)),ISNUMBER(SEARCH("다른 풀이",K207)),ISNUMBER(SEARCH("또풀기",K207))),"복습대기",IF(OR(ISNUMBER(SEARCH("복습필요없음",K207)),ISNUMBER(SEARCH("자력완벽",K207))),"품(복습불필요)",IF(F207&lt;&gt;"","품","미완료"))))))))))</f>
        <v/>
      </c>
      <c r="K207" s="32" t="inlineStr">
        <is>
          <t>-</t>
        </is>
      </c>
      <c r="L207" s="32" t="n"/>
      <c r="M207" s="28">
        <f>IF(OR(LEFT(J207,2)="보류", LEFT(J207,4)="복습대기", LEFT(J207,3)="복습1", LEFT(J207,3)="복습2"), MAX($M$3:M206)+1, "")</f>
        <v/>
      </c>
      <c r="N207" s="28" t="inlineStr">
        <is>
          <t>W08</t>
        </is>
      </c>
      <c r="O207" s="36" t="n">
        <v>46307</v>
      </c>
      <c r="P207" s="30">
        <f>IF(F207&lt;&gt;"","✅ 완료",IF(O207="","-",IF(TODAY()&gt;O207,"🚨 지연","⏳ 예정")))</f>
        <v/>
      </c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21.75" customHeight="1" s="209">
      <c r="A208" s="28" t="n">
        <v>205</v>
      </c>
      <c r="B208" s="28" t="inlineStr">
        <is>
          <t>5162</t>
        </is>
      </c>
      <c r="C208" s="30" t="inlineStr">
        <is>
          <t>D3</t>
        </is>
      </c>
      <c r="D208" s="32" t="inlineStr">
        <is>
          <t>두가지 빵의 딜레마</t>
        </is>
      </c>
      <c r="E208" s="28" t="inlineStr">
        <is>
          <t>완전탐색 / 시뮬레이션</t>
        </is>
      </c>
      <c r="F208" s="28" t="n"/>
      <c r="G208" s="28" t="n"/>
      <c r="H208" s="28" t="n"/>
      <c r="I208" s="28" t="n"/>
      <c r="J208" s="54">
        <f>IF(OR(ISNUMBER(SEARCH("보류",K208)),ISNUMBER(SEARCH("미룸",K208)),ISNUMBER(SEARCH("나중에",K208)),ISNUMBER(SEARCH("보류",L208)),ISNUMBER(SEARCH("미룸",L208)),ISNUMBER(SEARCH("나중에",L208))),"보류(나중에 풀기)",IF(AND(F208="",G208="",H208="",I208=""),"미완료",IF(I208&lt;&gt;"","복습3(마스터)",IF(H208&lt;&gt;"","복습2",IF(G208&lt;&gt;"","복습1",IF(ISNUMBER(SEARCH("제미나이",K208)),"복습대기(AI도움)",IF(ISNUMBER(SEARCH("간당간당",K208)),"복습대기(간당간당)",IF(OR(ISNUMBER(SEARCH("아이디어",K208)),ISNUMBER(SEARCH("시간초과",K208)),ISNUMBER(SEARCH("자료구조",K208)),ISNUMBER(SEARCH("경계값",K208)),ISNUMBER(SEARCH("다른 풀이",K208)),ISNUMBER(SEARCH("또풀기",K208))),"복습대기",IF(OR(ISNUMBER(SEARCH("복습필요없음",K208)),ISNUMBER(SEARCH("자력완벽",K208))),"품(복습불필요)",IF(F208&lt;&gt;"","품","미완료"))))))))))</f>
        <v/>
      </c>
      <c r="K208" s="32" t="inlineStr">
        <is>
          <t>-</t>
        </is>
      </c>
      <c r="L208" s="32" t="n"/>
      <c r="M208" s="28">
        <f>IF(OR(LEFT(J208,2)="보류", LEFT(J208,4)="복습대기", LEFT(J208,3)="복습1", LEFT(J208,3)="복습2"), MAX($M$3:M207)+1, "")</f>
        <v/>
      </c>
      <c r="N208" s="28" t="inlineStr">
        <is>
          <t>W08</t>
        </is>
      </c>
      <c r="O208" s="36" t="n">
        <v>46307</v>
      </c>
      <c r="P208" s="30">
        <f>IF(F208&lt;&gt;"","✅ 완료",IF(O208="","-",IF(TODAY()&gt;O208,"🚨 지연","⏳ 예정")))</f>
        <v/>
      </c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21.75" customHeight="1" s="209">
      <c r="A209" s="28" t="n">
        <v>206</v>
      </c>
      <c r="B209" s="28" t="inlineStr">
        <is>
          <t>5293</t>
        </is>
      </c>
      <c r="C209" s="30" t="inlineStr">
        <is>
          <t>D3</t>
        </is>
      </c>
      <c r="D209" s="32" t="inlineStr">
        <is>
          <t>이진 문자열 복원</t>
        </is>
      </c>
      <c r="E209" s="28" t="inlineStr">
        <is>
          <t>문자열 / 파싱</t>
        </is>
      </c>
      <c r="F209" s="28" t="n"/>
      <c r="G209" s="28" t="n"/>
      <c r="H209" s="28" t="n"/>
      <c r="I209" s="28" t="n"/>
      <c r="J209" s="54">
        <f>IF(OR(ISNUMBER(SEARCH("보류",K209)),ISNUMBER(SEARCH("미룸",K209)),ISNUMBER(SEARCH("나중에",K209)),ISNUMBER(SEARCH("보류",L209)),ISNUMBER(SEARCH("미룸",L209)),ISNUMBER(SEARCH("나중에",L209))),"보류(나중에 풀기)",IF(AND(F209="",G209="",H209="",I209=""),"미완료",IF(I209&lt;&gt;"","복습3(마스터)",IF(H209&lt;&gt;"","복습2",IF(G209&lt;&gt;"","복습1",IF(ISNUMBER(SEARCH("제미나이",K209)),"복습대기(AI도움)",IF(ISNUMBER(SEARCH("간당간당",K209)),"복습대기(간당간당)",IF(OR(ISNUMBER(SEARCH("아이디어",K209)),ISNUMBER(SEARCH("시간초과",K209)),ISNUMBER(SEARCH("자료구조",K209)),ISNUMBER(SEARCH("경계값",K209)),ISNUMBER(SEARCH("다른 풀이",K209)),ISNUMBER(SEARCH("또풀기",K209))),"복습대기",IF(OR(ISNUMBER(SEARCH("복습필요없음",K209)),ISNUMBER(SEARCH("자력완벽",K209))),"품(복습불필요)",IF(F209&lt;&gt;"","품","미완료"))))))))))</f>
        <v/>
      </c>
      <c r="K209" s="32" t="inlineStr">
        <is>
          <t>-</t>
        </is>
      </c>
      <c r="L209" s="32" t="n"/>
      <c r="M209" s="28">
        <f>IF(OR(LEFT(J209,2)="보류", LEFT(J209,4)="복습대기", LEFT(J209,3)="복습1", LEFT(J209,3)="복습2"), MAX($M$3:M208)+1, "")</f>
        <v/>
      </c>
      <c r="N209" s="28" t="inlineStr">
        <is>
          <t>W08</t>
        </is>
      </c>
      <c r="O209" s="36" t="n">
        <v>46307</v>
      </c>
      <c r="P209" s="30">
        <f>IF(F209&lt;&gt;"","✅ 완료",IF(O209="","-",IF(TODAY()&gt;O209,"🚨 지연","⏳ 예정")))</f>
        <v/>
      </c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21.75" customHeight="1" s="209">
      <c r="A210" s="28" t="n">
        <v>207</v>
      </c>
      <c r="B210" s="28" t="inlineStr">
        <is>
          <t>5356</t>
        </is>
      </c>
      <c r="C210" s="30" t="inlineStr">
        <is>
          <t>D3</t>
        </is>
      </c>
      <c r="D210" s="32" t="inlineStr">
        <is>
          <t>의석이의 세로로 말해요</t>
        </is>
      </c>
      <c r="E210" s="28" t="inlineStr">
        <is>
          <t>완전탐색 / 시뮬레이션</t>
        </is>
      </c>
      <c r="F210" s="28" t="n"/>
      <c r="G210" s="28" t="n"/>
      <c r="H210" s="28" t="n"/>
      <c r="I210" s="28" t="n"/>
      <c r="J210" s="54">
        <f>IF(OR(ISNUMBER(SEARCH("보류",K210)),ISNUMBER(SEARCH("미룸",K210)),ISNUMBER(SEARCH("나중에",K210)),ISNUMBER(SEARCH("보류",L210)),ISNUMBER(SEARCH("미룸",L210)),ISNUMBER(SEARCH("나중에",L210))),"보류(나중에 풀기)",IF(AND(F210="",G210="",H210="",I210=""),"미완료",IF(I210&lt;&gt;"","복습3(마스터)",IF(H210&lt;&gt;"","복습2",IF(G210&lt;&gt;"","복습1",IF(ISNUMBER(SEARCH("제미나이",K210)),"복습대기(AI도움)",IF(ISNUMBER(SEARCH("간당간당",K210)),"복습대기(간당간당)",IF(OR(ISNUMBER(SEARCH("아이디어",K210)),ISNUMBER(SEARCH("시간초과",K210)),ISNUMBER(SEARCH("자료구조",K210)),ISNUMBER(SEARCH("경계값",K210)),ISNUMBER(SEARCH("다른 풀이",K210)),ISNUMBER(SEARCH("또풀기",K210))),"복습대기",IF(OR(ISNUMBER(SEARCH("복습필요없음",K210)),ISNUMBER(SEARCH("자력완벽",K210))),"품(복습불필요)",IF(F210&lt;&gt;"","품","미완료"))))))))))</f>
        <v/>
      </c>
      <c r="K210" s="32" t="inlineStr">
        <is>
          <t>-</t>
        </is>
      </c>
      <c r="L210" s="32" t="n"/>
      <c r="M210" s="28">
        <f>IF(OR(LEFT(J210,2)="보류", LEFT(J210,4)="복습대기", LEFT(J210,3)="복습1", LEFT(J210,3)="복습2"), MAX($M$3:M209)+1, "")</f>
        <v/>
      </c>
      <c r="N210" s="28" t="inlineStr">
        <is>
          <t>W08</t>
        </is>
      </c>
      <c r="O210" s="36" t="n">
        <v>46307</v>
      </c>
      <c r="P210" s="30">
        <f>IF(F210&lt;&gt;"","✅ 완료",IF(O210="","-",IF(TODAY()&gt;O210,"🚨 지연","⏳ 예정")))</f>
        <v/>
      </c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21.75" customHeight="1" s="209">
      <c r="A211" s="28" t="n">
        <v>208</v>
      </c>
      <c r="B211" s="28" t="inlineStr">
        <is>
          <t>5431</t>
        </is>
      </c>
      <c r="C211" s="30" t="inlineStr">
        <is>
          <t>D3</t>
        </is>
      </c>
      <c r="D211" s="32" t="inlineStr">
        <is>
          <t>민석이의 과제 체크하기</t>
        </is>
      </c>
      <c r="E211" s="28" t="inlineStr">
        <is>
          <t>완전탐색 / 시뮬레이션</t>
        </is>
      </c>
      <c r="F211" s="28" t="n"/>
      <c r="G211" s="28" t="n"/>
      <c r="H211" s="28" t="n"/>
      <c r="I211" s="28" t="n"/>
      <c r="J211" s="54">
        <f>IF(OR(ISNUMBER(SEARCH("보류",K211)),ISNUMBER(SEARCH("미룸",K211)),ISNUMBER(SEARCH("나중에",K211)),ISNUMBER(SEARCH("보류",L211)),ISNUMBER(SEARCH("미룸",L211)),ISNUMBER(SEARCH("나중에",L211))),"보류(나중에 풀기)",IF(AND(F211="",G211="",H211="",I211=""),"미완료",IF(I211&lt;&gt;"","복습3(마스터)",IF(H211&lt;&gt;"","복습2",IF(G211&lt;&gt;"","복습1",IF(ISNUMBER(SEARCH("제미나이",K211)),"복습대기(AI도움)",IF(ISNUMBER(SEARCH("간당간당",K211)),"복습대기(간당간당)",IF(OR(ISNUMBER(SEARCH("아이디어",K211)),ISNUMBER(SEARCH("시간초과",K211)),ISNUMBER(SEARCH("자료구조",K211)),ISNUMBER(SEARCH("경계값",K211)),ISNUMBER(SEARCH("다른 풀이",K211)),ISNUMBER(SEARCH("또풀기",K211))),"복습대기",IF(OR(ISNUMBER(SEARCH("복습필요없음",K211)),ISNUMBER(SEARCH("자력완벽",K211))),"품(복습불필요)",IF(F211&lt;&gt;"","품","미완료"))))))))))</f>
        <v/>
      </c>
      <c r="K211" s="32" t="inlineStr">
        <is>
          <t>-</t>
        </is>
      </c>
      <c r="L211" s="32" t="n"/>
      <c r="M211" s="28">
        <f>IF(OR(LEFT(J211,2)="보류", LEFT(J211,4)="복습대기", LEFT(J211,3)="복습1", LEFT(J211,3)="복습2"), MAX($M$3:M210)+1, "")</f>
        <v/>
      </c>
      <c r="N211" s="28" t="inlineStr">
        <is>
          <t>W08</t>
        </is>
      </c>
      <c r="O211" s="36" t="n">
        <v>46308</v>
      </c>
      <c r="P211" s="30">
        <f>IF(F211&lt;&gt;"","✅ 완료",IF(O211="","-",IF(TODAY()&gt;O211,"🚨 지연","⏳ 예정")))</f>
        <v/>
      </c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21.75" customHeight="1" s="209">
      <c r="A212" s="28" t="n">
        <v>209</v>
      </c>
      <c r="B212" s="28" t="inlineStr">
        <is>
          <t>5515</t>
        </is>
      </c>
      <c r="C212" s="30" t="inlineStr">
        <is>
          <t>D3</t>
        </is>
      </c>
      <c r="D212" s="32" t="inlineStr">
        <is>
          <t>2016년 요일 맞추기</t>
        </is>
      </c>
      <c r="E212" s="28" t="inlineStr">
        <is>
          <t>완전탐색 / 시뮬레이션</t>
        </is>
      </c>
      <c r="F212" s="28" t="n"/>
      <c r="G212" s="28" t="n"/>
      <c r="H212" s="28" t="n"/>
      <c r="I212" s="28" t="n"/>
      <c r="J212" s="54">
        <f>IF(OR(ISNUMBER(SEARCH("보류",K212)),ISNUMBER(SEARCH("미룸",K212)),ISNUMBER(SEARCH("나중에",K212)),ISNUMBER(SEARCH("보류",L212)),ISNUMBER(SEARCH("미룸",L212)),ISNUMBER(SEARCH("나중에",L212))),"보류(나중에 풀기)",IF(AND(F212="",G212="",H212="",I212=""),"미완료",IF(I212&lt;&gt;"","복습3(마스터)",IF(H212&lt;&gt;"","복습2",IF(G212&lt;&gt;"","복습1",IF(ISNUMBER(SEARCH("제미나이",K212)),"복습대기(AI도움)",IF(ISNUMBER(SEARCH("간당간당",K212)),"복습대기(간당간당)",IF(OR(ISNUMBER(SEARCH("아이디어",K212)),ISNUMBER(SEARCH("시간초과",K212)),ISNUMBER(SEARCH("자료구조",K212)),ISNUMBER(SEARCH("경계값",K212)),ISNUMBER(SEARCH("다른 풀이",K212)),ISNUMBER(SEARCH("또풀기",K212))),"복습대기",IF(OR(ISNUMBER(SEARCH("복습필요없음",K212)),ISNUMBER(SEARCH("자력완벽",K212))),"품(복습불필요)",IF(F212&lt;&gt;"","품","미완료"))))))))))</f>
        <v/>
      </c>
      <c r="K212" s="32" t="inlineStr">
        <is>
          <t>-</t>
        </is>
      </c>
      <c r="L212" s="32" t="n"/>
      <c r="M212" s="28">
        <f>IF(OR(LEFT(J212,2)="보류", LEFT(J212,4)="복습대기", LEFT(J212,3)="복습1", LEFT(J212,3)="복습2"), MAX($M$3:M211)+1, "")</f>
        <v/>
      </c>
      <c r="N212" s="28" t="inlineStr">
        <is>
          <t>W08</t>
        </is>
      </c>
      <c r="O212" s="36" t="n">
        <v>46308</v>
      </c>
      <c r="P212" s="30">
        <f>IF(F212&lt;&gt;"","✅ 완료",IF(O212="","-",IF(TODAY()&gt;O212,"🚨 지연","⏳ 예정")))</f>
        <v/>
      </c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21.75" customHeight="1" s="209">
      <c r="A213" s="28" t="n">
        <v>210</v>
      </c>
      <c r="B213" s="28" t="inlineStr">
        <is>
          <t>5549</t>
        </is>
      </c>
      <c r="C213" s="30" t="inlineStr">
        <is>
          <t>D3</t>
        </is>
      </c>
      <c r="D213" s="32" t="inlineStr">
        <is>
          <t>홀수일까 짝수일까</t>
        </is>
      </c>
      <c r="E213" s="28" t="inlineStr">
        <is>
          <t>완전탐색 / 시뮬레이션</t>
        </is>
      </c>
      <c r="F213" s="28" t="n"/>
      <c r="G213" s="28" t="n"/>
      <c r="H213" s="28" t="n"/>
      <c r="I213" s="28" t="n"/>
      <c r="J213" s="54">
        <f>IF(OR(ISNUMBER(SEARCH("보류",K213)),ISNUMBER(SEARCH("미룸",K213)),ISNUMBER(SEARCH("나중에",K213)),ISNUMBER(SEARCH("보류",L213)),ISNUMBER(SEARCH("미룸",L213)),ISNUMBER(SEARCH("나중에",L213))),"보류(나중에 풀기)",IF(AND(F213="",G213="",H213="",I213=""),"미완료",IF(I213&lt;&gt;"","복습3(마스터)",IF(H213&lt;&gt;"","복습2",IF(G213&lt;&gt;"","복습1",IF(ISNUMBER(SEARCH("제미나이",K213)),"복습대기(AI도움)",IF(ISNUMBER(SEARCH("간당간당",K213)),"복습대기(간당간당)",IF(OR(ISNUMBER(SEARCH("아이디어",K213)),ISNUMBER(SEARCH("시간초과",K213)),ISNUMBER(SEARCH("자료구조",K213)),ISNUMBER(SEARCH("경계값",K213)),ISNUMBER(SEARCH("다른 풀이",K213)),ISNUMBER(SEARCH("또풀기",K213))),"복습대기",IF(OR(ISNUMBER(SEARCH("복습필요없음",K213)),ISNUMBER(SEARCH("자력완벽",K213))),"품(복습불필요)",IF(F213&lt;&gt;"","품","미완료"))))))))))</f>
        <v/>
      </c>
      <c r="K213" s="32" t="inlineStr">
        <is>
          <t>-</t>
        </is>
      </c>
      <c r="L213" s="32" t="n"/>
      <c r="M213" s="28">
        <f>IF(OR(LEFT(J213,2)="보류", LEFT(J213,4)="복습대기", LEFT(J213,3)="복습1", LEFT(J213,3)="복습2"), MAX($M$3:M212)+1, "")</f>
        <v/>
      </c>
      <c r="N213" s="28" t="inlineStr">
        <is>
          <t>W08</t>
        </is>
      </c>
      <c r="O213" s="36" t="n">
        <v>46308</v>
      </c>
      <c r="P213" s="30">
        <f>IF(F213&lt;&gt;"","✅ 완료",IF(O213="","-",IF(TODAY()&gt;O213,"🚨 지연","⏳ 예정")))</f>
        <v/>
      </c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21.75" customHeight="1" s="209">
      <c r="A214" s="28" t="n">
        <v>211</v>
      </c>
      <c r="B214" s="28" t="inlineStr">
        <is>
          <t>5601</t>
        </is>
      </c>
      <c r="C214" s="30" t="inlineStr">
        <is>
          <t>D3</t>
        </is>
      </c>
      <c r="D214" s="32" t="inlineStr">
        <is>
          <t>[Professional] 쥬스 나누기</t>
        </is>
      </c>
      <c r="E214" s="28" t="inlineStr">
        <is>
          <t>완전탐색 / 시뮬레이션</t>
        </is>
      </c>
      <c r="F214" s="28" t="n"/>
      <c r="G214" s="28" t="n"/>
      <c r="H214" s="28" t="n"/>
      <c r="I214" s="28" t="n"/>
      <c r="J214" s="54">
        <f>IF(OR(ISNUMBER(SEARCH("보류",K214)),ISNUMBER(SEARCH("미룸",K214)),ISNUMBER(SEARCH("나중에",K214)),ISNUMBER(SEARCH("보류",L214)),ISNUMBER(SEARCH("미룸",L214)),ISNUMBER(SEARCH("나중에",L214))),"보류(나중에 풀기)",IF(AND(F214="",G214="",H214="",I214=""),"미완료",IF(I214&lt;&gt;"","복습3(마스터)",IF(H214&lt;&gt;"","복습2",IF(G214&lt;&gt;"","복습1",IF(ISNUMBER(SEARCH("제미나이",K214)),"복습대기(AI도움)",IF(ISNUMBER(SEARCH("간당간당",K214)),"복습대기(간당간당)",IF(OR(ISNUMBER(SEARCH("아이디어",K214)),ISNUMBER(SEARCH("시간초과",K214)),ISNUMBER(SEARCH("자료구조",K214)),ISNUMBER(SEARCH("경계값",K214)),ISNUMBER(SEARCH("다른 풀이",K214)),ISNUMBER(SEARCH("또풀기",K214))),"복습대기",IF(OR(ISNUMBER(SEARCH("복습필요없음",K214)),ISNUMBER(SEARCH("자력완벽",K214))),"품(복습불필요)",IF(F214&lt;&gt;"","품","미완료"))))))))))</f>
        <v/>
      </c>
      <c r="K214" s="32" t="inlineStr">
        <is>
          <t>-</t>
        </is>
      </c>
      <c r="L214" s="32" t="n"/>
      <c r="M214" s="28">
        <f>IF(OR(LEFT(J214,2)="보류", LEFT(J214,4)="복습대기", LEFT(J214,3)="복습1", LEFT(J214,3)="복습2"), MAX($M$3:M213)+1, "")</f>
        <v/>
      </c>
      <c r="N214" s="28" t="inlineStr">
        <is>
          <t>W08</t>
        </is>
      </c>
      <c r="O214" s="36" t="n">
        <v>46308</v>
      </c>
      <c r="P214" s="30">
        <f>IF(F214&lt;&gt;"","✅ 완료",IF(O214="","-",IF(TODAY()&gt;O214,"🚨 지연","⏳ 예정")))</f>
        <v/>
      </c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21.75" customHeight="1" s="209">
      <c r="A215" s="28" t="n">
        <v>212</v>
      </c>
      <c r="B215" s="28" t="inlineStr">
        <is>
          <t>5603</t>
        </is>
      </c>
      <c r="C215" s="30" t="inlineStr">
        <is>
          <t>D3</t>
        </is>
      </c>
      <c r="D215" s="32" t="inlineStr">
        <is>
          <t>[Professional] 건초더미</t>
        </is>
      </c>
      <c r="E215" s="28" t="inlineStr">
        <is>
          <t>완전탐색 / 시뮬레이션</t>
        </is>
      </c>
      <c r="F215" s="28" t="n"/>
      <c r="G215" s="28" t="n"/>
      <c r="H215" s="28" t="n"/>
      <c r="I215" s="28" t="n"/>
      <c r="J215" s="54">
        <f>IF(OR(ISNUMBER(SEARCH("보류",K215)),ISNUMBER(SEARCH("미룸",K215)),ISNUMBER(SEARCH("나중에",K215)),ISNUMBER(SEARCH("보류",L215)),ISNUMBER(SEARCH("미룸",L215)),ISNUMBER(SEARCH("나중에",L215))),"보류(나중에 풀기)",IF(AND(F215="",G215="",H215="",I215=""),"미완료",IF(I215&lt;&gt;"","복습3(마스터)",IF(H215&lt;&gt;"","복습2",IF(G215&lt;&gt;"","복습1",IF(ISNUMBER(SEARCH("제미나이",K215)),"복습대기(AI도움)",IF(ISNUMBER(SEARCH("간당간당",K215)),"복습대기(간당간당)",IF(OR(ISNUMBER(SEARCH("아이디어",K215)),ISNUMBER(SEARCH("시간초과",K215)),ISNUMBER(SEARCH("자료구조",K215)),ISNUMBER(SEARCH("경계값",K215)),ISNUMBER(SEARCH("다른 풀이",K215)),ISNUMBER(SEARCH("또풀기",K215))),"복습대기",IF(OR(ISNUMBER(SEARCH("복습필요없음",K215)),ISNUMBER(SEARCH("자력완벽",K215))),"품(복습불필요)",IF(F215&lt;&gt;"","품","미완료"))))))))))</f>
        <v/>
      </c>
      <c r="K215" s="32" t="inlineStr">
        <is>
          <t>-</t>
        </is>
      </c>
      <c r="L215" s="32" t="n"/>
      <c r="M215" s="28">
        <f>IF(OR(LEFT(J215,2)="보류", LEFT(J215,4)="복습대기", LEFT(J215,3)="복습1", LEFT(J215,3)="복습2"), MAX($M$3:M214)+1, "")</f>
        <v/>
      </c>
      <c r="N215" s="28" t="inlineStr">
        <is>
          <t>W08</t>
        </is>
      </c>
      <c r="O215" s="36" t="n">
        <v>46308</v>
      </c>
      <c r="P215" s="30">
        <f>IF(F215&lt;&gt;"","✅ 완료",IF(O215="","-",IF(TODAY()&gt;O215,"🚨 지연","⏳ 예정")))</f>
        <v/>
      </c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21.75" customHeight="1" s="209">
      <c r="A216" s="28" t="n">
        <v>213</v>
      </c>
      <c r="B216" s="28" t="inlineStr">
        <is>
          <t>5607</t>
        </is>
      </c>
      <c r="C216" s="30" t="inlineStr">
        <is>
          <t>D3</t>
        </is>
      </c>
      <c r="D216" s="32" t="inlineStr">
        <is>
          <t>[Professional] 조합</t>
        </is>
      </c>
      <c r="E216" s="28" t="inlineStr">
        <is>
          <t>DFS / 백트래킹</t>
        </is>
      </c>
      <c r="F216" s="28" t="n"/>
      <c r="G216" s="28" t="n"/>
      <c r="H216" s="28" t="n"/>
      <c r="I216" s="28" t="n"/>
      <c r="J216" s="54">
        <f>IF(OR(ISNUMBER(SEARCH("보류",K216)),ISNUMBER(SEARCH("미룸",K216)),ISNUMBER(SEARCH("나중에",K216)),ISNUMBER(SEARCH("보류",L216)),ISNUMBER(SEARCH("미룸",L216)),ISNUMBER(SEARCH("나중에",L216))),"보류(나중에 풀기)",IF(AND(F216="",G216="",H216="",I216=""),"미완료",IF(I216&lt;&gt;"","복습3(마스터)",IF(H216&lt;&gt;"","복습2",IF(G216&lt;&gt;"","복습1",IF(ISNUMBER(SEARCH("제미나이",K216)),"복습대기(AI도움)",IF(ISNUMBER(SEARCH("간당간당",K216)),"복습대기(간당간당)",IF(OR(ISNUMBER(SEARCH("아이디어",K216)),ISNUMBER(SEARCH("시간초과",K216)),ISNUMBER(SEARCH("자료구조",K216)),ISNUMBER(SEARCH("경계값",K216)),ISNUMBER(SEARCH("다른 풀이",K216)),ISNUMBER(SEARCH("또풀기",K216))),"복습대기",IF(OR(ISNUMBER(SEARCH("복습필요없음",K216)),ISNUMBER(SEARCH("자력완벽",K216))),"품(복습불필요)",IF(F216&lt;&gt;"","품","미완료"))))))))))</f>
        <v/>
      </c>
      <c r="K216" s="32" t="inlineStr">
        <is>
          <t>-</t>
        </is>
      </c>
      <c r="L216" s="32" t="n"/>
      <c r="M216" s="28">
        <f>IF(OR(LEFT(J216,2)="보류", LEFT(J216,4)="복습대기", LEFT(J216,3)="복습1", LEFT(J216,3)="복습2"), MAX($M$3:M215)+1, "")</f>
        <v/>
      </c>
      <c r="N216" s="28" t="inlineStr">
        <is>
          <t>W08</t>
        </is>
      </c>
      <c r="O216" s="36" t="n">
        <v>46308</v>
      </c>
      <c r="P216" s="30">
        <f>IF(F216&lt;&gt;"","✅ 완료",IF(O216="","-",IF(TODAY()&gt;O216,"🚨 지연","⏳ 예정")))</f>
        <v/>
      </c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21.75" customHeight="1" s="209">
      <c r="A217" s="28" t="n">
        <v>214</v>
      </c>
      <c r="B217" s="28" t="inlineStr">
        <is>
          <t>5642</t>
        </is>
      </c>
      <c r="C217" s="30" t="inlineStr">
        <is>
          <t>D3</t>
        </is>
      </c>
      <c r="D217" s="32" t="inlineStr">
        <is>
          <t>[Professional] 합</t>
        </is>
      </c>
      <c r="E217" s="28" t="inlineStr">
        <is>
          <t>수학 / 정수론</t>
        </is>
      </c>
      <c r="F217" s="28" t="n"/>
      <c r="G217" s="28" t="n"/>
      <c r="H217" s="28" t="n"/>
      <c r="I217" s="28" t="n"/>
      <c r="J217" s="54">
        <f>IF(OR(ISNUMBER(SEARCH("보류",K217)),ISNUMBER(SEARCH("미룸",K217)),ISNUMBER(SEARCH("나중에",K217)),ISNUMBER(SEARCH("보류",L217)),ISNUMBER(SEARCH("미룸",L217)),ISNUMBER(SEARCH("나중에",L217))),"보류(나중에 풀기)",IF(AND(F217="",G217="",H217="",I217=""),"미완료",IF(I217&lt;&gt;"","복습3(마스터)",IF(H217&lt;&gt;"","복습2",IF(G217&lt;&gt;"","복습1",IF(ISNUMBER(SEARCH("제미나이",K217)),"복습대기(AI도움)",IF(ISNUMBER(SEARCH("간당간당",K217)),"복습대기(간당간당)",IF(OR(ISNUMBER(SEARCH("아이디어",K217)),ISNUMBER(SEARCH("시간초과",K217)),ISNUMBER(SEARCH("자료구조",K217)),ISNUMBER(SEARCH("경계값",K217)),ISNUMBER(SEARCH("다른 풀이",K217)),ISNUMBER(SEARCH("또풀기",K217))),"복습대기",IF(OR(ISNUMBER(SEARCH("복습필요없음",K217)),ISNUMBER(SEARCH("자력완벽",K217))),"품(복습불필요)",IF(F217&lt;&gt;"","품","미완료"))))))))))</f>
        <v/>
      </c>
      <c r="K217" s="32" t="inlineStr">
        <is>
          <t>-</t>
        </is>
      </c>
      <c r="L217" s="32" t="n"/>
      <c r="M217" s="28">
        <f>IF(OR(LEFT(J217,2)="보류", LEFT(J217,4)="복습대기", LEFT(J217,3)="복습1", LEFT(J217,3)="복습2"), MAX($M$3:M216)+1, "")</f>
        <v/>
      </c>
      <c r="N217" s="28" t="inlineStr">
        <is>
          <t>W08</t>
        </is>
      </c>
      <c r="O217" s="36" t="n">
        <v>46308</v>
      </c>
      <c r="P217" s="30">
        <f>IF(F217&lt;&gt;"","✅ 완료",IF(O217="","-",IF(TODAY()&gt;O217,"🚨 지연","⏳ 예정")))</f>
        <v/>
      </c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21.75" customHeight="1" s="209">
      <c r="A218" s="28" t="n">
        <v>215</v>
      </c>
      <c r="B218" s="28" t="inlineStr">
        <is>
          <t>5688</t>
        </is>
      </c>
      <c r="C218" s="30" t="inlineStr">
        <is>
          <t>D3</t>
        </is>
      </c>
      <c r="D218" s="32" t="inlineStr">
        <is>
          <t>세제곱근을 찾아라</t>
        </is>
      </c>
      <c r="E218" s="28" t="inlineStr">
        <is>
          <t>수학 / 정수론</t>
        </is>
      </c>
      <c r="F218" s="28" t="n"/>
      <c r="G218" s="28" t="n"/>
      <c r="H218" s="28" t="n"/>
      <c r="I218" s="28" t="n"/>
      <c r="J218" s="54">
        <f>IF(OR(ISNUMBER(SEARCH("보류",K218)),ISNUMBER(SEARCH("미룸",K218)),ISNUMBER(SEARCH("나중에",K218)),ISNUMBER(SEARCH("보류",L218)),ISNUMBER(SEARCH("미룸",L218)),ISNUMBER(SEARCH("나중에",L218))),"보류(나중에 풀기)",IF(AND(F218="",G218="",H218="",I218=""),"미완료",IF(I218&lt;&gt;"","복습3(마스터)",IF(H218&lt;&gt;"","복습2",IF(G218&lt;&gt;"","복습1",IF(ISNUMBER(SEARCH("제미나이",K218)),"복습대기(AI도움)",IF(ISNUMBER(SEARCH("간당간당",K218)),"복습대기(간당간당)",IF(OR(ISNUMBER(SEARCH("아이디어",K218)),ISNUMBER(SEARCH("시간초과",K218)),ISNUMBER(SEARCH("자료구조",K218)),ISNUMBER(SEARCH("경계값",K218)),ISNUMBER(SEARCH("다른 풀이",K218)),ISNUMBER(SEARCH("또풀기",K218))),"복습대기",IF(OR(ISNUMBER(SEARCH("복습필요없음",K218)),ISNUMBER(SEARCH("자력완벽",K218))),"품(복습불필요)",IF(F218&lt;&gt;"","품","미완료"))))))))))</f>
        <v/>
      </c>
      <c r="K218" s="32" t="inlineStr">
        <is>
          <t>-</t>
        </is>
      </c>
      <c r="L218" s="32" t="n"/>
      <c r="M218" s="28">
        <f>IF(OR(LEFT(J218,2)="보류", LEFT(J218,4)="복습대기", LEFT(J218,3)="복습1", LEFT(J218,3)="복습2"), MAX($M$3:M217)+1, "")</f>
        <v/>
      </c>
      <c r="N218" s="28" t="inlineStr">
        <is>
          <t>W08</t>
        </is>
      </c>
      <c r="O218" s="36" t="n">
        <v>46308</v>
      </c>
      <c r="P218" s="30">
        <f>IF(F218&lt;&gt;"","✅ 완료",IF(O218="","-",IF(TODAY()&gt;O218,"🚨 지연","⏳ 예정")))</f>
        <v/>
      </c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21.75" customHeight="1" s="209">
      <c r="A219" s="28" t="n">
        <v>216</v>
      </c>
      <c r="B219" s="28" t="inlineStr">
        <is>
          <t>5789</t>
        </is>
      </c>
      <c r="C219" s="30" t="inlineStr">
        <is>
          <t>D3</t>
        </is>
      </c>
      <c r="D219" s="32" t="inlineStr">
        <is>
          <t>현주의 상자 바꾸기</t>
        </is>
      </c>
      <c r="E219" s="28" t="inlineStr">
        <is>
          <t>완전탐색 / 시뮬레이션</t>
        </is>
      </c>
      <c r="F219" s="28" t="n"/>
      <c r="G219" s="28" t="n"/>
      <c r="H219" s="28" t="n"/>
      <c r="I219" s="28" t="n"/>
      <c r="J219" s="54">
        <f>IF(OR(ISNUMBER(SEARCH("보류",K219)),ISNUMBER(SEARCH("미룸",K219)),ISNUMBER(SEARCH("나중에",K219)),ISNUMBER(SEARCH("보류",L219)),ISNUMBER(SEARCH("미룸",L219)),ISNUMBER(SEARCH("나중에",L219))),"보류(나중에 풀기)",IF(AND(F219="",G219="",H219="",I219=""),"미완료",IF(I219&lt;&gt;"","복습3(마스터)",IF(H219&lt;&gt;"","복습2",IF(G219&lt;&gt;"","복습1",IF(ISNUMBER(SEARCH("제미나이",K219)),"복습대기(AI도움)",IF(ISNUMBER(SEARCH("간당간당",K219)),"복습대기(간당간당)",IF(OR(ISNUMBER(SEARCH("아이디어",K219)),ISNUMBER(SEARCH("시간초과",K219)),ISNUMBER(SEARCH("자료구조",K219)),ISNUMBER(SEARCH("경계값",K219)),ISNUMBER(SEARCH("다른 풀이",K219)),ISNUMBER(SEARCH("또풀기",K219))),"복습대기",IF(OR(ISNUMBER(SEARCH("복습필요없음",K219)),ISNUMBER(SEARCH("자력완벽",K219))),"품(복습불필요)",IF(F219&lt;&gt;"","품","미완료"))))))))))</f>
        <v/>
      </c>
      <c r="K219" s="32" t="inlineStr">
        <is>
          <t>-</t>
        </is>
      </c>
      <c r="L219" s="32" t="n"/>
      <c r="M219" s="28">
        <f>IF(OR(LEFT(J219,2)="보류", LEFT(J219,4)="복습대기", LEFT(J219,3)="복습1", LEFT(J219,3)="복습2"), MAX($M$3:M218)+1, "")</f>
        <v/>
      </c>
      <c r="N219" s="28" t="inlineStr">
        <is>
          <t>W08</t>
        </is>
      </c>
      <c r="O219" s="36" t="n">
        <v>46309</v>
      </c>
      <c r="P219" s="30">
        <f>IF(F219&lt;&gt;"","✅ 완료",IF(O219="","-",IF(TODAY()&gt;O219,"🚨 지연","⏳ 예정")))</f>
        <v/>
      </c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21.75" customHeight="1" s="209">
      <c r="A220" s="28" t="n">
        <v>217</v>
      </c>
      <c r="B220" s="28" t="inlineStr">
        <is>
          <t>5948</t>
        </is>
      </c>
      <c r="C220" s="30" t="inlineStr">
        <is>
          <t>D3</t>
        </is>
      </c>
      <c r="D220" s="32" t="inlineStr">
        <is>
          <t>새샘이의 7-3-5 게임</t>
        </is>
      </c>
      <c r="E220" s="28" t="inlineStr">
        <is>
          <t>시뮬레이션 / 구현</t>
        </is>
      </c>
      <c r="F220" s="28" t="n"/>
      <c r="G220" s="28" t="n"/>
      <c r="H220" s="28" t="n"/>
      <c r="I220" s="28" t="n"/>
      <c r="J220" s="54">
        <f>IF(OR(ISNUMBER(SEARCH("보류",K220)),ISNUMBER(SEARCH("미룸",K220)),ISNUMBER(SEARCH("나중에",K220)),ISNUMBER(SEARCH("보류",L220)),ISNUMBER(SEARCH("미룸",L220)),ISNUMBER(SEARCH("나중에",L220))),"보류(나중에 풀기)",IF(AND(F220="",G220="",H220="",I220=""),"미완료",IF(I220&lt;&gt;"","복습3(마스터)",IF(H220&lt;&gt;"","복습2",IF(G220&lt;&gt;"","복습1",IF(ISNUMBER(SEARCH("제미나이",K220)),"복습대기(AI도움)",IF(ISNUMBER(SEARCH("간당간당",K220)),"복습대기(간당간당)",IF(OR(ISNUMBER(SEARCH("아이디어",K220)),ISNUMBER(SEARCH("시간초과",K220)),ISNUMBER(SEARCH("자료구조",K220)),ISNUMBER(SEARCH("경계값",K220)),ISNUMBER(SEARCH("다른 풀이",K220)),ISNUMBER(SEARCH("또풀기",K220))),"복습대기",IF(OR(ISNUMBER(SEARCH("복습필요없음",K220)),ISNUMBER(SEARCH("자력완벽",K220))),"품(복습불필요)",IF(F220&lt;&gt;"","품","미완료"))))))))))</f>
        <v/>
      </c>
      <c r="K220" s="32" t="inlineStr">
        <is>
          <t>-</t>
        </is>
      </c>
      <c r="L220" s="32" t="n"/>
      <c r="M220" s="28">
        <f>IF(OR(LEFT(J220,2)="보류", LEFT(J220,4)="복습대기", LEFT(J220,3)="복습1", LEFT(J220,3)="복습2"), MAX($M$3:M219)+1, "")</f>
        <v/>
      </c>
      <c r="N220" s="28" t="inlineStr">
        <is>
          <t>W08</t>
        </is>
      </c>
      <c r="O220" s="36" t="n">
        <v>46309</v>
      </c>
      <c r="P220" s="30">
        <f>IF(F220&lt;&gt;"","✅ 완료",IF(O220="","-",IF(TODAY()&gt;O220,"🚨 지연","⏳ 예정")))</f>
        <v/>
      </c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21.75" customHeight="1" s="209">
      <c r="A221" s="28" t="n">
        <v>218</v>
      </c>
      <c r="B221" s="28" t="inlineStr">
        <is>
          <t>5986</t>
        </is>
      </c>
      <c r="C221" s="30" t="inlineStr">
        <is>
          <t>D3</t>
        </is>
      </c>
      <c r="D221" s="32" t="inlineStr">
        <is>
          <t>새샘이와 세 소수</t>
        </is>
      </c>
      <c r="E221" s="28" t="inlineStr">
        <is>
          <t>수학 / 정수론</t>
        </is>
      </c>
      <c r="F221" s="28" t="n"/>
      <c r="G221" s="28" t="n"/>
      <c r="H221" s="28" t="n"/>
      <c r="I221" s="28" t="n"/>
      <c r="J221" s="54">
        <f>IF(OR(ISNUMBER(SEARCH("보류",K221)),ISNUMBER(SEARCH("미룸",K221)),ISNUMBER(SEARCH("나중에",K221)),ISNUMBER(SEARCH("보류",L221)),ISNUMBER(SEARCH("미룸",L221)),ISNUMBER(SEARCH("나중에",L221))),"보류(나중에 풀기)",IF(AND(F221="",G221="",H221="",I221=""),"미완료",IF(I221&lt;&gt;"","복습3(마스터)",IF(H221&lt;&gt;"","복습2",IF(G221&lt;&gt;"","복습1",IF(ISNUMBER(SEARCH("제미나이",K221)),"복습대기(AI도움)",IF(ISNUMBER(SEARCH("간당간당",K221)),"복습대기(간당간당)",IF(OR(ISNUMBER(SEARCH("아이디어",K221)),ISNUMBER(SEARCH("시간초과",K221)),ISNUMBER(SEARCH("자료구조",K221)),ISNUMBER(SEARCH("경계값",K221)),ISNUMBER(SEARCH("다른 풀이",K221)),ISNUMBER(SEARCH("또풀기",K221))),"복습대기",IF(OR(ISNUMBER(SEARCH("복습필요없음",K221)),ISNUMBER(SEARCH("자력완벽",K221))),"품(복습불필요)",IF(F221&lt;&gt;"","품","미완료"))))))))))</f>
        <v/>
      </c>
      <c r="K221" s="32" t="inlineStr">
        <is>
          <t>-</t>
        </is>
      </c>
      <c r="L221" s="32" t="n"/>
      <c r="M221" s="28">
        <f>IF(OR(LEFT(J221,2)="보류", LEFT(J221,4)="복습대기", LEFT(J221,3)="복습1", LEFT(J221,3)="복습2"), MAX($M$3:M220)+1, "")</f>
        <v/>
      </c>
      <c r="N221" s="28" t="inlineStr">
        <is>
          <t>W08</t>
        </is>
      </c>
      <c r="O221" s="36" t="n">
        <v>46309</v>
      </c>
      <c r="P221" s="30">
        <f>IF(F221&lt;&gt;"","✅ 완료",IF(O221="","-",IF(TODAY()&gt;O221,"🚨 지연","⏳ 예정")))</f>
        <v/>
      </c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21.75" customHeight="1" s="209">
      <c r="A222" s="28" t="n">
        <v>219</v>
      </c>
      <c r="B222" s="28" t="inlineStr">
        <is>
          <t>6019</t>
        </is>
      </c>
      <c r="C222" s="30" t="inlineStr">
        <is>
          <t>D3</t>
        </is>
      </c>
      <c r="D222" s="32" t="inlineStr">
        <is>
          <t>기차 사이의 파리</t>
        </is>
      </c>
      <c r="E222" s="28" t="inlineStr">
        <is>
          <t>완전탐색 / 시뮬레이션</t>
        </is>
      </c>
      <c r="F222" s="28" t="n"/>
      <c r="G222" s="28" t="n"/>
      <c r="H222" s="28" t="n"/>
      <c r="I222" s="28" t="n"/>
      <c r="J222" s="54">
        <f>IF(OR(ISNUMBER(SEARCH("보류",K222)),ISNUMBER(SEARCH("미룸",K222)),ISNUMBER(SEARCH("나중에",K222)),ISNUMBER(SEARCH("보류",L222)),ISNUMBER(SEARCH("미룸",L222)),ISNUMBER(SEARCH("나중에",L222))),"보류(나중에 풀기)",IF(AND(F222="",G222="",H222="",I222=""),"미완료",IF(I222&lt;&gt;"","복습3(마스터)",IF(H222&lt;&gt;"","복습2",IF(G222&lt;&gt;"","복습1",IF(ISNUMBER(SEARCH("제미나이",K222)),"복습대기(AI도움)",IF(ISNUMBER(SEARCH("간당간당",K222)),"복습대기(간당간당)",IF(OR(ISNUMBER(SEARCH("아이디어",K222)),ISNUMBER(SEARCH("시간초과",K222)),ISNUMBER(SEARCH("자료구조",K222)),ISNUMBER(SEARCH("경계값",K222)),ISNUMBER(SEARCH("다른 풀이",K222)),ISNUMBER(SEARCH("또풀기",K222))),"복습대기",IF(OR(ISNUMBER(SEARCH("복습필요없음",K222)),ISNUMBER(SEARCH("자력완벽",K222))),"품(복습불필요)",IF(F222&lt;&gt;"","품","미완료"))))))))))</f>
        <v/>
      </c>
      <c r="K222" s="32" t="inlineStr">
        <is>
          <t>-</t>
        </is>
      </c>
      <c r="L222" s="32" t="n"/>
      <c r="M222" s="28">
        <f>IF(OR(LEFT(J222,2)="보류", LEFT(J222,4)="복습대기", LEFT(J222,3)="복습1", LEFT(J222,3)="복습2"), MAX($M$3:M221)+1, "")</f>
        <v/>
      </c>
      <c r="N222" s="28" t="inlineStr">
        <is>
          <t>W08</t>
        </is>
      </c>
      <c r="O222" s="36" t="n">
        <v>46309</v>
      </c>
      <c r="P222" s="30">
        <f>IF(F222&lt;&gt;"","✅ 완료",IF(O222="","-",IF(TODAY()&gt;O222,"🚨 지연","⏳ 예정")))</f>
        <v/>
      </c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21.75" customHeight="1" s="209">
      <c r="A223" s="28" t="n">
        <v>220</v>
      </c>
      <c r="B223" s="28" t="inlineStr">
        <is>
          <t>6057</t>
        </is>
      </c>
      <c r="C223" s="30" t="inlineStr">
        <is>
          <t>D3</t>
        </is>
      </c>
      <c r="D223" s="32" t="inlineStr">
        <is>
          <t>그래프의 삼각형</t>
        </is>
      </c>
      <c r="E223" s="28" t="inlineStr">
        <is>
          <t>그래프 / 최단경로 / 위상정렬</t>
        </is>
      </c>
      <c r="F223" s="28" t="n"/>
      <c r="G223" s="28" t="n"/>
      <c r="H223" s="28" t="n"/>
      <c r="I223" s="28" t="n"/>
      <c r="J223" s="54">
        <f>IF(OR(ISNUMBER(SEARCH("보류",K223)),ISNUMBER(SEARCH("미룸",K223)),ISNUMBER(SEARCH("나중에",K223)),ISNUMBER(SEARCH("보류",L223)),ISNUMBER(SEARCH("미룸",L223)),ISNUMBER(SEARCH("나중에",L223))),"보류(나중에 풀기)",IF(AND(F223="",G223="",H223="",I223=""),"미완료",IF(I223&lt;&gt;"","복습3(마스터)",IF(H223&lt;&gt;"","복습2",IF(G223&lt;&gt;"","복습1",IF(ISNUMBER(SEARCH("제미나이",K223)),"복습대기(AI도움)",IF(ISNUMBER(SEARCH("간당간당",K223)),"복습대기(간당간당)",IF(OR(ISNUMBER(SEARCH("아이디어",K223)),ISNUMBER(SEARCH("시간초과",K223)),ISNUMBER(SEARCH("자료구조",K223)),ISNUMBER(SEARCH("경계값",K223)),ISNUMBER(SEARCH("다른 풀이",K223)),ISNUMBER(SEARCH("또풀기",K223))),"복습대기",IF(OR(ISNUMBER(SEARCH("복습필요없음",K223)),ISNUMBER(SEARCH("자력완벽",K223))),"품(복습불필요)",IF(F223&lt;&gt;"","품","미완료"))))))))))</f>
        <v/>
      </c>
      <c r="K223" s="32" t="inlineStr">
        <is>
          <t>-</t>
        </is>
      </c>
      <c r="L223" s="32" t="n"/>
      <c r="M223" s="28">
        <f>IF(OR(LEFT(J223,2)="보류", LEFT(J223,4)="복습대기", LEFT(J223,3)="복습1", LEFT(J223,3)="복습2"), MAX($M$3:M222)+1, "")</f>
        <v/>
      </c>
      <c r="N223" s="28" t="inlineStr">
        <is>
          <t>W08</t>
        </is>
      </c>
      <c r="O223" s="36" t="n">
        <v>46309</v>
      </c>
      <c r="P223" s="30">
        <f>IF(F223&lt;&gt;"","✅ 완료",IF(O223="","-",IF(TODAY()&gt;O223,"🚨 지연","⏳ 예정")))</f>
        <v/>
      </c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21.75" customHeight="1" s="209">
      <c r="A224" s="28" t="n">
        <v>221</v>
      </c>
      <c r="B224" s="28" t="inlineStr">
        <is>
          <t>6485</t>
        </is>
      </c>
      <c r="C224" s="30" t="inlineStr">
        <is>
          <t>D3</t>
        </is>
      </c>
      <c r="D224" s="32" t="inlineStr">
        <is>
          <t>삼성시의 버스 노선</t>
        </is>
      </c>
      <c r="E224" s="28" t="inlineStr">
        <is>
          <t>완전탐색 / 시뮬레이션</t>
        </is>
      </c>
      <c r="F224" s="28" t="n"/>
      <c r="G224" s="28" t="n"/>
      <c r="H224" s="28" t="n"/>
      <c r="I224" s="28" t="n"/>
      <c r="J224" s="54">
        <f>IF(OR(ISNUMBER(SEARCH("보류",K224)),ISNUMBER(SEARCH("미룸",K224)),ISNUMBER(SEARCH("나중에",K224)),ISNUMBER(SEARCH("보류",L224)),ISNUMBER(SEARCH("미룸",L224)),ISNUMBER(SEARCH("나중에",L224))),"보류(나중에 풀기)",IF(AND(F224="",G224="",H224="",I224=""),"미완료",IF(I224&lt;&gt;"","복습3(마스터)",IF(H224&lt;&gt;"","복습2",IF(G224&lt;&gt;"","복습1",IF(ISNUMBER(SEARCH("제미나이",K224)),"복습대기(AI도움)",IF(ISNUMBER(SEARCH("간당간당",K224)),"복습대기(간당간당)",IF(OR(ISNUMBER(SEARCH("아이디어",K224)),ISNUMBER(SEARCH("시간초과",K224)),ISNUMBER(SEARCH("자료구조",K224)),ISNUMBER(SEARCH("경계값",K224)),ISNUMBER(SEARCH("다른 풀이",K224)),ISNUMBER(SEARCH("또풀기",K224))),"복습대기",IF(OR(ISNUMBER(SEARCH("복습필요없음",K224)),ISNUMBER(SEARCH("자력완벽",K224))),"품(복습불필요)",IF(F224&lt;&gt;"","품","미완료"))))))))))</f>
        <v/>
      </c>
      <c r="K224" s="32" t="inlineStr">
        <is>
          <t>-</t>
        </is>
      </c>
      <c r="L224" s="32" t="n"/>
      <c r="M224" s="28">
        <f>IF(OR(LEFT(J224,2)="보류", LEFT(J224,4)="복습대기", LEFT(J224,3)="복습1", LEFT(J224,3)="복습2"), MAX($M$3:M223)+1, "")</f>
        <v/>
      </c>
      <c r="N224" s="28" t="inlineStr">
        <is>
          <t>W08</t>
        </is>
      </c>
      <c r="O224" s="36" t="n">
        <v>46309</v>
      </c>
      <c r="P224" s="30">
        <f>IF(F224&lt;&gt;"","✅ 완료",IF(O224="","-",IF(TODAY()&gt;O224,"🚨 지연","⏳ 예정")))</f>
        <v/>
      </c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21.75" customHeight="1" s="209">
      <c r="A225" s="28" t="n">
        <v>222</v>
      </c>
      <c r="B225" s="28" t="inlineStr">
        <is>
          <t>6692</t>
        </is>
      </c>
      <c r="C225" s="30" t="inlineStr">
        <is>
          <t>D3</t>
        </is>
      </c>
      <c r="D225" s="32" t="inlineStr">
        <is>
          <t>다솔이의 월급 상자</t>
        </is>
      </c>
      <c r="E225" s="28" t="inlineStr">
        <is>
          <t>완전탐색 / 시뮬레이션</t>
        </is>
      </c>
      <c r="F225" s="28" t="n"/>
      <c r="G225" s="28" t="n"/>
      <c r="H225" s="28" t="n"/>
      <c r="I225" s="28" t="n"/>
      <c r="J225" s="54">
        <f>IF(OR(ISNUMBER(SEARCH("보류",K225)),ISNUMBER(SEARCH("미룸",K225)),ISNUMBER(SEARCH("나중에",K225)),ISNUMBER(SEARCH("보류",L225)),ISNUMBER(SEARCH("미룸",L225)),ISNUMBER(SEARCH("나중에",L225))),"보류(나중에 풀기)",IF(AND(F225="",G225="",H225="",I225=""),"미완료",IF(I225&lt;&gt;"","복습3(마스터)",IF(H225&lt;&gt;"","복습2",IF(G225&lt;&gt;"","복습1",IF(ISNUMBER(SEARCH("제미나이",K225)),"복습대기(AI도움)",IF(ISNUMBER(SEARCH("간당간당",K225)),"복습대기(간당간당)",IF(OR(ISNUMBER(SEARCH("아이디어",K225)),ISNUMBER(SEARCH("시간초과",K225)),ISNUMBER(SEARCH("자료구조",K225)),ISNUMBER(SEARCH("경계값",K225)),ISNUMBER(SEARCH("다른 풀이",K225)),ISNUMBER(SEARCH("또풀기",K225))),"복습대기",IF(OR(ISNUMBER(SEARCH("복습필요없음",K225)),ISNUMBER(SEARCH("자력완벽",K225))),"품(복습불필요)",IF(F225&lt;&gt;"","품","미완료"))))))))))</f>
        <v/>
      </c>
      <c r="K225" s="32" t="inlineStr">
        <is>
          <t>-</t>
        </is>
      </c>
      <c r="L225" s="32" t="n"/>
      <c r="M225" s="28">
        <f>IF(OR(LEFT(J225,2)="보류", LEFT(J225,4)="복습대기", LEFT(J225,3)="복습1", LEFT(J225,3)="복습2"), MAX($M$3:M224)+1, "")</f>
        <v/>
      </c>
      <c r="N225" s="28" t="inlineStr">
        <is>
          <t>W08</t>
        </is>
      </c>
      <c r="O225" s="36" t="n">
        <v>46309</v>
      </c>
      <c r="P225" s="30">
        <f>IF(F225&lt;&gt;"","✅ 완료",IF(O225="","-",IF(TODAY()&gt;O225,"🚨 지연","⏳ 예정")))</f>
        <v/>
      </c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21.75" customHeight="1" s="209">
      <c r="A226" s="28" t="n">
        <v>223</v>
      </c>
      <c r="B226" s="28" t="inlineStr">
        <is>
          <t>6718</t>
        </is>
      </c>
      <c r="C226" s="30" t="inlineStr">
        <is>
          <t>D3</t>
        </is>
      </c>
      <c r="D226" s="32" t="inlineStr">
        <is>
          <t>희성이의 원근법</t>
        </is>
      </c>
      <c r="E226" s="28" t="inlineStr">
        <is>
          <t>완전탐색 / 시뮬레이션</t>
        </is>
      </c>
      <c r="F226" s="28" t="n"/>
      <c r="G226" s="28" t="n"/>
      <c r="H226" s="28" t="n"/>
      <c r="I226" s="28" t="n"/>
      <c r="J226" s="54">
        <f>IF(OR(ISNUMBER(SEARCH("보류",K226)),ISNUMBER(SEARCH("미룸",K226)),ISNUMBER(SEARCH("나중에",K226)),ISNUMBER(SEARCH("보류",L226)),ISNUMBER(SEARCH("미룸",L226)),ISNUMBER(SEARCH("나중에",L226))),"보류(나중에 풀기)",IF(AND(F226="",G226="",H226="",I226=""),"미완료",IF(I226&lt;&gt;"","복습3(마스터)",IF(H226&lt;&gt;"","복습2",IF(G226&lt;&gt;"","복습1",IF(ISNUMBER(SEARCH("제미나이",K226)),"복습대기(AI도움)",IF(ISNUMBER(SEARCH("간당간당",K226)),"복습대기(간당간당)",IF(OR(ISNUMBER(SEARCH("아이디어",K226)),ISNUMBER(SEARCH("시간초과",K226)),ISNUMBER(SEARCH("자료구조",K226)),ISNUMBER(SEARCH("경계값",K226)),ISNUMBER(SEARCH("다른 풀이",K226)),ISNUMBER(SEARCH("또풀기",K226))),"복습대기",IF(OR(ISNUMBER(SEARCH("복습필요없음",K226)),ISNUMBER(SEARCH("자력완벽",K226))),"품(복습불필요)",IF(F226&lt;&gt;"","품","미완료"))))))))))</f>
        <v/>
      </c>
      <c r="K226" s="32" t="inlineStr">
        <is>
          <t>-</t>
        </is>
      </c>
      <c r="L226" s="32" t="n"/>
      <c r="M226" s="28">
        <f>IF(OR(LEFT(J226,2)="보류", LEFT(J226,4)="복습대기", LEFT(J226,3)="복습1", LEFT(J226,3)="복습2"), MAX($M$3:M225)+1, "")</f>
        <v/>
      </c>
      <c r="N226" s="28" t="inlineStr">
        <is>
          <t>W08</t>
        </is>
      </c>
      <c r="O226" s="36" t="n">
        <v>46310</v>
      </c>
      <c r="P226" s="30">
        <f>IF(F226&lt;&gt;"","✅ 완료",IF(O226="","-",IF(TODAY()&gt;O226,"🚨 지연","⏳ 예정")))</f>
        <v/>
      </c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 ht="21.75" customHeight="1" s="209">
      <c r="A227" s="28" t="n">
        <v>224</v>
      </c>
      <c r="B227" s="28" t="inlineStr">
        <is>
          <t>6730</t>
        </is>
      </c>
      <c r="C227" s="30" t="inlineStr">
        <is>
          <t>D3</t>
        </is>
      </c>
      <c r="D227" s="32" t="inlineStr">
        <is>
          <t>장애물 경주 난이도</t>
        </is>
      </c>
      <c r="E227" s="28" t="inlineStr">
        <is>
          <t>완전탐색 / 시뮬레이션</t>
        </is>
      </c>
      <c r="F227" s="28" t="n"/>
      <c r="G227" s="28" t="n"/>
      <c r="H227" s="28" t="n"/>
      <c r="I227" s="28" t="n"/>
      <c r="J227" s="54">
        <f>IF(OR(ISNUMBER(SEARCH("보류",K227)),ISNUMBER(SEARCH("미룸",K227)),ISNUMBER(SEARCH("나중에",K227)),ISNUMBER(SEARCH("보류",L227)),ISNUMBER(SEARCH("미룸",L227)),ISNUMBER(SEARCH("나중에",L227))),"보류(나중에 풀기)",IF(AND(F227="",G227="",H227="",I227=""),"미완료",IF(I227&lt;&gt;"","복습3(마스터)",IF(H227&lt;&gt;"","복습2",IF(G227&lt;&gt;"","복습1",IF(ISNUMBER(SEARCH("제미나이",K227)),"복습대기(AI도움)",IF(ISNUMBER(SEARCH("간당간당",K227)),"복습대기(간당간당)",IF(OR(ISNUMBER(SEARCH("아이디어",K227)),ISNUMBER(SEARCH("시간초과",K227)),ISNUMBER(SEARCH("자료구조",K227)),ISNUMBER(SEARCH("경계값",K227)),ISNUMBER(SEARCH("다른 풀이",K227)),ISNUMBER(SEARCH("또풀기",K227))),"복습대기",IF(OR(ISNUMBER(SEARCH("복습필요없음",K227)),ISNUMBER(SEARCH("자력완벽",K227))),"품(복습불필요)",IF(F227&lt;&gt;"","품","미완료"))))))))))</f>
        <v/>
      </c>
      <c r="K227" s="32" t="inlineStr">
        <is>
          <t>-</t>
        </is>
      </c>
      <c r="L227" s="32" t="n"/>
      <c r="M227" s="28">
        <f>IF(OR(LEFT(J227,2)="보류", LEFT(J227,4)="복습대기", LEFT(J227,3)="복습1", LEFT(J227,3)="복습2"), MAX($M$3:M226)+1, "")</f>
        <v/>
      </c>
      <c r="N227" s="28" t="inlineStr">
        <is>
          <t>W08</t>
        </is>
      </c>
      <c r="O227" s="36" t="n">
        <v>46310</v>
      </c>
      <c r="P227" s="30">
        <f>IF(F227&lt;&gt;"","✅ 완료",IF(O227="","-",IF(TODAY()&gt;O227,"🚨 지연","⏳ 예정")))</f>
        <v/>
      </c>
      <c r="Q227" s="7" t="n"/>
      <c r="R227" s="7" t="n"/>
      <c r="S227" s="7" t="n"/>
      <c r="T227" s="7" t="n"/>
      <c r="U227" s="7" t="n"/>
      <c r="V227" s="7" t="n"/>
      <c r="W227" s="7" t="n"/>
      <c r="X227" s="7" t="n"/>
    </row>
    <row r="228" ht="21.75" customHeight="1" s="209">
      <c r="A228" s="28" t="n">
        <v>225</v>
      </c>
      <c r="B228" s="28" t="inlineStr">
        <is>
          <t>6781</t>
        </is>
      </c>
      <c r="C228" s="30" t="inlineStr">
        <is>
          <t>D3</t>
        </is>
      </c>
      <c r="D228" s="32" t="inlineStr">
        <is>
          <t>삼삼 트리플 게임</t>
        </is>
      </c>
      <c r="E228" s="28" t="inlineStr">
        <is>
          <t>시뮬레이션 / 구현</t>
        </is>
      </c>
      <c r="F228" s="28" t="n"/>
      <c r="G228" s="28" t="n"/>
      <c r="H228" s="28" t="n"/>
      <c r="I228" s="28" t="n"/>
      <c r="J228" s="54">
        <f>IF(OR(ISNUMBER(SEARCH("보류",K228)),ISNUMBER(SEARCH("미룸",K228)),ISNUMBER(SEARCH("나중에",K228)),ISNUMBER(SEARCH("보류",L228)),ISNUMBER(SEARCH("미룸",L228)),ISNUMBER(SEARCH("나중에",L228))),"보류(나중에 풀기)",IF(AND(F228="",G228="",H228="",I228=""),"미완료",IF(I228&lt;&gt;"","복습3(마스터)",IF(H228&lt;&gt;"","복습2",IF(G228&lt;&gt;"","복습1",IF(ISNUMBER(SEARCH("제미나이",K228)),"복습대기(AI도움)",IF(ISNUMBER(SEARCH("간당간당",K228)),"복습대기(간당간당)",IF(OR(ISNUMBER(SEARCH("아이디어",K228)),ISNUMBER(SEARCH("시간초과",K228)),ISNUMBER(SEARCH("자료구조",K228)),ISNUMBER(SEARCH("경계값",K228)),ISNUMBER(SEARCH("다른 풀이",K228)),ISNUMBER(SEARCH("또풀기",K228))),"복습대기",IF(OR(ISNUMBER(SEARCH("복습필요없음",K228)),ISNUMBER(SEARCH("자력완벽",K228))),"품(복습불필요)",IF(F228&lt;&gt;"","품","미완료"))))))))))</f>
        <v/>
      </c>
      <c r="K228" s="32" t="inlineStr">
        <is>
          <t>-</t>
        </is>
      </c>
      <c r="L228" s="32" t="n"/>
      <c r="M228" s="28">
        <f>IF(OR(LEFT(J228,2)="보류", LEFT(J228,4)="복습대기", LEFT(J228,3)="복습1", LEFT(J228,3)="복습2"), MAX($M$3:M227)+1, "")</f>
        <v/>
      </c>
      <c r="N228" s="28" t="inlineStr">
        <is>
          <t>W08</t>
        </is>
      </c>
      <c r="O228" s="36" t="n">
        <v>46310</v>
      </c>
      <c r="P228" s="30">
        <f>IF(F228&lt;&gt;"","✅ 완료",IF(O228="","-",IF(TODAY()&gt;O228,"🚨 지연","⏳ 예정")))</f>
        <v/>
      </c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 ht="21.75" customHeight="1" s="209">
      <c r="A229" s="28" t="n">
        <v>226</v>
      </c>
      <c r="B229" s="28" t="inlineStr">
        <is>
          <t>6853</t>
        </is>
      </c>
      <c r="C229" s="30" t="inlineStr">
        <is>
          <t>D3</t>
        </is>
      </c>
      <c r="D229" s="32" t="inlineStr">
        <is>
          <t>직사각형과 점</t>
        </is>
      </c>
      <c r="E229" s="28" t="inlineStr">
        <is>
          <t>완전탐색 / 시뮬레이션</t>
        </is>
      </c>
      <c r="F229" s="28" t="n"/>
      <c r="G229" s="28" t="n"/>
      <c r="H229" s="28" t="n"/>
      <c r="I229" s="28" t="n"/>
      <c r="J229" s="54">
        <f>IF(OR(ISNUMBER(SEARCH("보류",K229)),ISNUMBER(SEARCH("미룸",K229)),ISNUMBER(SEARCH("나중에",K229)),ISNUMBER(SEARCH("보류",L229)),ISNUMBER(SEARCH("미룸",L229)),ISNUMBER(SEARCH("나중에",L229))),"보류(나중에 풀기)",IF(AND(F229="",G229="",H229="",I229=""),"미완료",IF(I229&lt;&gt;"","복습3(마스터)",IF(H229&lt;&gt;"","복습2",IF(G229&lt;&gt;"","복습1",IF(ISNUMBER(SEARCH("제미나이",K229)),"복습대기(AI도움)",IF(ISNUMBER(SEARCH("간당간당",K229)),"복습대기(간당간당)",IF(OR(ISNUMBER(SEARCH("아이디어",K229)),ISNUMBER(SEARCH("시간초과",K229)),ISNUMBER(SEARCH("자료구조",K229)),ISNUMBER(SEARCH("경계값",K229)),ISNUMBER(SEARCH("다른 풀이",K229)),ISNUMBER(SEARCH("또풀기",K229))),"복습대기",IF(OR(ISNUMBER(SEARCH("복습필요없음",K229)),ISNUMBER(SEARCH("자력완벽",K229))),"품(복습불필요)",IF(F229&lt;&gt;"","품","미완료"))))))))))</f>
        <v/>
      </c>
      <c r="K229" s="32" t="inlineStr">
        <is>
          <t>-</t>
        </is>
      </c>
      <c r="L229" s="32" t="n"/>
      <c r="M229" s="28">
        <f>IF(OR(LEFT(J229,2)="보류", LEFT(J229,4)="복습대기", LEFT(J229,3)="복습1", LEFT(J229,3)="복습2"), MAX($M$3:M228)+1, "")</f>
        <v/>
      </c>
      <c r="N229" s="28" t="inlineStr">
        <is>
          <t>W08</t>
        </is>
      </c>
      <c r="O229" s="36" t="n">
        <v>46310</v>
      </c>
      <c r="P229" s="30">
        <f>IF(F229&lt;&gt;"","✅ 완료",IF(O229="","-",IF(TODAY()&gt;O229,"🚨 지연","⏳ 예정")))</f>
        <v/>
      </c>
      <c r="Q229" s="7" t="n"/>
      <c r="R229" s="7" t="n"/>
      <c r="S229" s="7" t="n"/>
      <c r="T229" s="7" t="n"/>
      <c r="U229" s="7" t="n"/>
      <c r="V229" s="7" t="n"/>
      <c r="W229" s="7" t="n"/>
      <c r="X229" s="7" t="n"/>
    </row>
    <row r="230" ht="21.75" customHeight="1" s="209">
      <c r="A230" s="28" t="n">
        <v>227</v>
      </c>
      <c r="B230" s="28" t="inlineStr">
        <is>
          <t>6900</t>
        </is>
      </c>
      <c r="C230" s="30" t="inlineStr">
        <is>
          <t>D3</t>
        </is>
      </c>
      <c r="D230" s="32" t="inlineStr">
        <is>
          <t>주혁이의 복권 당첨</t>
        </is>
      </c>
      <c r="E230" s="28" t="inlineStr">
        <is>
          <t>완전탐색 / 시뮬레이션</t>
        </is>
      </c>
      <c r="F230" s="28" t="n"/>
      <c r="G230" s="28" t="n"/>
      <c r="H230" s="28" t="n"/>
      <c r="I230" s="28" t="n"/>
      <c r="J230" s="54">
        <f>IF(OR(ISNUMBER(SEARCH("보류",K230)),ISNUMBER(SEARCH("미룸",K230)),ISNUMBER(SEARCH("나중에",K230)),ISNUMBER(SEARCH("보류",L230)),ISNUMBER(SEARCH("미룸",L230)),ISNUMBER(SEARCH("나중에",L230))),"보류(나중에 풀기)",IF(AND(F230="",G230="",H230="",I230=""),"미완료",IF(I230&lt;&gt;"","복습3(마스터)",IF(H230&lt;&gt;"","복습2",IF(G230&lt;&gt;"","복습1",IF(ISNUMBER(SEARCH("제미나이",K230)),"복습대기(AI도움)",IF(ISNUMBER(SEARCH("간당간당",K230)),"복습대기(간당간당)",IF(OR(ISNUMBER(SEARCH("아이디어",K230)),ISNUMBER(SEARCH("시간초과",K230)),ISNUMBER(SEARCH("자료구조",K230)),ISNUMBER(SEARCH("경계값",K230)),ISNUMBER(SEARCH("다른 풀이",K230)),ISNUMBER(SEARCH("또풀기",K230))),"복습대기",IF(OR(ISNUMBER(SEARCH("복습필요없음",K230)),ISNUMBER(SEARCH("자력완벽",K230))),"품(복습불필요)",IF(F230&lt;&gt;"","품","미완료"))))))))))</f>
        <v/>
      </c>
      <c r="K230" s="32" t="inlineStr">
        <is>
          <t>-</t>
        </is>
      </c>
      <c r="L230" s="32" t="n"/>
      <c r="M230" s="28">
        <f>IF(OR(LEFT(J230,2)="보류", LEFT(J230,4)="복습대기", LEFT(J230,3)="복습1", LEFT(J230,3)="복습2"), MAX($M$3:M229)+1, "")</f>
        <v/>
      </c>
      <c r="N230" s="28" t="inlineStr">
        <is>
          <t>W08</t>
        </is>
      </c>
      <c r="O230" s="36" t="n">
        <v>46310</v>
      </c>
      <c r="P230" s="30">
        <f>IF(F230&lt;&gt;"","✅ 완료",IF(O230="","-",IF(TODAY()&gt;O230,"🚨 지연","⏳ 예정")))</f>
        <v/>
      </c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 ht="21.75" customHeight="1" s="209">
      <c r="A231" s="28" t="n">
        <v>228</v>
      </c>
      <c r="B231" s="28" t="inlineStr">
        <is>
          <t>6913</t>
        </is>
      </c>
      <c r="C231" s="30" t="inlineStr">
        <is>
          <t>D3</t>
        </is>
      </c>
      <c r="D231" s="32" t="inlineStr">
        <is>
          <t>동철이의 프로그래밍 대회</t>
        </is>
      </c>
      <c r="E231" s="28" t="inlineStr">
        <is>
          <t>완전탐색 / 시뮬레이션</t>
        </is>
      </c>
      <c r="F231" s="28" t="n"/>
      <c r="G231" s="28" t="n"/>
      <c r="H231" s="28" t="n"/>
      <c r="I231" s="28" t="n"/>
      <c r="J231" s="54">
        <f>IF(OR(ISNUMBER(SEARCH("보류",K231)),ISNUMBER(SEARCH("미룸",K231)),ISNUMBER(SEARCH("나중에",K231)),ISNUMBER(SEARCH("보류",L231)),ISNUMBER(SEARCH("미룸",L231)),ISNUMBER(SEARCH("나중에",L231))),"보류(나중에 풀기)",IF(AND(F231="",G231="",H231="",I231=""),"미완료",IF(I231&lt;&gt;"","복습3(마스터)",IF(H231&lt;&gt;"","복습2",IF(G231&lt;&gt;"","복습1",IF(ISNUMBER(SEARCH("제미나이",K231)),"복습대기(AI도움)",IF(ISNUMBER(SEARCH("간당간당",K231)),"복습대기(간당간당)",IF(OR(ISNUMBER(SEARCH("아이디어",K231)),ISNUMBER(SEARCH("시간초과",K231)),ISNUMBER(SEARCH("자료구조",K231)),ISNUMBER(SEARCH("경계값",K231)),ISNUMBER(SEARCH("다른 풀이",K231)),ISNUMBER(SEARCH("또풀기",K231))),"복습대기",IF(OR(ISNUMBER(SEARCH("복습필요없음",K231)),ISNUMBER(SEARCH("자력완벽",K231))),"품(복습불필요)",IF(F231&lt;&gt;"","품","미완료"))))))))))</f>
        <v/>
      </c>
      <c r="K231" s="32" t="inlineStr">
        <is>
          <t>-</t>
        </is>
      </c>
      <c r="L231" s="32" t="n"/>
      <c r="M231" s="28">
        <f>IF(OR(LEFT(J231,2)="보류", LEFT(J231,4)="복습대기", LEFT(J231,3)="복습1", LEFT(J231,3)="복습2"), MAX($M$3:M230)+1, "")</f>
        <v/>
      </c>
      <c r="N231" s="28" t="inlineStr">
        <is>
          <t>W08</t>
        </is>
      </c>
      <c r="O231" s="36" t="n">
        <v>46310</v>
      </c>
      <c r="P231" s="30">
        <f>IF(F231&lt;&gt;"","✅ 완료",IF(O231="","-",IF(TODAY()&gt;O231,"🚨 지연","⏳ 예정")))</f>
        <v/>
      </c>
      <c r="Q231" s="7" t="n"/>
      <c r="R231" s="7" t="n"/>
      <c r="S231" s="7" t="n"/>
      <c r="T231" s="7" t="n"/>
      <c r="U231" s="7" t="n"/>
      <c r="V231" s="7" t="n"/>
      <c r="W231" s="7" t="n"/>
      <c r="X231" s="7" t="n"/>
    </row>
    <row r="232" ht="21.75" customHeight="1" s="209">
      <c r="A232" s="28" t="n">
        <v>229</v>
      </c>
      <c r="B232" s="28" t="inlineStr">
        <is>
          <t>6958</t>
        </is>
      </c>
      <c r="C232" s="30" t="inlineStr">
        <is>
          <t>D3</t>
        </is>
      </c>
      <c r="D232" s="32" t="inlineStr">
        <is>
          <t>동철이의 프로그래밍 대회</t>
        </is>
      </c>
      <c r="E232" s="28" t="inlineStr">
        <is>
          <t>완전탐색 / 시뮬레이션</t>
        </is>
      </c>
      <c r="F232" s="28" t="n"/>
      <c r="G232" s="28" t="n"/>
      <c r="H232" s="28" t="n"/>
      <c r="I232" s="28" t="n"/>
      <c r="J232" s="54">
        <f>IF(OR(ISNUMBER(SEARCH("보류",K232)),ISNUMBER(SEARCH("미룸",K232)),ISNUMBER(SEARCH("나중에",K232)),ISNUMBER(SEARCH("보류",L232)),ISNUMBER(SEARCH("미룸",L232)),ISNUMBER(SEARCH("나중에",L232))),"보류(나중에 풀기)",IF(AND(F232="",G232="",H232="",I232=""),"미완료",IF(I232&lt;&gt;"","복습3(마스터)",IF(H232&lt;&gt;"","복습2",IF(G232&lt;&gt;"","복습1",IF(ISNUMBER(SEARCH("제미나이",K232)),"복습대기(AI도움)",IF(ISNUMBER(SEARCH("간당간당",K232)),"복습대기(간당간당)",IF(OR(ISNUMBER(SEARCH("아이디어",K232)),ISNUMBER(SEARCH("시간초과",K232)),ISNUMBER(SEARCH("자료구조",K232)),ISNUMBER(SEARCH("경계값",K232)),ISNUMBER(SEARCH("다른 풀이",K232)),ISNUMBER(SEARCH("또풀기",K232))),"복습대기",IF(OR(ISNUMBER(SEARCH("복습필요없음",K232)),ISNUMBER(SEARCH("자력완벽",K232))),"품(복습불필요)",IF(F232&lt;&gt;"","품","미완료"))))))))))</f>
        <v/>
      </c>
      <c r="K232" s="32" t="inlineStr">
        <is>
          <t>-</t>
        </is>
      </c>
      <c r="L232" s="32" t="n"/>
      <c r="M232" s="28">
        <f>IF(OR(LEFT(J232,2)="보류", LEFT(J232,4)="복습대기", LEFT(J232,3)="복습1", LEFT(J232,3)="복습2"), MAX($M$3:M231)+1, "")</f>
        <v/>
      </c>
      <c r="N232" s="28" t="inlineStr">
        <is>
          <t>W08</t>
        </is>
      </c>
      <c r="O232" s="36" t="n">
        <v>46310</v>
      </c>
      <c r="P232" s="30">
        <f>IF(F232&lt;&gt;"","✅ 완료",IF(O232="","-",IF(TODAY()&gt;O232,"🚨 지연","⏳ 예정")))</f>
        <v/>
      </c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 ht="21.75" customHeight="1" s="209">
      <c r="A233" s="28" t="n">
        <v>230</v>
      </c>
      <c r="B233" s="28" t="inlineStr">
        <is>
          <t>7087</t>
        </is>
      </c>
      <c r="C233" s="30" t="inlineStr">
        <is>
          <t>D3</t>
        </is>
      </c>
      <c r="D233" s="32" t="inlineStr">
        <is>
          <t>문제 제목 붙이기</t>
        </is>
      </c>
      <c r="E233" s="28" t="inlineStr">
        <is>
          <t>완전탐색 / 시뮬레이션</t>
        </is>
      </c>
      <c r="F233" s="28" t="n"/>
      <c r="G233" s="28" t="n"/>
      <c r="H233" s="28" t="n"/>
      <c r="I233" s="28" t="n"/>
      <c r="J233" s="54">
        <f>IF(OR(ISNUMBER(SEARCH("보류",K233)),ISNUMBER(SEARCH("미룸",K233)),ISNUMBER(SEARCH("나중에",K233)),ISNUMBER(SEARCH("보류",L233)),ISNUMBER(SEARCH("미룸",L233)),ISNUMBER(SEARCH("나중에",L233))),"보류(나중에 풀기)",IF(AND(F233="",G233="",H233="",I233=""),"미완료",IF(I233&lt;&gt;"","복습3(마스터)",IF(H233&lt;&gt;"","복습2",IF(G233&lt;&gt;"","복습1",IF(ISNUMBER(SEARCH("제미나이",K233)),"복습대기(AI도움)",IF(ISNUMBER(SEARCH("간당간당",K233)),"복습대기(간당간당)",IF(OR(ISNUMBER(SEARCH("아이디어",K233)),ISNUMBER(SEARCH("시간초과",K233)),ISNUMBER(SEARCH("자료구조",K233)),ISNUMBER(SEARCH("경계값",K233)),ISNUMBER(SEARCH("다른 풀이",K233)),ISNUMBER(SEARCH("또풀기",K233))),"복습대기",IF(OR(ISNUMBER(SEARCH("복습필요없음",K233)),ISNUMBER(SEARCH("자력완벽",K233))),"품(복습불필요)",IF(F233&lt;&gt;"","품","미완료"))))))))))</f>
        <v/>
      </c>
      <c r="K233" s="32" t="inlineStr">
        <is>
          <t>-</t>
        </is>
      </c>
      <c r="L233" s="32" t="n"/>
      <c r="M233" s="28">
        <f>IF(OR(LEFT(J233,2)="보류", LEFT(J233,4)="복습대기", LEFT(J233,3)="복습1", LEFT(J233,3)="복습2"), MAX($M$3:M232)+1, "")</f>
        <v/>
      </c>
      <c r="N233" s="28" t="inlineStr">
        <is>
          <t>W08</t>
        </is>
      </c>
      <c r="O233" s="36" t="n">
        <v>46311</v>
      </c>
      <c r="P233" s="30">
        <f>IF(F233&lt;&gt;"","✅ 완료",IF(O233="","-",IF(TODAY()&gt;O233,"🚨 지연","⏳ 예정")))</f>
        <v/>
      </c>
      <c r="Q233" s="7" t="n"/>
      <c r="R233" s="7" t="n"/>
      <c r="S233" s="7" t="n"/>
      <c r="T233" s="7" t="n"/>
      <c r="U233" s="7" t="n"/>
      <c r="V233" s="7" t="n"/>
      <c r="W233" s="7" t="n"/>
      <c r="X233" s="7" t="n"/>
    </row>
    <row r="234" ht="21.75" customHeight="1" s="209">
      <c r="A234" s="28" t="n">
        <v>231</v>
      </c>
      <c r="B234" s="28" t="inlineStr">
        <is>
          <t>7193</t>
        </is>
      </c>
      <c r="C234" s="30" t="inlineStr">
        <is>
          <t>D3</t>
        </is>
      </c>
      <c r="D234" s="32" t="inlineStr">
        <is>
          <t>승현이의 수학공부</t>
        </is>
      </c>
      <c r="E234" s="28" t="inlineStr">
        <is>
          <t>수학 / 정수론</t>
        </is>
      </c>
      <c r="F234" s="28" t="n"/>
      <c r="G234" s="28" t="n"/>
      <c r="H234" s="28" t="n"/>
      <c r="I234" s="28" t="n"/>
      <c r="J234" s="54">
        <f>IF(OR(ISNUMBER(SEARCH("보류",K234)),ISNUMBER(SEARCH("미룸",K234)),ISNUMBER(SEARCH("나중에",K234)),ISNUMBER(SEARCH("보류",L234)),ISNUMBER(SEARCH("미룸",L234)),ISNUMBER(SEARCH("나중에",L234))),"보류(나중에 풀기)",IF(AND(F234="",G234="",H234="",I234=""),"미완료",IF(I234&lt;&gt;"","복습3(마스터)",IF(H234&lt;&gt;"","복습2",IF(G234&lt;&gt;"","복습1",IF(ISNUMBER(SEARCH("제미나이",K234)),"복습대기(AI도움)",IF(ISNUMBER(SEARCH("간당간당",K234)),"복습대기(간당간당)",IF(OR(ISNUMBER(SEARCH("아이디어",K234)),ISNUMBER(SEARCH("시간초과",K234)),ISNUMBER(SEARCH("자료구조",K234)),ISNUMBER(SEARCH("경계값",K234)),ISNUMBER(SEARCH("다른 풀이",K234)),ISNUMBER(SEARCH("또풀기",K234))),"복습대기",IF(OR(ISNUMBER(SEARCH("복습필요없음",K234)),ISNUMBER(SEARCH("자력완벽",K234))),"품(복습불필요)",IF(F234&lt;&gt;"","품","미완료"))))))))))</f>
        <v/>
      </c>
      <c r="K234" s="32" t="inlineStr">
        <is>
          <t>-</t>
        </is>
      </c>
      <c r="L234" s="32" t="n"/>
      <c r="M234" s="28">
        <f>IF(OR(LEFT(J234,2)="보류", LEFT(J234,4)="복습대기", LEFT(J234,3)="복습1", LEFT(J234,3)="복습2"), MAX($M$3:M233)+1, "")</f>
        <v/>
      </c>
      <c r="N234" s="28" t="inlineStr">
        <is>
          <t>W08</t>
        </is>
      </c>
      <c r="O234" s="36" t="n">
        <v>46311</v>
      </c>
      <c r="P234" s="30">
        <f>IF(F234&lt;&gt;"","✅ 완료",IF(O234="","-",IF(TODAY()&gt;O234,"🚨 지연","⏳ 예정")))</f>
        <v/>
      </c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 ht="21.75" customHeight="1" s="209">
      <c r="A235" s="28" t="n">
        <v>232</v>
      </c>
      <c r="B235" s="28" t="inlineStr">
        <is>
          <t>7227</t>
        </is>
      </c>
      <c r="C235" s="30" t="inlineStr">
        <is>
          <t>D3</t>
        </is>
      </c>
      <c r="D235" s="32" t="inlineStr">
        <is>
          <t>사랑의 카운슬러</t>
        </is>
      </c>
      <c r="E235" s="28" t="inlineStr">
        <is>
          <t>완전탐색 / 시뮬레이션</t>
        </is>
      </c>
      <c r="F235" s="28" t="n"/>
      <c r="G235" s="28" t="n"/>
      <c r="H235" s="28" t="n"/>
      <c r="I235" s="28" t="n"/>
      <c r="J235" s="54">
        <f>IF(OR(ISNUMBER(SEARCH("보류",K235)),ISNUMBER(SEARCH("미룸",K235)),ISNUMBER(SEARCH("나중에",K235)),ISNUMBER(SEARCH("보류",L235)),ISNUMBER(SEARCH("미룸",L235)),ISNUMBER(SEARCH("나중에",L235))),"보류(나중에 풀기)",IF(AND(F235="",G235="",H235="",I235=""),"미완료",IF(I235&lt;&gt;"","복습3(마스터)",IF(H235&lt;&gt;"","복습2",IF(G235&lt;&gt;"","복습1",IF(ISNUMBER(SEARCH("제미나이",K235)),"복습대기(AI도움)",IF(ISNUMBER(SEARCH("간당간당",K235)),"복습대기(간당간당)",IF(OR(ISNUMBER(SEARCH("아이디어",K235)),ISNUMBER(SEARCH("시간초과",K235)),ISNUMBER(SEARCH("자료구조",K235)),ISNUMBER(SEARCH("경계값",K235)),ISNUMBER(SEARCH("다른 풀이",K235)),ISNUMBER(SEARCH("또풀기",K235))),"복습대기",IF(OR(ISNUMBER(SEARCH("복습필요없음",K235)),ISNUMBER(SEARCH("자력완벽",K235))),"품(복습불필요)",IF(F235&lt;&gt;"","품","미완료"))))))))))</f>
        <v/>
      </c>
      <c r="K235" s="32" t="inlineStr">
        <is>
          <t>-</t>
        </is>
      </c>
      <c r="L235" s="32" t="n"/>
      <c r="M235" s="28">
        <f>IF(OR(LEFT(J235,2)="보류", LEFT(J235,4)="복습대기", LEFT(J235,3)="복습1", LEFT(J235,3)="복습2"), MAX($M$3:M234)+1, "")</f>
        <v/>
      </c>
      <c r="N235" s="28" t="inlineStr">
        <is>
          <t>W08</t>
        </is>
      </c>
      <c r="O235" s="36" t="n">
        <v>46311</v>
      </c>
      <c r="P235" s="30">
        <f>IF(F235&lt;&gt;"","✅ 완료",IF(O235="","-",IF(TODAY()&gt;O235,"🚨 지연","⏳ 예정")))</f>
        <v/>
      </c>
      <c r="Q235" s="7" t="n"/>
      <c r="R235" s="7" t="n"/>
      <c r="S235" s="7" t="n"/>
      <c r="T235" s="7" t="n"/>
      <c r="U235" s="7" t="n"/>
      <c r="V235" s="7" t="n"/>
      <c r="W235" s="7" t="n"/>
      <c r="X235" s="7" t="n"/>
    </row>
    <row r="236" ht="21.75" customHeight="1" s="209">
      <c r="A236" s="28" t="n">
        <v>233</v>
      </c>
      <c r="B236" s="28" t="inlineStr">
        <is>
          <t>7272</t>
        </is>
      </c>
      <c r="C236" s="30" t="inlineStr">
        <is>
          <t>D3</t>
        </is>
      </c>
      <c r="D236" s="32" t="inlineStr">
        <is>
          <t>안경이 없어!</t>
        </is>
      </c>
      <c r="E236" s="28" t="inlineStr">
        <is>
          <t>완전탐색 / 시뮬레이션</t>
        </is>
      </c>
      <c r="F236" s="28" t="n"/>
      <c r="G236" s="28" t="n"/>
      <c r="H236" s="28" t="n"/>
      <c r="I236" s="28" t="n"/>
      <c r="J236" s="54">
        <f>IF(OR(ISNUMBER(SEARCH("보류",K236)),ISNUMBER(SEARCH("미룸",K236)),ISNUMBER(SEARCH("나중에",K236)),ISNUMBER(SEARCH("보류",L236)),ISNUMBER(SEARCH("미룸",L236)),ISNUMBER(SEARCH("나중에",L236))),"보류(나중에 풀기)",IF(AND(F236="",G236="",H236="",I236=""),"미완료",IF(I236&lt;&gt;"","복습3(마스터)",IF(H236&lt;&gt;"","복습2",IF(G236&lt;&gt;"","복습1",IF(ISNUMBER(SEARCH("제미나이",K236)),"복습대기(AI도움)",IF(ISNUMBER(SEARCH("간당간당",K236)),"복습대기(간당간당)",IF(OR(ISNUMBER(SEARCH("아이디어",K236)),ISNUMBER(SEARCH("시간초과",K236)),ISNUMBER(SEARCH("자료구조",K236)),ISNUMBER(SEARCH("경계값",K236)),ISNUMBER(SEARCH("다른 풀이",K236)),ISNUMBER(SEARCH("또풀기",K236))),"복습대기",IF(OR(ISNUMBER(SEARCH("복습필요없음",K236)),ISNUMBER(SEARCH("자력완벽",K236))),"품(복습불필요)",IF(F236&lt;&gt;"","품","미완료"))))))))))</f>
        <v/>
      </c>
      <c r="K236" s="32" t="inlineStr">
        <is>
          <t>-</t>
        </is>
      </c>
      <c r="L236" s="32" t="n"/>
      <c r="M236" s="28">
        <f>IF(OR(LEFT(J236,2)="보류", LEFT(J236,4)="복습대기", LEFT(J236,3)="복습1", LEFT(J236,3)="복습2"), MAX($M$3:M235)+1, "")</f>
        <v/>
      </c>
      <c r="N236" s="28" t="inlineStr">
        <is>
          <t>W08</t>
        </is>
      </c>
      <c r="O236" s="36" t="n">
        <v>46311</v>
      </c>
      <c r="P236" s="30">
        <f>IF(F236&lt;&gt;"","✅ 완료",IF(O236="","-",IF(TODAY()&gt;O236,"🚨 지연","⏳ 예정")))</f>
        <v/>
      </c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 ht="21.75" customHeight="1" s="209">
      <c r="A237" s="28" t="n">
        <v>234</v>
      </c>
      <c r="B237" s="28" t="inlineStr">
        <is>
          <t>7510</t>
        </is>
      </c>
      <c r="C237" s="30" t="inlineStr">
        <is>
          <t>D3</t>
        </is>
      </c>
      <c r="D237" s="32" t="inlineStr">
        <is>
          <t>상원이의 연속 합</t>
        </is>
      </c>
      <c r="E237" s="28" t="inlineStr">
        <is>
          <t>수학 / 정수론</t>
        </is>
      </c>
      <c r="F237" s="28" t="n"/>
      <c r="G237" s="28" t="n"/>
      <c r="H237" s="28" t="n"/>
      <c r="I237" s="28" t="n"/>
      <c r="J237" s="54">
        <f>IF(OR(ISNUMBER(SEARCH("보류",K237)),ISNUMBER(SEARCH("미룸",K237)),ISNUMBER(SEARCH("나중에",K237)),ISNUMBER(SEARCH("보류",L237)),ISNUMBER(SEARCH("미룸",L237)),ISNUMBER(SEARCH("나중에",L237))),"보류(나중에 풀기)",IF(AND(F237="",G237="",H237="",I237=""),"미완료",IF(I237&lt;&gt;"","복습3(마스터)",IF(H237&lt;&gt;"","복습2",IF(G237&lt;&gt;"","복습1",IF(ISNUMBER(SEARCH("제미나이",K237)),"복습대기(AI도움)",IF(ISNUMBER(SEARCH("간당간당",K237)),"복습대기(간당간당)",IF(OR(ISNUMBER(SEARCH("아이디어",K237)),ISNUMBER(SEARCH("시간초과",K237)),ISNUMBER(SEARCH("자료구조",K237)),ISNUMBER(SEARCH("경계값",K237)),ISNUMBER(SEARCH("다른 풀이",K237)),ISNUMBER(SEARCH("또풀기",K237))),"복습대기",IF(OR(ISNUMBER(SEARCH("복습필요없음",K237)),ISNUMBER(SEARCH("자력완벽",K237))),"품(복습불필요)",IF(F237&lt;&gt;"","품","미완료"))))))))))</f>
        <v/>
      </c>
      <c r="K237" s="32" t="inlineStr">
        <is>
          <t>-</t>
        </is>
      </c>
      <c r="L237" s="32" t="n"/>
      <c r="M237" s="28">
        <f>IF(OR(LEFT(J237,2)="보류", LEFT(J237,4)="복습대기", LEFT(J237,3)="복습1", LEFT(J237,3)="복습2"), MAX($M$3:M236)+1, "")</f>
        <v/>
      </c>
      <c r="N237" s="28" t="inlineStr">
        <is>
          <t>W08</t>
        </is>
      </c>
      <c r="O237" s="36" t="n">
        <v>46311</v>
      </c>
      <c r="P237" s="30">
        <f>IF(F237&lt;&gt;"","✅ 완료",IF(O237="","-",IF(TODAY()&gt;O237,"🚨 지연","⏳ 예정")))</f>
        <v/>
      </c>
      <c r="Q237" s="7" t="n"/>
      <c r="R237" s="7" t="n"/>
      <c r="S237" s="7" t="n"/>
      <c r="T237" s="7" t="n"/>
      <c r="U237" s="7" t="n"/>
      <c r="V237" s="7" t="n"/>
      <c r="W237" s="7" t="n"/>
      <c r="X237" s="7" t="n"/>
    </row>
    <row r="238" ht="21.75" customHeight="1" s="209">
      <c r="A238" s="28" t="n">
        <v>235</v>
      </c>
      <c r="B238" s="28" t="inlineStr">
        <is>
          <t>7532</t>
        </is>
      </c>
      <c r="C238" s="30" t="inlineStr">
        <is>
          <t>D3</t>
        </is>
      </c>
      <c r="D238" s="32" t="inlineStr">
        <is>
          <t>세영이의 SEM력 연도</t>
        </is>
      </c>
      <c r="E238" s="28" t="inlineStr">
        <is>
          <t>완전탐색 / 시뮬레이션</t>
        </is>
      </c>
      <c r="F238" s="28" t="n"/>
      <c r="G238" s="28" t="n"/>
      <c r="H238" s="28" t="n"/>
      <c r="I238" s="28" t="n"/>
      <c r="J238" s="54">
        <f>IF(OR(ISNUMBER(SEARCH("보류",K238)),ISNUMBER(SEARCH("미룸",K238)),ISNUMBER(SEARCH("나중에",K238)),ISNUMBER(SEARCH("보류",L238)),ISNUMBER(SEARCH("미룸",L238)),ISNUMBER(SEARCH("나중에",L238))),"보류(나중에 풀기)",IF(AND(F238="",G238="",H238="",I238=""),"미완료",IF(I238&lt;&gt;"","복습3(마스터)",IF(H238&lt;&gt;"","복습2",IF(G238&lt;&gt;"","복습1",IF(ISNUMBER(SEARCH("제미나이",K238)),"복습대기(AI도움)",IF(ISNUMBER(SEARCH("간당간당",K238)),"복습대기(간당간당)",IF(OR(ISNUMBER(SEARCH("아이디어",K238)),ISNUMBER(SEARCH("시간초과",K238)),ISNUMBER(SEARCH("자료구조",K238)),ISNUMBER(SEARCH("경계값",K238)),ISNUMBER(SEARCH("다른 풀이",K238)),ISNUMBER(SEARCH("또풀기",K238))),"복습대기",IF(OR(ISNUMBER(SEARCH("복습필요없음",K238)),ISNUMBER(SEARCH("자력완벽",K238))),"품(복습불필요)",IF(F238&lt;&gt;"","품","미완료"))))))))))</f>
        <v/>
      </c>
      <c r="K238" s="32" t="inlineStr">
        <is>
          <t>-</t>
        </is>
      </c>
      <c r="L238" s="32" t="n"/>
      <c r="M238" s="28">
        <f>IF(OR(LEFT(J238,2)="보류", LEFT(J238,4)="복습대기", LEFT(J238,3)="복습1", LEFT(J238,3)="복습2"), MAX($M$3:M237)+1, "")</f>
        <v/>
      </c>
      <c r="N238" s="28" t="inlineStr">
        <is>
          <t>W08</t>
        </is>
      </c>
      <c r="O238" s="36" t="n">
        <v>46311</v>
      </c>
      <c r="P238" s="30">
        <f>IF(F238&lt;&gt;"","✅ 완료",IF(O238="","-",IF(TODAY()&gt;O238,"🚨 지연","⏳ 예정")))</f>
        <v/>
      </c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 ht="21.75" customHeight="1" s="209">
      <c r="A239" s="28" t="n">
        <v>236</v>
      </c>
      <c r="B239" s="28" t="inlineStr">
        <is>
          <t>7584</t>
        </is>
      </c>
      <c r="C239" s="30" t="inlineStr">
        <is>
          <t>D3</t>
        </is>
      </c>
      <c r="D239" s="32" t="inlineStr">
        <is>
          <t>자가 복제 문자열</t>
        </is>
      </c>
      <c r="E239" s="28" t="inlineStr">
        <is>
          <t>문자열 / 파싱</t>
        </is>
      </c>
      <c r="F239" s="28" t="n"/>
      <c r="G239" s="28" t="n"/>
      <c r="H239" s="28" t="n"/>
      <c r="I239" s="28" t="n"/>
      <c r="J239" s="54">
        <f>IF(OR(ISNUMBER(SEARCH("보류",K239)),ISNUMBER(SEARCH("미룸",K239)),ISNUMBER(SEARCH("나중에",K239)),ISNUMBER(SEARCH("보류",L239)),ISNUMBER(SEARCH("미룸",L239)),ISNUMBER(SEARCH("나중에",L239))),"보류(나중에 풀기)",IF(AND(F239="",G239="",H239="",I239=""),"미완료",IF(I239&lt;&gt;"","복습3(마스터)",IF(H239&lt;&gt;"","복습2",IF(G239&lt;&gt;"","복습1",IF(ISNUMBER(SEARCH("제미나이",K239)),"복습대기(AI도움)",IF(ISNUMBER(SEARCH("간당간당",K239)),"복습대기(간당간당)",IF(OR(ISNUMBER(SEARCH("아이디어",K239)),ISNUMBER(SEARCH("시간초과",K239)),ISNUMBER(SEARCH("자료구조",K239)),ISNUMBER(SEARCH("경계값",K239)),ISNUMBER(SEARCH("다른 풀이",K239)),ISNUMBER(SEARCH("또풀기",K239))),"복습대기",IF(OR(ISNUMBER(SEARCH("복습필요없음",K239)),ISNUMBER(SEARCH("자력완벽",K239))),"품(복습불필요)",IF(F239&lt;&gt;"","품","미완료"))))))))))</f>
        <v/>
      </c>
      <c r="K239" s="32" t="inlineStr">
        <is>
          <t>-</t>
        </is>
      </c>
      <c r="L239" s="32" t="n"/>
      <c r="M239" s="28">
        <f>IF(OR(LEFT(J239,2)="보류", LEFT(J239,4)="복습대기", LEFT(J239,3)="복습1", LEFT(J239,3)="복습2"), MAX($M$3:M238)+1, "")</f>
        <v/>
      </c>
      <c r="N239" s="28" t="inlineStr">
        <is>
          <t>W08</t>
        </is>
      </c>
      <c r="O239" s="36" t="n">
        <v>46311</v>
      </c>
      <c r="P239" s="30">
        <f>IF(F239&lt;&gt;"","✅ 완료",IF(O239="","-",IF(TODAY()&gt;O239,"🚨 지연","⏳ 예정")))</f>
        <v/>
      </c>
      <c r="Q239" s="7" t="n"/>
      <c r="R239" s="7" t="n"/>
      <c r="S239" s="7" t="n"/>
      <c r="T239" s="7" t="n"/>
      <c r="U239" s="7" t="n"/>
      <c r="V239" s="7" t="n"/>
      <c r="W239" s="7" t="n"/>
      <c r="X239" s="7" t="n"/>
    </row>
    <row r="240" ht="21.75" customHeight="1" s="209">
      <c r="A240" s="28" t="n">
        <v>237</v>
      </c>
      <c r="B240" s="28" t="inlineStr">
        <is>
          <t>7675</t>
        </is>
      </c>
      <c r="C240" s="30" t="inlineStr">
        <is>
          <t>D3</t>
        </is>
      </c>
      <c r="D240" s="32" t="inlineStr">
        <is>
          <t>통역사 성경이</t>
        </is>
      </c>
      <c r="E240" s="28" t="inlineStr">
        <is>
          <t>완전탐색 / 시뮬레이션</t>
        </is>
      </c>
      <c r="F240" s="28" t="n"/>
      <c r="G240" s="28" t="n"/>
      <c r="H240" s="28" t="n"/>
      <c r="I240" s="28" t="n"/>
      <c r="J240" s="54">
        <f>IF(OR(ISNUMBER(SEARCH("보류",K240)),ISNUMBER(SEARCH("미룸",K240)),ISNUMBER(SEARCH("나중에",K240)),ISNUMBER(SEARCH("보류",L240)),ISNUMBER(SEARCH("미룸",L240)),ISNUMBER(SEARCH("나중에",L240))),"보류(나중에 풀기)",IF(AND(F240="",G240="",H240="",I240=""),"미완료",IF(I240&lt;&gt;"","복습3(마스터)",IF(H240&lt;&gt;"","복습2",IF(G240&lt;&gt;"","복습1",IF(ISNUMBER(SEARCH("제미나이",K240)),"복습대기(AI도움)",IF(ISNUMBER(SEARCH("간당간당",K240)),"복습대기(간당간당)",IF(OR(ISNUMBER(SEARCH("아이디어",K240)),ISNUMBER(SEARCH("시간초과",K240)),ISNUMBER(SEARCH("자료구조",K240)),ISNUMBER(SEARCH("경계값",K240)),ISNUMBER(SEARCH("다른 풀이",K240)),ISNUMBER(SEARCH("또풀기",K240))),"복습대기",IF(OR(ISNUMBER(SEARCH("복습필요없음",K240)),ISNUMBER(SEARCH("자력완벽",K240))),"품(복습불필요)",IF(F240&lt;&gt;"","품","미완료"))))))))))</f>
        <v/>
      </c>
      <c r="K240" s="32" t="inlineStr">
        <is>
          <t>-</t>
        </is>
      </c>
      <c r="L240" s="32" t="n"/>
      <c r="M240" s="28">
        <f>IF(OR(LEFT(J240,2)="보류", LEFT(J240,4)="복습대기", LEFT(J240,3)="복습1", LEFT(J240,3)="복습2"), MAX($M$3:M239)+1, "")</f>
        <v/>
      </c>
      <c r="N240" s="28" t="inlineStr">
        <is>
          <t>W08</t>
        </is>
      </c>
      <c r="O240" s="36" t="n">
        <v>46312</v>
      </c>
      <c r="P240" s="30">
        <f>IF(F240&lt;&gt;"","✅ 완료",IF(O240="","-",IF(TODAY()&gt;O240,"🚨 지연","⏳ 예정")))</f>
        <v/>
      </c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 ht="21.75" customHeight="1" s="209">
      <c r="A241" s="28" t="n">
        <v>238</v>
      </c>
      <c r="B241" s="28" t="inlineStr">
        <is>
          <t>7728</t>
        </is>
      </c>
      <c r="C241" s="30" t="inlineStr">
        <is>
          <t>D3</t>
        </is>
      </c>
      <c r="D241" s="32" t="inlineStr">
        <is>
          <t>다양성 측정</t>
        </is>
      </c>
      <c r="E241" s="28" t="inlineStr">
        <is>
          <t>완전탐색 / 시뮬레이션</t>
        </is>
      </c>
      <c r="F241" s="28" t="n"/>
      <c r="G241" s="28" t="n"/>
      <c r="H241" s="28" t="n"/>
      <c r="I241" s="28" t="n"/>
      <c r="J241" s="54">
        <f>IF(OR(ISNUMBER(SEARCH("보류",K241)),ISNUMBER(SEARCH("미룸",K241)),ISNUMBER(SEARCH("나중에",K241)),ISNUMBER(SEARCH("보류",L241)),ISNUMBER(SEARCH("미룸",L241)),ISNUMBER(SEARCH("나중에",L241))),"보류(나중에 풀기)",IF(AND(F241="",G241="",H241="",I241=""),"미완료",IF(I241&lt;&gt;"","복습3(마스터)",IF(H241&lt;&gt;"","복습2",IF(G241&lt;&gt;"","복습1",IF(ISNUMBER(SEARCH("제미나이",K241)),"복습대기(AI도움)",IF(ISNUMBER(SEARCH("간당간당",K241)),"복습대기(간당간당)",IF(OR(ISNUMBER(SEARCH("아이디어",K241)),ISNUMBER(SEARCH("시간초과",K241)),ISNUMBER(SEARCH("자료구조",K241)),ISNUMBER(SEARCH("경계값",K241)),ISNUMBER(SEARCH("다른 풀이",K241)),ISNUMBER(SEARCH("또풀기",K241))),"복습대기",IF(OR(ISNUMBER(SEARCH("복습필요없음",K241)),ISNUMBER(SEARCH("자력완벽",K241))),"품(복습불필요)",IF(F241&lt;&gt;"","품","미완료"))))))))))</f>
        <v/>
      </c>
      <c r="K241" s="32" t="inlineStr">
        <is>
          <t>-</t>
        </is>
      </c>
      <c r="L241" s="32" t="n"/>
      <c r="M241" s="28">
        <f>IF(OR(LEFT(J241,2)="보류", LEFT(J241,4)="복습대기", LEFT(J241,3)="복습1", LEFT(J241,3)="복습2"), MAX($M$3:M240)+1, "")</f>
        <v/>
      </c>
      <c r="N241" s="28" t="inlineStr">
        <is>
          <t>W08</t>
        </is>
      </c>
      <c r="O241" s="36" t="n">
        <v>46312</v>
      </c>
      <c r="P241" s="30">
        <f>IF(F241&lt;&gt;"","✅ 완료",IF(O241="","-",IF(TODAY()&gt;O241,"🚨 지연","⏳ 예정")))</f>
        <v/>
      </c>
      <c r="Q241" s="7" t="n"/>
      <c r="R241" s="7" t="n"/>
      <c r="S241" s="7" t="n"/>
      <c r="T241" s="7" t="n"/>
      <c r="U241" s="7" t="n"/>
      <c r="V241" s="7" t="n"/>
      <c r="W241" s="7" t="n"/>
      <c r="X241" s="7" t="n"/>
    </row>
    <row r="242" ht="21.75" customHeight="1" s="209">
      <c r="A242" s="28" t="n">
        <v>239</v>
      </c>
      <c r="B242" s="28" t="inlineStr">
        <is>
          <t>7732</t>
        </is>
      </c>
      <c r="C242" s="30" t="inlineStr">
        <is>
          <t>D3</t>
        </is>
      </c>
      <c r="D242" s="32" t="inlineStr">
        <is>
          <t>시간 개념</t>
        </is>
      </c>
      <c r="E242" s="28" t="inlineStr">
        <is>
          <t>완전탐색 / 시뮬레이션</t>
        </is>
      </c>
      <c r="F242" s="28" t="n"/>
      <c r="G242" s="28" t="n"/>
      <c r="H242" s="28" t="n"/>
      <c r="I242" s="28" t="n"/>
      <c r="J242" s="54">
        <f>IF(OR(ISNUMBER(SEARCH("보류",K242)),ISNUMBER(SEARCH("미룸",K242)),ISNUMBER(SEARCH("나중에",K242)),ISNUMBER(SEARCH("보류",L242)),ISNUMBER(SEARCH("미룸",L242)),ISNUMBER(SEARCH("나중에",L242))),"보류(나중에 풀기)",IF(AND(F242="",G242="",H242="",I242=""),"미완료",IF(I242&lt;&gt;"","복습3(마스터)",IF(H242&lt;&gt;"","복습2",IF(G242&lt;&gt;"","복습1",IF(ISNUMBER(SEARCH("제미나이",K242)),"복습대기(AI도움)",IF(ISNUMBER(SEARCH("간당간당",K242)),"복습대기(간당간당)",IF(OR(ISNUMBER(SEARCH("아이디어",K242)),ISNUMBER(SEARCH("시간초과",K242)),ISNUMBER(SEARCH("자료구조",K242)),ISNUMBER(SEARCH("경계값",K242)),ISNUMBER(SEARCH("다른 풀이",K242)),ISNUMBER(SEARCH("또풀기",K242))),"복습대기",IF(OR(ISNUMBER(SEARCH("복습필요없음",K242)),ISNUMBER(SEARCH("자력완벽",K242))),"품(복습불필요)",IF(F242&lt;&gt;"","품","미완료"))))))))))</f>
        <v/>
      </c>
      <c r="K242" s="32" t="inlineStr">
        <is>
          <t>-</t>
        </is>
      </c>
      <c r="L242" s="32" t="n"/>
      <c r="M242" s="28">
        <f>IF(OR(LEFT(J242,2)="보류", LEFT(J242,4)="복습대기", LEFT(J242,3)="복습1", LEFT(J242,3)="복습2"), MAX($M$3:M241)+1, "")</f>
        <v/>
      </c>
      <c r="N242" s="28" t="inlineStr">
        <is>
          <t>W08</t>
        </is>
      </c>
      <c r="O242" s="36" t="n">
        <v>46312</v>
      </c>
      <c r="P242" s="30">
        <f>IF(F242&lt;&gt;"","✅ 완료",IF(O242="","-",IF(TODAY()&gt;O242,"🚨 지연","⏳ 예정")))</f>
        <v/>
      </c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 ht="21.75" customHeight="1" s="209">
      <c r="A243" s="28" t="n">
        <v>240</v>
      </c>
      <c r="B243" s="28" t="inlineStr">
        <is>
          <t>7853</t>
        </is>
      </c>
      <c r="C243" s="30" t="inlineStr">
        <is>
          <t>D3</t>
        </is>
      </c>
      <c r="D243" s="32" t="inlineStr">
        <is>
          <t>오타</t>
        </is>
      </c>
      <c r="E243" s="28" t="inlineStr">
        <is>
          <t>완전탐색 / 시뮬레이션</t>
        </is>
      </c>
      <c r="F243" s="28" t="n"/>
      <c r="G243" s="28" t="n"/>
      <c r="H243" s="28" t="n"/>
      <c r="I243" s="28" t="n"/>
      <c r="J243" s="54">
        <f>IF(OR(ISNUMBER(SEARCH("보류",K243)),ISNUMBER(SEARCH("미룸",K243)),ISNUMBER(SEARCH("나중에",K243)),ISNUMBER(SEARCH("보류",L243)),ISNUMBER(SEARCH("미룸",L243)),ISNUMBER(SEARCH("나중에",L243))),"보류(나중에 풀기)",IF(AND(F243="",G243="",H243="",I243=""),"미완료",IF(I243&lt;&gt;"","복습3(마스터)",IF(H243&lt;&gt;"","복습2",IF(G243&lt;&gt;"","복습1",IF(ISNUMBER(SEARCH("제미나이",K243)),"복습대기(AI도움)",IF(ISNUMBER(SEARCH("간당간당",K243)),"복습대기(간당간당)",IF(OR(ISNUMBER(SEARCH("아이디어",K243)),ISNUMBER(SEARCH("시간초과",K243)),ISNUMBER(SEARCH("자료구조",K243)),ISNUMBER(SEARCH("경계값",K243)),ISNUMBER(SEARCH("다른 풀이",K243)),ISNUMBER(SEARCH("또풀기",K243))),"복습대기",IF(OR(ISNUMBER(SEARCH("복습필요없음",K243)),ISNUMBER(SEARCH("자력완벽",K243))),"품(복습불필요)",IF(F243&lt;&gt;"","품","미완료"))))))))))</f>
        <v/>
      </c>
      <c r="K243" s="32" t="inlineStr">
        <is>
          <t>-</t>
        </is>
      </c>
      <c r="L243" s="32" t="n"/>
      <c r="M243" s="28">
        <f>IF(OR(LEFT(J243,2)="보류", LEFT(J243,4)="복습대기", LEFT(J243,3)="복습1", LEFT(J243,3)="복습2"), MAX($M$3:M242)+1, "")</f>
        <v/>
      </c>
      <c r="N243" s="28" t="inlineStr">
        <is>
          <t>W08</t>
        </is>
      </c>
      <c r="O243" s="36" t="n">
        <v>46312</v>
      </c>
      <c r="P243" s="30">
        <f>IF(F243&lt;&gt;"","✅ 완료",IF(O243="","-",IF(TODAY()&gt;O243,"🚨 지연","⏳ 예정")))</f>
        <v/>
      </c>
      <c r="Q243" s="7" t="n"/>
      <c r="R243" s="7" t="n"/>
      <c r="S243" s="7" t="n"/>
      <c r="T243" s="7" t="n"/>
      <c r="U243" s="7" t="n"/>
      <c r="V243" s="7" t="n"/>
      <c r="W243" s="7" t="n"/>
      <c r="X243" s="7" t="n"/>
    </row>
    <row r="244" ht="21.75" customHeight="1" s="209">
      <c r="A244" s="28" t="n">
        <v>241</v>
      </c>
      <c r="B244" s="28" t="inlineStr">
        <is>
          <t>7964</t>
        </is>
      </c>
      <c r="C244" s="30" t="inlineStr">
        <is>
          <t>D3</t>
        </is>
      </c>
      <c r="D244" s="32" t="inlineStr">
        <is>
          <t>부먹왕국의 차원 관문</t>
        </is>
      </c>
      <c r="E244" s="28" t="inlineStr">
        <is>
          <t>완전탐색 / 시뮬레이션</t>
        </is>
      </c>
      <c r="F244" s="28" t="n"/>
      <c r="G244" s="28" t="n"/>
      <c r="H244" s="28" t="n"/>
      <c r="I244" s="28" t="n"/>
      <c r="J244" s="54">
        <f>IF(OR(ISNUMBER(SEARCH("보류",K244)),ISNUMBER(SEARCH("미룸",K244)),ISNUMBER(SEARCH("나중에",K244)),ISNUMBER(SEARCH("보류",L244)),ISNUMBER(SEARCH("미룸",L244)),ISNUMBER(SEARCH("나중에",L244))),"보류(나중에 풀기)",IF(AND(F244="",G244="",H244="",I244=""),"미완료",IF(I244&lt;&gt;"","복습3(마스터)",IF(H244&lt;&gt;"","복습2",IF(G244&lt;&gt;"","복습1",IF(ISNUMBER(SEARCH("제미나이",K244)),"복습대기(AI도움)",IF(ISNUMBER(SEARCH("간당간당",K244)),"복습대기(간당간당)",IF(OR(ISNUMBER(SEARCH("아이디어",K244)),ISNUMBER(SEARCH("시간초과",K244)),ISNUMBER(SEARCH("자료구조",K244)),ISNUMBER(SEARCH("경계값",K244)),ISNUMBER(SEARCH("다른 풀이",K244)),ISNUMBER(SEARCH("또풀기",K244))),"복습대기",IF(OR(ISNUMBER(SEARCH("복습필요없음",K244)),ISNUMBER(SEARCH("자력완벽",K244))),"품(복습불필요)",IF(F244&lt;&gt;"","품","미완료"))))))))))</f>
        <v/>
      </c>
      <c r="K244" s="32" t="inlineStr">
        <is>
          <t>-</t>
        </is>
      </c>
      <c r="L244" s="32" t="n"/>
      <c r="M244" s="28">
        <f>IF(OR(LEFT(J244,2)="보류", LEFT(J244,4)="복습대기", LEFT(J244,3)="복습1", LEFT(J244,3)="복습2"), MAX($M$3:M243)+1, "")</f>
        <v/>
      </c>
      <c r="N244" s="28" t="inlineStr">
        <is>
          <t>W08</t>
        </is>
      </c>
      <c r="O244" s="36" t="n">
        <v>46312</v>
      </c>
      <c r="P244" s="30">
        <f>IF(F244&lt;&gt;"","✅ 완료",IF(O244="","-",IF(TODAY()&gt;O244,"🚨 지연","⏳ 예정")))</f>
        <v/>
      </c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 ht="21.75" customHeight="1" s="209">
      <c r="A245" s="28" t="n">
        <v>242</v>
      </c>
      <c r="B245" s="28" t="inlineStr">
        <is>
          <t>8016</t>
        </is>
      </c>
      <c r="C245" s="30" t="inlineStr">
        <is>
          <t>D3</t>
        </is>
      </c>
      <c r="D245" s="32" t="inlineStr">
        <is>
          <t>홀수 피라미드</t>
        </is>
      </c>
      <c r="E245" s="28" t="inlineStr">
        <is>
          <t>완전탐색 / 시뮬레이션</t>
        </is>
      </c>
      <c r="F245" s="28" t="n"/>
      <c r="G245" s="28" t="n"/>
      <c r="H245" s="28" t="n"/>
      <c r="I245" s="28" t="n"/>
      <c r="J245" s="54">
        <f>IF(OR(ISNUMBER(SEARCH("보류",K245)),ISNUMBER(SEARCH("미룸",K245)),ISNUMBER(SEARCH("나중에",K245)),ISNUMBER(SEARCH("보류",L245)),ISNUMBER(SEARCH("미룸",L245)),ISNUMBER(SEARCH("나중에",L245))),"보류(나중에 풀기)",IF(AND(F245="",G245="",H245="",I245=""),"미완료",IF(I245&lt;&gt;"","복습3(마스터)",IF(H245&lt;&gt;"","복습2",IF(G245&lt;&gt;"","복습1",IF(ISNUMBER(SEARCH("제미나이",K245)),"복습대기(AI도움)",IF(ISNUMBER(SEARCH("간당간당",K245)),"복습대기(간당간당)",IF(OR(ISNUMBER(SEARCH("아이디어",K245)),ISNUMBER(SEARCH("시간초과",K245)),ISNUMBER(SEARCH("자료구조",K245)),ISNUMBER(SEARCH("경계값",K245)),ISNUMBER(SEARCH("다른 풀이",K245)),ISNUMBER(SEARCH("또풀기",K245))),"복습대기",IF(OR(ISNUMBER(SEARCH("복습필요없음",K245)),ISNUMBER(SEARCH("자력완벽",K245))),"품(복습불필요)",IF(F245&lt;&gt;"","품","미완료"))))))))))</f>
        <v/>
      </c>
      <c r="K245" s="32" t="inlineStr">
        <is>
          <t>-</t>
        </is>
      </c>
      <c r="L245" s="32" t="n"/>
      <c r="M245" s="28">
        <f>IF(OR(LEFT(J245,2)="보류", LEFT(J245,4)="복습대기", LEFT(J245,3)="복습1", LEFT(J245,3)="복습2"), MAX($M$3:M244)+1, "")</f>
        <v/>
      </c>
      <c r="N245" s="28" t="inlineStr">
        <is>
          <t>W08</t>
        </is>
      </c>
      <c r="O245" s="36" t="n">
        <v>46312</v>
      </c>
      <c r="P245" s="30">
        <f>IF(F245&lt;&gt;"","✅ 완료",IF(O245="","-",IF(TODAY()&gt;O245,"🚨 지연","⏳ 예정")))</f>
        <v/>
      </c>
      <c r="Q245" s="7" t="n"/>
      <c r="R245" s="7" t="n"/>
      <c r="S245" s="7" t="n"/>
      <c r="T245" s="7" t="n"/>
      <c r="U245" s="7" t="n"/>
      <c r="V245" s="7" t="n"/>
      <c r="W245" s="7" t="n"/>
      <c r="X245" s="7" t="n"/>
    </row>
    <row r="246" ht="21.75" customHeight="1" s="209">
      <c r="A246" s="28" t="n">
        <v>243</v>
      </c>
      <c r="B246" s="28" t="inlineStr">
        <is>
          <t>8104</t>
        </is>
      </c>
      <c r="C246" s="30" t="inlineStr">
        <is>
          <t>D3</t>
        </is>
      </c>
      <c r="D246" s="32" t="inlineStr">
        <is>
          <t>조 만들기</t>
        </is>
      </c>
      <c r="E246" s="28" t="inlineStr">
        <is>
          <t>완전탐색 / 시뮬레이션</t>
        </is>
      </c>
      <c r="F246" s="28" t="n"/>
      <c r="G246" s="28" t="n"/>
      <c r="H246" s="28" t="n"/>
      <c r="I246" s="28" t="n"/>
      <c r="J246" s="54">
        <f>IF(OR(ISNUMBER(SEARCH("보류",K246)),ISNUMBER(SEARCH("미룸",K246)),ISNUMBER(SEARCH("나중에",K246)),ISNUMBER(SEARCH("보류",L246)),ISNUMBER(SEARCH("미룸",L246)),ISNUMBER(SEARCH("나중에",L246))),"보류(나중에 풀기)",IF(AND(F246="",G246="",H246="",I246=""),"미완료",IF(I246&lt;&gt;"","복습3(마스터)",IF(H246&lt;&gt;"","복습2",IF(G246&lt;&gt;"","복습1",IF(ISNUMBER(SEARCH("제미나이",K246)),"복습대기(AI도움)",IF(ISNUMBER(SEARCH("간당간당",K246)),"복습대기(간당간당)",IF(OR(ISNUMBER(SEARCH("아이디어",K246)),ISNUMBER(SEARCH("시간초과",K246)),ISNUMBER(SEARCH("자료구조",K246)),ISNUMBER(SEARCH("경계값",K246)),ISNUMBER(SEARCH("다른 풀이",K246)),ISNUMBER(SEARCH("또풀기",K246))),"복습대기",IF(OR(ISNUMBER(SEARCH("복습필요없음",K246)),ISNUMBER(SEARCH("자력완벽",K246))),"품(복습불필요)",IF(F246&lt;&gt;"","품","미완료"))))))))))</f>
        <v/>
      </c>
      <c r="K246" s="32" t="inlineStr">
        <is>
          <t>-</t>
        </is>
      </c>
      <c r="L246" s="32" t="n"/>
      <c r="M246" s="28">
        <f>IF(OR(LEFT(J246,2)="보류", LEFT(J246,4)="복습대기", LEFT(J246,3)="복습1", LEFT(J246,3)="복습2"), MAX($M$3:M245)+1, "")</f>
        <v/>
      </c>
      <c r="N246" s="28" t="inlineStr">
        <is>
          <t>W08</t>
        </is>
      </c>
      <c r="O246" s="36" t="n">
        <v>46312</v>
      </c>
      <c r="P246" s="30">
        <f>IF(F246&lt;&gt;"","✅ 완료",IF(O246="","-",IF(TODAY()&gt;O246,"🚨 지연","⏳ 예정")))</f>
        <v/>
      </c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 ht="21.75" customHeight="1" s="209">
      <c r="A247" s="28" t="n">
        <v>244</v>
      </c>
      <c r="B247" s="28" t="inlineStr">
        <is>
          <t>8338</t>
        </is>
      </c>
      <c r="C247" s="30" t="inlineStr">
        <is>
          <t>D3</t>
        </is>
      </c>
      <c r="D247" s="32" t="inlineStr">
        <is>
          <t>계산기</t>
        </is>
      </c>
      <c r="E247" s="28" t="inlineStr">
        <is>
          <t>자료구조 (스택/큐/리스트)</t>
        </is>
      </c>
      <c r="F247" s="28" t="n"/>
      <c r="G247" s="28" t="n"/>
      <c r="H247" s="28" t="n"/>
      <c r="I247" s="28" t="n"/>
      <c r="J247" s="54">
        <f>IF(OR(ISNUMBER(SEARCH("보류",K247)),ISNUMBER(SEARCH("미룸",K247)),ISNUMBER(SEARCH("나중에",K247)),ISNUMBER(SEARCH("보류",L247)),ISNUMBER(SEARCH("미룸",L247)),ISNUMBER(SEARCH("나중에",L247))),"보류(나중에 풀기)",IF(AND(F247="",G247="",H247="",I247=""),"미완료",IF(I247&lt;&gt;"","복습3(마스터)",IF(H247&lt;&gt;"","복습2",IF(G247&lt;&gt;"","복습1",IF(ISNUMBER(SEARCH("제미나이",K247)),"복습대기(AI도움)",IF(ISNUMBER(SEARCH("간당간당",K247)),"복습대기(간당간당)",IF(OR(ISNUMBER(SEARCH("아이디어",K247)),ISNUMBER(SEARCH("시간초과",K247)),ISNUMBER(SEARCH("자료구조",K247)),ISNUMBER(SEARCH("경계값",K247)),ISNUMBER(SEARCH("다른 풀이",K247)),ISNUMBER(SEARCH("또풀기",K247))),"복습대기",IF(OR(ISNUMBER(SEARCH("복습필요없음",K247)),ISNUMBER(SEARCH("자력완벽",K247))),"품(복습불필요)",IF(F247&lt;&gt;"","품","미완료"))))))))))</f>
        <v/>
      </c>
      <c r="K247" s="32" t="inlineStr">
        <is>
          <t>-</t>
        </is>
      </c>
      <c r="L247" s="32" t="n"/>
      <c r="M247" s="28">
        <f>IF(OR(LEFT(J247,2)="보류", LEFT(J247,4)="복습대기", LEFT(J247,3)="복습1", LEFT(J247,3)="복습2"), MAX($M$3:M246)+1, "")</f>
        <v/>
      </c>
      <c r="N247" s="28" t="inlineStr">
        <is>
          <t>W08</t>
        </is>
      </c>
      <c r="O247" s="36" t="n">
        <v>46313</v>
      </c>
      <c r="P247" s="30">
        <f>IF(F247&lt;&gt;"","✅ 완료",IF(O247="","-",IF(TODAY()&gt;O247,"🚨 지연","⏳ 예정")))</f>
        <v/>
      </c>
      <c r="Q247" s="7" t="n"/>
      <c r="R247" s="7" t="n"/>
      <c r="S247" s="7" t="n"/>
      <c r="T247" s="7" t="n"/>
      <c r="U247" s="7" t="n"/>
      <c r="V247" s="7" t="n"/>
      <c r="W247" s="7" t="n"/>
      <c r="X247" s="7" t="n"/>
    </row>
    <row r="248" ht="21.75" customHeight="1" s="209">
      <c r="A248" s="28" t="n">
        <v>245</v>
      </c>
      <c r="B248" s="28" t="inlineStr">
        <is>
          <t>8457</t>
        </is>
      </c>
      <c r="C248" s="30" t="inlineStr">
        <is>
          <t>D3</t>
        </is>
      </c>
      <c r="D248" s="32" t="inlineStr">
        <is>
          <t>알 덴테 스파게티</t>
        </is>
      </c>
      <c r="E248" s="28" t="inlineStr">
        <is>
          <t>완전탐색 / 시뮬레이션</t>
        </is>
      </c>
      <c r="F248" s="28" t="n"/>
      <c r="G248" s="28" t="n"/>
      <c r="H248" s="28" t="n"/>
      <c r="I248" s="28" t="n"/>
      <c r="J248" s="54">
        <f>IF(OR(ISNUMBER(SEARCH("보류",K248)),ISNUMBER(SEARCH("미룸",K248)),ISNUMBER(SEARCH("나중에",K248)),ISNUMBER(SEARCH("보류",L248)),ISNUMBER(SEARCH("미룸",L248)),ISNUMBER(SEARCH("나중에",L248))),"보류(나중에 풀기)",IF(AND(F248="",G248="",H248="",I248=""),"미완료",IF(I248&lt;&gt;"","복습3(마스터)",IF(H248&lt;&gt;"","복습2",IF(G248&lt;&gt;"","복습1",IF(ISNUMBER(SEARCH("제미나이",K248)),"복습대기(AI도움)",IF(ISNUMBER(SEARCH("간당간당",K248)),"복습대기(간당간당)",IF(OR(ISNUMBER(SEARCH("아이디어",K248)),ISNUMBER(SEARCH("시간초과",K248)),ISNUMBER(SEARCH("자료구조",K248)),ISNUMBER(SEARCH("경계값",K248)),ISNUMBER(SEARCH("다른 풀이",K248)),ISNUMBER(SEARCH("또풀기",K248))),"복습대기",IF(OR(ISNUMBER(SEARCH("복습필요없음",K248)),ISNUMBER(SEARCH("자력완벽",K248))),"품(복습불필요)",IF(F248&lt;&gt;"","품","미완료"))))))))))</f>
        <v/>
      </c>
      <c r="K248" s="32" t="inlineStr">
        <is>
          <t>-</t>
        </is>
      </c>
      <c r="L248" s="32" t="n"/>
      <c r="M248" s="28">
        <f>IF(OR(LEFT(J248,2)="보류", LEFT(J248,4)="복습대기", LEFT(J248,3)="복습1", LEFT(J248,3)="복습2"), MAX($M$3:M247)+1, "")</f>
        <v/>
      </c>
      <c r="N248" s="28" t="inlineStr">
        <is>
          <t>W08</t>
        </is>
      </c>
      <c r="O248" s="36" t="n">
        <v>46313</v>
      </c>
      <c r="P248" s="30">
        <f>IF(F248&lt;&gt;"","✅ 완료",IF(O248="","-",IF(TODAY()&gt;O248,"🚨 지연","⏳ 예정")))</f>
        <v/>
      </c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 ht="21.75" customHeight="1" s="209">
      <c r="A249" s="28" t="n">
        <v>246</v>
      </c>
      <c r="B249" s="28" t="inlineStr">
        <is>
          <t>8500</t>
        </is>
      </c>
      <c r="C249" s="30" t="inlineStr">
        <is>
          <t>D3</t>
        </is>
      </c>
      <c r="D249" s="32" t="inlineStr">
        <is>
          <t>극장 좌석</t>
        </is>
      </c>
      <c r="E249" s="28" t="inlineStr">
        <is>
          <t>완전탐색 / 시뮬레이션</t>
        </is>
      </c>
      <c r="F249" s="28" t="n"/>
      <c r="G249" s="28" t="n"/>
      <c r="H249" s="28" t="n"/>
      <c r="I249" s="28" t="n"/>
      <c r="J249" s="54">
        <f>IF(OR(ISNUMBER(SEARCH("보류",K249)),ISNUMBER(SEARCH("미룸",K249)),ISNUMBER(SEARCH("나중에",K249)),ISNUMBER(SEARCH("보류",L249)),ISNUMBER(SEARCH("미룸",L249)),ISNUMBER(SEARCH("나중에",L249))),"보류(나중에 풀기)",IF(AND(F249="",G249="",H249="",I249=""),"미완료",IF(I249&lt;&gt;"","복습3(마스터)",IF(H249&lt;&gt;"","복습2",IF(G249&lt;&gt;"","복습1",IF(ISNUMBER(SEARCH("제미나이",K249)),"복습대기(AI도움)",IF(ISNUMBER(SEARCH("간당간당",K249)),"복습대기(간당간당)",IF(OR(ISNUMBER(SEARCH("아이디어",K249)),ISNUMBER(SEARCH("시간초과",K249)),ISNUMBER(SEARCH("자료구조",K249)),ISNUMBER(SEARCH("경계값",K249)),ISNUMBER(SEARCH("다른 풀이",K249)),ISNUMBER(SEARCH("또풀기",K249))),"복습대기",IF(OR(ISNUMBER(SEARCH("복습필요없음",K249)),ISNUMBER(SEARCH("자력완벽",K249))),"품(복습불필요)",IF(F249&lt;&gt;"","품","미완료"))))))))))</f>
        <v/>
      </c>
      <c r="K249" s="32" t="inlineStr">
        <is>
          <t>-</t>
        </is>
      </c>
      <c r="L249" s="32" t="n"/>
      <c r="M249" s="28">
        <f>IF(OR(LEFT(J249,2)="보류", LEFT(J249,4)="복습대기", LEFT(J249,3)="복습1", LEFT(J249,3)="복습2"), MAX($M$3:M248)+1, "")</f>
        <v/>
      </c>
      <c r="N249" s="28" t="inlineStr">
        <is>
          <t>W08</t>
        </is>
      </c>
      <c r="O249" s="36" t="n">
        <v>46313</v>
      </c>
      <c r="P249" s="30">
        <f>IF(F249&lt;&gt;"","✅ 완료",IF(O249="","-",IF(TODAY()&gt;O249,"🚨 지연","⏳ 예정")))</f>
        <v/>
      </c>
      <c r="Q249" s="7" t="n"/>
      <c r="R249" s="7" t="n"/>
      <c r="S249" s="7" t="n"/>
      <c r="T249" s="7" t="n"/>
      <c r="U249" s="7" t="n"/>
      <c r="V249" s="7" t="n"/>
      <c r="W249" s="7" t="n"/>
      <c r="X249" s="7" t="n"/>
    </row>
    <row r="250" ht="21.75" customHeight="1" s="209">
      <c r="A250" s="28" t="n">
        <v>247</v>
      </c>
      <c r="B250" s="28" t="inlineStr">
        <is>
          <t>8556</t>
        </is>
      </c>
      <c r="C250" s="30" t="inlineStr">
        <is>
          <t>D3</t>
        </is>
      </c>
      <c r="D250" s="32" t="inlineStr">
        <is>
          <t>북북서</t>
        </is>
      </c>
      <c r="E250" s="28" t="inlineStr">
        <is>
          <t>완전탐색 / 시뮬레이션</t>
        </is>
      </c>
      <c r="F250" s="28" t="n"/>
      <c r="G250" s="28" t="n"/>
      <c r="H250" s="28" t="n"/>
      <c r="I250" s="28" t="n"/>
      <c r="J250" s="54">
        <f>IF(OR(ISNUMBER(SEARCH("보류",K250)),ISNUMBER(SEARCH("미룸",K250)),ISNUMBER(SEARCH("나중에",K250)),ISNUMBER(SEARCH("보류",L250)),ISNUMBER(SEARCH("미룸",L250)),ISNUMBER(SEARCH("나중에",L250))),"보류(나중에 풀기)",IF(AND(F250="",G250="",H250="",I250=""),"미완료",IF(I250&lt;&gt;"","복습3(마스터)",IF(H250&lt;&gt;"","복습2",IF(G250&lt;&gt;"","복습1",IF(ISNUMBER(SEARCH("제미나이",K250)),"복습대기(AI도움)",IF(ISNUMBER(SEARCH("간당간당",K250)),"복습대기(간당간당)",IF(OR(ISNUMBER(SEARCH("아이디어",K250)),ISNUMBER(SEARCH("시간초과",K250)),ISNUMBER(SEARCH("자료구조",K250)),ISNUMBER(SEARCH("경계값",K250)),ISNUMBER(SEARCH("다른 풀이",K250)),ISNUMBER(SEARCH("또풀기",K250))),"복습대기",IF(OR(ISNUMBER(SEARCH("복습필요없음",K250)),ISNUMBER(SEARCH("자력완벽",K250))),"품(복습불필요)",IF(F250&lt;&gt;"","품","미완료"))))))))))</f>
        <v/>
      </c>
      <c r="K250" s="32" t="inlineStr">
        <is>
          <t>-</t>
        </is>
      </c>
      <c r="L250" s="32" t="n"/>
      <c r="M250" s="28">
        <f>IF(OR(LEFT(J250,2)="보류", LEFT(J250,4)="복습대기", LEFT(J250,3)="복습1", LEFT(J250,3)="복습2"), MAX($M$3:M249)+1, "")</f>
        <v/>
      </c>
      <c r="N250" s="28" t="inlineStr">
        <is>
          <t>W08</t>
        </is>
      </c>
      <c r="O250" s="36" t="n">
        <v>46313</v>
      </c>
      <c r="P250" s="30">
        <f>IF(F250&lt;&gt;"","✅ 완료",IF(O250="","-",IF(TODAY()&gt;O250,"🚨 지연","⏳ 예정")))</f>
        <v/>
      </c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 ht="21.75" customHeight="1" s="209">
      <c r="A251" s="28" t="n">
        <v>248</v>
      </c>
      <c r="B251" s="28" t="inlineStr">
        <is>
          <t>8658</t>
        </is>
      </c>
      <c r="C251" s="30" t="inlineStr">
        <is>
          <t>D3</t>
        </is>
      </c>
      <c r="D251" s="32" t="inlineStr">
        <is>
          <t>Summation</t>
        </is>
      </c>
      <c r="E251" s="28" t="inlineStr">
        <is>
          <t>완전탐색 / 시뮬레이션</t>
        </is>
      </c>
      <c r="F251" s="28" t="n"/>
      <c r="G251" s="28" t="n"/>
      <c r="H251" s="28" t="n"/>
      <c r="I251" s="28" t="n"/>
      <c r="J251" s="54">
        <f>IF(OR(ISNUMBER(SEARCH("보류",K251)),ISNUMBER(SEARCH("미룸",K251)),ISNUMBER(SEARCH("나중에",K251)),ISNUMBER(SEARCH("보류",L251)),ISNUMBER(SEARCH("미룸",L251)),ISNUMBER(SEARCH("나중에",L251))),"보류(나중에 풀기)",IF(AND(F251="",G251="",H251="",I251=""),"미완료",IF(I251&lt;&gt;"","복습3(마스터)",IF(H251&lt;&gt;"","복습2",IF(G251&lt;&gt;"","복습1",IF(ISNUMBER(SEARCH("제미나이",K251)),"복습대기(AI도움)",IF(ISNUMBER(SEARCH("간당간당",K251)),"복습대기(간당간당)",IF(OR(ISNUMBER(SEARCH("아이디어",K251)),ISNUMBER(SEARCH("시간초과",K251)),ISNUMBER(SEARCH("자료구조",K251)),ISNUMBER(SEARCH("경계값",K251)),ISNUMBER(SEARCH("다른 풀이",K251)),ISNUMBER(SEARCH("또풀기",K251))),"복습대기",IF(OR(ISNUMBER(SEARCH("복습필요없음",K251)),ISNUMBER(SEARCH("자력완벽",K251))),"품(복습불필요)",IF(F251&lt;&gt;"","품","미완료"))))))))))</f>
        <v/>
      </c>
      <c r="K251" s="32" t="inlineStr">
        <is>
          <t>-</t>
        </is>
      </c>
      <c r="L251" s="32" t="n"/>
      <c r="M251" s="28">
        <f>IF(OR(LEFT(J251,2)="보류", LEFT(J251,4)="복습대기", LEFT(J251,3)="복습1", LEFT(J251,3)="복습2"), MAX($M$3:M250)+1, "")</f>
        <v/>
      </c>
      <c r="N251" s="28" t="inlineStr">
        <is>
          <t>W08</t>
        </is>
      </c>
      <c r="O251" s="36" t="n">
        <v>46313</v>
      </c>
      <c r="P251" s="30">
        <f>IF(F251&lt;&gt;"","✅ 완료",IF(O251="","-",IF(TODAY()&gt;O251,"🚨 지연","⏳ 예정")))</f>
        <v/>
      </c>
      <c r="Q251" s="7" t="n"/>
      <c r="R251" s="7" t="n"/>
      <c r="S251" s="7" t="n"/>
      <c r="T251" s="7" t="n"/>
      <c r="U251" s="7" t="n"/>
      <c r="V251" s="7" t="n"/>
      <c r="W251" s="7" t="n"/>
      <c r="X251" s="7" t="n"/>
    </row>
    <row r="252" ht="21.75" customHeight="1" s="209">
      <c r="A252" s="28" t="n">
        <v>249</v>
      </c>
      <c r="B252" s="28" t="inlineStr">
        <is>
          <t>8673</t>
        </is>
      </c>
      <c r="C252" s="30" t="inlineStr">
        <is>
          <t>D3</t>
        </is>
      </c>
      <c r="D252" s="32" t="inlineStr">
        <is>
          <t>코딩 토너먼트1</t>
        </is>
      </c>
      <c r="E252" s="28" t="inlineStr">
        <is>
          <t>완전탐색 / 시뮬레이션</t>
        </is>
      </c>
      <c r="F252" s="28" t="n"/>
      <c r="G252" s="28" t="n"/>
      <c r="H252" s="28" t="n"/>
      <c r="I252" s="28" t="n"/>
      <c r="J252" s="54">
        <f>IF(OR(ISNUMBER(SEARCH("보류",K252)),ISNUMBER(SEARCH("미룸",K252)),ISNUMBER(SEARCH("나중에",K252)),ISNUMBER(SEARCH("보류",L252)),ISNUMBER(SEARCH("미룸",L252)),ISNUMBER(SEARCH("나중에",L252))),"보류(나중에 풀기)",IF(AND(F252="",G252="",H252="",I252=""),"미완료",IF(I252&lt;&gt;"","복습3(마스터)",IF(H252&lt;&gt;"","복습2",IF(G252&lt;&gt;"","복습1",IF(ISNUMBER(SEARCH("제미나이",K252)),"복습대기(AI도움)",IF(ISNUMBER(SEARCH("간당간당",K252)),"복습대기(간당간당)",IF(OR(ISNUMBER(SEARCH("아이디어",K252)),ISNUMBER(SEARCH("시간초과",K252)),ISNUMBER(SEARCH("자료구조",K252)),ISNUMBER(SEARCH("경계값",K252)),ISNUMBER(SEARCH("다른 풀이",K252)),ISNUMBER(SEARCH("또풀기",K252))),"복습대기",IF(OR(ISNUMBER(SEARCH("복습필요없음",K252)),ISNUMBER(SEARCH("자력완벽",K252))),"품(복습불필요)",IF(F252&lt;&gt;"","품","미완료"))))))))))</f>
        <v/>
      </c>
      <c r="K252" s="32" t="inlineStr">
        <is>
          <t>-</t>
        </is>
      </c>
      <c r="L252" s="32" t="n"/>
      <c r="M252" s="28">
        <f>IF(OR(LEFT(J252,2)="보류", LEFT(J252,4)="복습대기", LEFT(J252,3)="복습1", LEFT(J252,3)="복습2"), MAX($M$3:M251)+1, "")</f>
        <v/>
      </c>
      <c r="N252" s="28" t="inlineStr">
        <is>
          <t>W08</t>
        </is>
      </c>
      <c r="O252" s="36" t="n">
        <v>46313</v>
      </c>
      <c r="P252" s="30">
        <f>IF(F252&lt;&gt;"","✅ 완료",IF(O252="","-",IF(TODAY()&gt;O252,"🚨 지연","⏳ 예정")))</f>
        <v/>
      </c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 ht="21.75" customHeight="1" s="209">
      <c r="A253" s="28" t="n">
        <v>250</v>
      </c>
      <c r="B253" s="28" t="inlineStr">
        <is>
          <t>8741</t>
        </is>
      </c>
      <c r="C253" s="30" t="inlineStr">
        <is>
          <t>D3</t>
        </is>
      </c>
      <c r="D253" s="32" t="inlineStr">
        <is>
          <t>두문자어</t>
        </is>
      </c>
      <c r="E253" s="28" t="inlineStr">
        <is>
          <t>완전탐색 / 시뮬레이션</t>
        </is>
      </c>
      <c r="F253" s="28" t="n"/>
      <c r="G253" s="28" t="n"/>
      <c r="H253" s="28" t="n"/>
      <c r="I253" s="28" t="n"/>
      <c r="J253" s="54">
        <f>IF(OR(ISNUMBER(SEARCH("보류",K253)),ISNUMBER(SEARCH("미룸",K253)),ISNUMBER(SEARCH("나중에",K253)),ISNUMBER(SEARCH("보류",L253)),ISNUMBER(SEARCH("미룸",L253)),ISNUMBER(SEARCH("나중에",L253))),"보류(나중에 풀기)",IF(AND(F253="",G253="",H253="",I253=""),"미완료",IF(I253&lt;&gt;"","복습3(마스터)",IF(H253&lt;&gt;"","복습2",IF(G253&lt;&gt;"","복습1",IF(ISNUMBER(SEARCH("제미나이",K253)),"복습대기(AI도움)",IF(ISNUMBER(SEARCH("간당간당",K253)),"복습대기(간당간당)",IF(OR(ISNUMBER(SEARCH("아이디어",K253)),ISNUMBER(SEARCH("시간초과",K253)),ISNUMBER(SEARCH("자료구조",K253)),ISNUMBER(SEARCH("경계값",K253)),ISNUMBER(SEARCH("다른 풀이",K253)),ISNUMBER(SEARCH("또풀기",K253))),"복습대기",IF(OR(ISNUMBER(SEARCH("복습필요없음",K253)),ISNUMBER(SEARCH("자력완벽",K253))),"품(복습불필요)",IF(F253&lt;&gt;"","품","미완료"))))))))))</f>
        <v/>
      </c>
      <c r="K253" s="32" t="inlineStr">
        <is>
          <t>-</t>
        </is>
      </c>
      <c r="L253" s="32" t="n"/>
      <c r="M253" s="28">
        <f>IF(OR(LEFT(J253,2)="보류", LEFT(J253,4)="복습대기", LEFT(J253,3)="복습1", LEFT(J253,3)="복습2"), MAX($M$3:M252)+1, "")</f>
        <v/>
      </c>
      <c r="N253" s="28" t="inlineStr">
        <is>
          <t>W08</t>
        </is>
      </c>
      <c r="O253" s="36" t="n">
        <v>46313</v>
      </c>
      <c r="P253" s="30">
        <f>IF(F253&lt;&gt;"","✅ 완료",IF(O253="","-",IF(TODAY()&gt;O253,"🚨 지연","⏳ 예정")))</f>
        <v/>
      </c>
      <c r="Q253" s="7" t="n"/>
      <c r="R253" s="7" t="n"/>
      <c r="S253" s="7" t="n"/>
      <c r="T253" s="7" t="n"/>
      <c r="U253" s="7" t="n"/>
      <c r="V253" s="7" t="n"/>
      <c r="W253" s="7" t="n"/>
      <c r="X253" s="7" t="n"/>
    </row>
    <row r="254" ht="21.75" customHeight="1" s="209">
      <c r="A254" s="28" t="n">
        <v>251</v>
      </c>
      <c r="B254" s="28" t="inlineStr">
        <is>
          <t>8821</t>
        </is>
      </c>
      <c r="C254" s="30" t="inlineStr">
        <is>
          <t>D3</t>
        </is>
      </c>
      <c r="D254" s="32" t="inlineStr">
        <is>
          <t>적고 지우기</t>
        </is>
      </c>
      <c r="E254" s="28" t="inlineStr">
        <is>
          <t>완전탐색 / 시뮬레이션</t>
        </is>
      </c>
      <c r="F254" s="28" t="n"/>
      <c r="G254" s="28" t="n"/>
      <c r="H254" s="28" t="n"/>
      <c r="I254" s="28" t="n"/>
      <c r="J254" s="54">
        <f>IF(OR(ISNUMBER(SEARCH("보류",K254)),ISNUMBER(SEARCH("미룸",K254)),ISNUMBER(SEARCH("나중에",K254)),ISNUMBER(SEARCH("보류",L254)),ISNUMBER(SEARCH("미룸",L254)),ISNUMBER(SEARCH("나중에",L254))),"보류(나중에 풀기)",IF(AND(F254="",G254="",H254="",I254=""),"미완료",IF(I254&lt;&gt;"","복습3(마스터)",IF(H254&lt;&gt;"","복습2",IF(G254&lt;&gt;"","복습1",IF(ISNUMBER(SEARCH("제미나이",K254)),"복습대기(AI도움)",IF(ISNUMBER(SEARCH("간당간당",K254)),"복습대기(간당간당)",IF(OR(ISNUMBER(SEARCH("아이디어",K254)),ISNUMBER(SEARCH("시간초과",K254)),ISNUMBER(SEARCH("자료구조",K254)),ISNUMBER(SEARCH("경계값",K254)),ISNUMBER(SEARCH("다른 풀이",K254)),ISNUMBER(SEARCH("또풀기",K254))),"복습대기",IF(OR(ISNUMBER(SEARCH("복습필요없음",K254)),ISNUMBER(SEARCH("자력완벽",K254))),"품(복습불필요)",IF(F254&lt;&gt;"","품","미완료"))))))))))</f>
        <v/>
      </c>
      <c r="K254" s="32" t="inlineStr">
        <is>
          <t>-</t>
        </is>
      </c>
      <c r="L254" s="32" t="n"/>
      <c r="M254" s="28">
        <f>IF(OR(LEFT(J254,2)="보류", LEFT(J254,4)="복습대기", LEFT(J254,3)="복습1", LEFT(J254,3)="복습2"), MAX($M$3:M253)+1, "")</f>
        <v/>
      </c>
      <c r="N254" s="28" t="inlineStr">
        <is>
          <t>W09</t>
        </is>
      </c>
      <c r="O254" s="36" t="n">
        <v>46314</v>
      </c>
      <c r="P254" s="30">
        <f>IF(F254&lt;&gt;"","✅ 완료",IF(O254="","-",IF(TODAY()&gt;O254,"🚨 지연","⏳ 예정")))</f>
        <v/>
      </c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 ht="21.75" customHeight="1" s="209">
      <c r="A255" s="28" t="n">
        <v>252</v>
      </c>
      <c r="B255" s="28" t="inlineStr">
        <is>
          <t>8840</t>
        </is>
      </c>
      <c r="C255" s="30" t="inlineStr">
        <is>
          <t>D3</t>
        </is>
      </c>
      <c r="D255" s="32" t="inlineStr">
        <is>
          <t>아바바바</t>
        </is>
      </c>
      <c r="E255" s="28" t="inlineStr">
        <is>
          <t>완전탐색 / 시뮬레이션</t>
        </is>
      </c>
      <c r="F255" s="28" t="n"/>
      <c r="G255" s="28" t="n"/>
      <c r="H255" s="28" t="n"/>
      <c r="I255" s="28" t="n"/>
      <c r="J255" s="54">
        <f>IF(OR(ISNUMBER(SEARCH("보류",K255)),ISNUMBER(SEARCH("미룸",K255)),ISNUMBER(SEARCH("나중에",K255)),ISNUMBER(SEARCH("보류",L255)),ISNUMBER(SEARCH("미룸",L255)),ISNUMBER(SEARCH("나중에",L255))),"보류(나중에 풀기)",IF(AND(F255="",G255="",H255="",I255=""),"미완료",IF(I255&lt;&gt;"","복습3(마스터)",IF(H255&lt;&gt;"","복습2",IF(G255&lt;&gt;"","복습1",IF(ISNUMBER(SEARCH("제미나이",K255)),"복습대기(AI도움)",IF(ISNUMBER(SEARCH("간당간당",K255)),"복습대기(간당간당)",IF(OR(ISNUMBER(SEARCH("아이디어",K255)),ISNUMBER(SEARCH("시간초과",K255)),ISNUMBER(SEARCH("자료구조",K255)),ISNUMBER(SEARCH("경계값",K255)),ISNUMBER(SEARCH("다른 풀이",K255)),ISNUMBER(SEARCH("또풀기",K255))),"복습대기",IF(OR(ISNUMBER(SEARCH("복습필요없음",K255)),ISNUMBER(SEARCH("자력완벽",K255))),"품(복습불필요)",IF(F255&lt;&gt;"","품","미완료"))))))))))</f>
        <v/>
      </c>
      <c r="K255" s="32" t="inlineStr">
        <is>
          <t>-</t>
        </is>
      </c>
      <c r="L255" s="32" t="n"/>
      <c r="M255" s="28">
        <f>IF(OR(LEFT(J255,2)="보류", LEFT(J255,4)="복습대기", LEFT(J255,3)="복습1", LEFT(J255,3)="복습2"), MAX($M$3:M254)+1, "")</f>
        <v/>
      </c>
      <c r="N255" s="28" t="inlineStr">
        <is>
          <t>W09</t>
        </is>
      </c>
      <c r="O255" s="36" t="n">
        <v>46314</v>
      </c>
      <c r="P255" s="30">
        <f>IF(F255&lt;&gt;"","✅ 완료",IF(O255="","-",IF(TODAY()&gt;O255,"🚨 지연","⏳ 예정")))</f>
        <v/>
      </c>
      <c r="Q255" s="7" t="n"/>
      <c r="R255" s="7" t="n"/>
      <c r="S255" s="7" t="n"/>
      <c r="T255" s="7" t="n"/>
      <c r="U255" s="7" t="n"/>
      <c r="V255" s="7" t="n"/>
      <c r="W255" s="7" t="n"/>
      <c r="X255" s="7" t="n"/>
    </row>
    <row r="256" ht="21.75" customHeight="1" s="209">
      <c r="A256" s="28" t="n">
        <v>253</v>
      </c>
      <c r="B256" s="28" t="inlineStr">
        <is>
          <t>8888</t>
        </is>
      </c>
      <c r="C256" s="30" t="inlineStr">
        <is>
          <t>D3</t>
        </is>
      </c>
      <c r="D256" s="32" t="inlineStr">
        <is>
          <t>시험</t>
        </is>
      </c>
      <c r="E256" s="28" t="inlineStr">
        <is>
          <t>완전탐색 / 시뮬레이션</t>
        </is>
      </c>
      <c r="F256" s="28" t="n"/>
      <c r="G256" s="28" t="n"/>
      <c r="H256" s="28" t="n"/>
      <c r="I256" s="28" t="n"/>
      <c r="J256" s="54">
        <f>IF(OR(ISNUMBER(SEARCH("보류",K256)),ISNUMBER(SEARCH("미룸",K256)),ISNUMBER(SEARCH("나중에",K256)),ISNUMBER(SEARCH("보류",L256)),ISNUMBER(SEARCH("미룸",L256)),ISNUMBER(SEARCH("나중에",L256))),"보류(나중에 풀기)",IF(AND(F256="",G256="",H256="",I256=""),"미완료",IF(I256&lt;&gt;"","복습3(마스터)",IF(H256&lt;&gt;"","복습2",IF(G256&lt;&gt;"","복습1",IF(ISNUMBER(SEARCH("제미나이",K256)),"복습대기(AI도움)",IF(ISNUMBER(SEARCH("간당간당",K256)),"복습대기(간당간당)",IF(OR(ISNUMBER(SEARCH("아이디어",K256)),ISNUMBER(SEARCH("시간초과",K256)),ISNUMBER(SEARCH("자료구조",K256)),ISNUMBER(SEARCH("경계값",K256)),ISNUMBER(SEARCH("다른 풀이",K256)),ISNUMBER(SEARCH("또풀기",K256))),"복습대기",IF(OR(ISNUMBER(SEARCH("복습필요없음",K256)),ISNUMBER(SEARCH("자력완벽",K256))),"품(복습불필요)",IF(F256&lt;&gt;"","품","미완료"))))))))))</f>
        <v/>
      </c>
      <c r="K256" s="32" t="inlineStr">
        <is>
          <t>-</t>
        </is>
      </c>
      <c r="L256" s="32" t="n"/>
      <c r="M256" s="28">
        <f>IF(OR(LEFT(J256,2)="보류", LEFT(J256,4)="복습대기", LEFT(J256,3)="복습1", LEFT(J256,3)="복습2"), MAX($M$3:M255)+1, "")</f>
        <v/>
      </c>
      <c r="N256" s="28" t="inlineStr">
        <is>
          <t>W09</t>
        </is>
      </c>
      <c r="O256" s="36" t="n">
        <v>46314</v>
      </c>
      <c r="P256" s="30">
        <f>IF(F256&lt;&gt;"","✅ 완료",IF(O256="","-",IF(TODAY()&gt;O256,"🚨 지연","⏳ 예정")))</f>
        <v/>
      </c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 ht="21.75" customHeight="1" s="209">
      <c r="A257" s="28" t="n">
        <v>254</v>
      </c>
      <c r="B257" s="28" t="inlineStr">
        <is>
          <t>9280</t>
        </is>
      </c>
      <c r="C257" s="30" t="inlineStr">
        <is>
          <t>D3</t>
        </is>
      </c>
      <c r="D257" s="32" t="inlineStr">
        <is>
          <t>진용이네 주차타워</t>
        </is>
      </c>
      <c r="E257" s="28" t="inlineStr">
        <is>
          <t>완전탐색 / 시뮬레이션</t>
        </is>
      </c>
      <c r="F257" s="28" t="n"/>
      <c r="G257" s="28" t="n"/>
      <c r="H257" s="28" t="n"/>
      <c r="I257" s="28" t="n"/>
      <c r="J257" s="54">
        <f>IF(OR(ISNUMBER(SEARCH("보류",K257)),ISNUMBER(SEARCH("미룸",K257)),ISNUMBER(SEARCH("나중에",K257)),ISNUMBER(SEARCH("보류",L257)),ISNUMBER(SEARCH("미룸",L257)),ISNUMBER(SEARCH("나중에",L257))),"보류(나중에 풀기)",IF(AND(F257="",G257="",H257="",I257=""),"미완료",IF(I257&lt;&gt;"","복습3(마스터)",IF(H257&lt;&gt;"","복습2",IF(G257&lt;&gt;"","복습1",IF(ISNUMBER(SEARCH("제미나이",K257)),"복습대기(AI도움)",IF(ISNUMBER(SEARCH("간당간당",K257)),"복습대기(간당간당)",IF(OR(ISNUMBER(SEARCH("아이디어",K257)),ISNUMBER(SEARCH("시간초과",K257)),ISNUMBER(SEARCH("자료구조",K257)),ISNUMBER(SEARCH("경계값",K257)),ISNUMBER(SEARCH("다른 풀이",K257)),ISNUMBER(SEARCH("또풀기",K257))),"복습대기",IF(OR(ISNUMBER(SEARCH("복습필요없음",K257)),ISNUMBER(SEARCH("자력완벽",K257))),"품(복습불필요)",IF(F257&lt;&gt;"","품","미완료"))))))))))</f>
        <v/>
      </c>
      <c r="K257" s="32" t="inlineStr">
        <is>
          <t>-</t>
        </is>
      </c>
      <c r="L257" s="32" t="n"/>
      <c r="M257" s="28">
        <f>IF(OR(LEFT(J257,2)="보류", LEFT(J257,4)="복습대기", LEFT(J257,3)="복습1", LEFT(J257,3)="복습2"), MAX($M$3:M256)+1, "")</f>
        <v/>
      </c>
      <c r="N257" s="28" t="inlineStr">
        <is>
          <t>W09</t>
        </is>
      </c>
      <c r="O257" s="36" t="n">
        <v>46314</v>
      </c>
      <c r="P257" s="30">
        <f>IF(F257&lt;&gt;"","✅ 완료",IF(O257="","-",IF(TODAY()&gt;O257,"🚨 지연","⏳ 예정")))</f>
        <v/>
      </c>
      <c r="Q257" s="7" t="n"/>
      <c r="R257" s="7" t="n"/>
      <c r="S257" s="7" t="n"/>
      <c r="T257" s="7" t="n"/>
      <c r="U257" s="7" t="n"/>
      <c r="V257" s="7" t="n"/>
      <c r="W257" s="7" t="n"/>
      <c r="X257" s="7" t="n"/>
    </row>
    <row r="258" ht="21.75" customHeight="1" s="209">
      <c r="A258" s="28" t="n">
        <v>255</v>
      </c>
      <c r="B258" s="28" t="inlineStr">
        <is>
          <t>9317</t>
        </is>
      </c>
      <c r="C258" s="30" t="inlineStr">
        <is>
          <t>D3</t>
        </is>
      </c>
      <c r="D258" s="32" t="inlineStr">
        <is>
          <t>석찬이의 받아쓰기</t>
        </is>
      </c>
      <c r="E258" s="28" t="inlineStr">
        <is>
          <t>완전탐색 / 시뮬레이션</t>
        </is>
      </c>
      <c r="F258" s="28" t="n"/>
      <c r="G258" s="28" t="n"/>
      <c r="H258" s="28" t="n"/>
      <c r="I258" s="28" t="n"/>
      <c r="J258" s="54">
        <f>IF(OR(ISNUMBER(SEARCH("보류",K258)),ISNUMBER(SEARCH("미룸",K258)),ISNUMBER(SEARCH("나중에",K258)),ISNUMBER(SEARCH("보류",L258)),ISNUMBER(SEARCH("미룸",L258)),ISNUMBER(SEARCH("나중에",L258))),"보류(나중에 풀기)",IF(AND(F258="",G258="",H258="",I258=""),"미완료",IF(I258&lt;&gt;"","복습3(마스터)",IF(H258&lt;&gt;"","복습2",IF(G258&lt;&gt;"","복습1",IF(ISNUMBER(SEARCH("제미나이",K258)),"복습대기(AI도움)",IF(ISNUMBER(SEARCH("간당간당",K258)),"복습대기(간당간당)",IF(OR(ISNUMBER(SEARCH("아이디어",K258)),ISNUMBER(SEARCH("시간초과",K258)),ISNUMBER(SEARCH("자료구조",K258)),ISNUMBER(SEARCH("경계값",K258)),ISNUMBER(SEARCH("다른 풀이",K258)),ISNUMBER(SEARCH("또풀기",K258))),"복습대기",IF(OR(ISNUMBER(SEARCH("복습필요없음",K258)),ISNUMBER(SEARCH("자력완벽",K258))),"품(복습불필요)",IF(F258&lt;&gt;"","품","미완료"))))))))))</f>
        <v/>
      </c>
      <c r="K258" s="32" t="inlineStr">
        <is>
          <t>-</t>
        </is>
      </c>
      <c r="L258" s="32" t="n"/>
      <c r="M258" s="28">
        <f>IF(OR(LEFT(J258,2)="보류", LEFT(J258,4)="복습대기", LEFT(J258,3)="복습1", LEFT(J258,3)="복습2"), MAX($M$3:M257)+1, "")</f>
        <v/>
      </c>
      <c r="N258" s="28" t="inlineStr">
        <is>
          <t>W09</t>
        </is>
      </c>
      <c r="O258" s="36" t="n">
        <v>46314</v>
      </c>
      <c r="P258" s="30">
        <f>IF(F258&lt;&gt;"","✅ 완료",IF(O258="","-",IF(TODAY()&gt;O258,"🚨 지연","⏳ 예정")))</f>
        <v/>
      </c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 ht="21.75" customHeight="1" s="209">
      <c r="A259" s="28" t="n">
        <v>256</v>
      </c>
      <c r="B259" s="28" t="inlineStr">
        <is>
          <t>9480</t>
        </is>
      </c>
      <c r="C259" s="30" t="inlineStr">
        <is>
          <t>D3</t>
        </is>
      </c>
      <c r="D259" s="32" t="inlineStr">
        <is>
          <t>민정이와 광직이의 알파벳 공부</t>
        </is>
      </c>
      <c r="E259" s="28" t="inlineStr">
        <is>
          <t>완전탐색 / 시뮬레이션</t>
        </is>
      </c>
      <c r="F259" s="28" t="n"/>
      <c r="G259" s="28" t="n"/>
      <c r="H259" s="28" t="n"/>
      <c r="I259" s="28" t="n"/>
      <c r="J259" s="54">
        <f>IF(OR(ISNUMBER(SEARCH("보류",K259)),ISNUMBER(SEARCH("미룸",K259)),ISNUMBER(SEARCH("나중에",K259)),ISNUMBER(SEARCH("보류",L259)),ISNUMBER(SEARCH("미룸",L259)),ISNUMBER(SEARCH("나중에",L259))),"보류(나중에 풀기)",IF(AND(F259="",G259="",H259="",I259=""),"미완료",IF(I259&lt;&gt;"","복습3(마스터)",IF(H259&lt;&gt;"","복습2",IF(G259&lt;&gt;"","복습1",IF(ISNUMBER(SEARCH("제미나이",K259)),"복습대기(AI도움)",IF(ISNUMBER(SEARCH("간당간당",K259)),"복습대기(간당간당)",IF(OR(ISNUMBER(SEARCH("아이디어",K259)),ISNUMBER(SEARCH("시간초과",K259)),ISNUMBER(SEARCH("자료구조",K259)),ISNUMBER(SEARCH("경계값",K259)),ISNUMBER(SEARCH("다른 풀이",K259)),ISNUMBER(SEARCH("또풀기",K259))),"복습대기",IF(OR(ISNUMBER(SEARCH("복습필요없음",K259)),ISNUMBER(SEARCH("자력완벽",K259))),"품(복습불필요)",IF(F259&lt;&gt;"","품","미완료"))))))))))</f>
        <v/>
      </c>
      <c r="K259" s="32" t="inlineStr">
        <is>
          <t>-</t>
        </is>
      </c>
      <c r="L259" s="32" t="n"/>
      <c r="M259" s="28">
        <f>IF(OR(LEFT(J259,2)="보류", LEFT(J259,4)="복습대기", LEFT(J259,3)="복습1", LEFT(J259,3)="복습2"), MAX($M$3:M258)+1, "")</f>
        <v/>
      </c>
      <c r="N259" s="28" t="inlineStr">
        <is>
          <t>W09</t>
        </is>
      </c>
      <c r="O259" s="36" t="n">
        <v>46314</v>
      </c>
      <c r="P259" s="30">
        <f>IF(F259&lt;&gt;"","✅ 완료",IF(O259="","-",IF(TODAY()&gt;O259,"🚨 지연","⏳ 예정")))</f>
        <v/>
      </c>
      <c r="Q259" s="7" t="n"/>
      <c r="R259" s="7" t="n"/>
      <c r="S259" s="7" t="n"/>
      <c r="T259" s="7" t="n"/>
      <c r="U259" s="7" t="n"/>
      <c r="V259" s="7" t="n"/>
      <c r="W259" s="7" t="n"/>
      <c r="X259" s="7" t="n"/>
    </row>
    <row r="260" ht="21.75" customHeight="1" s="209">
      <c r="A260" s="28" t="n">
        <v>257</v>
      </c>
      <c r="B260" s="28" t="inlineStr">
        <is>
          <t>9611</t>
        </is>
      </c>
      <c r="C260" s="30" t="inlineStr">
        <is>
          <t>D3</t>
        </is>
      </c>
      <c r="D260" s="32" t="inlineStr">
        <is>
          <t>명진이와 동휘의 숫자 맞추기</t>
        </is>
      </c>
      <c r="E260" s="28" t="inlineStr">
        <is>
          <t>완전탐색 / 시뮬레이션</t>
        </is>
      </c>
      <c r="F260" s="28" t="n"/>
      <c r="G260" s="28" t="n"/>
      <c r="H260" s="28" t="n"/>
      <c r="I260" s="28" t="n"/>
      <c r="J260" s="54">
        <f>IF(OR(ISNUMBER(SEARCH("보류",K260)),ISNUMBER(SEARCH("미룸",K260)),ISNUMBER(SEARCH("나중에",K260)),ISNUMBER(SEARCH("보류",L260)),ISNUMBER(SEARCH("미룸",L260)),ISNUMBER(SEARCH("나중에",L260))),"보류(나중에 풀기)",IF(AND(F260="",G260="",H260="",I260=""),"미완료",IF(I260&lt;&gt;"","복습3(마스터)",IF(H260&lt;&gt;"","복습2",IF(G260&lt;&gt;"","복습1",IF(ISNUMBER(SEARCH("제미나이",K260)),"복습대기(AI도움)",IF(ISNUMBER(SEARCH("간당간당",K260)),"복습대기(간당간당)",IF(OR(ISNUMBER(SEARCH("아이디어",K260)),ISNUMBER(SEARCH("시간초과",K260)),ISNUMBER(SEARCH("자료구조",K260)),ISNUMBER(SEARCH("경계값",K260)),ISNUMBER(SEARCH("다른 풀이",K260)),ISNUMBER(SEARCH("또풀기",K260))),"복습대기",IF(OR(ISNUMBER(SEARCH("복습필요없음",K260)),ISNUMBER(SEARCH("자력완벽",K260))),"품(복습불필요)",IF(F260&lt;&gt;"","품","미완료"))))))))))</f>
        <v/>
      </c>
      <c r="K260" s="32" t="inlineStr">
        <is>
          <t>-</t>
        </is>
      </c>
      <c r="L260" s="32" t="n"/>
      <c r="M260" s="28">
        <f>IF(OR(LEFT(J260,2)="보류", LEFT(J260,4)="복습대기", LEFT(J260,3)="복습1", LEFT(J260,3)="복습2"), MAX($M$3:M259)+1, "")</f>
        <v/>
      </c>
      <c r="N260" s="28" t="inlineStr">
        <is>
          <t>W09</t>
        </is>
      </c>
      <c r="O260" s="36" t="n">
        <v>46314</v>
      </c>
      <c r="P260" s="30">
        <f>IF(F260&lt;&gt;"","✅ 완료",IF(O260="","-",IF(TODAY()&gt;O260,"🚨 지연","⏳ 예정")))</f>
        <v/>
      </c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 ht="21.75" customHeight="1" s="209">
      <c r="A261" s="28" t="n">
        <v>258</v>
      </c>
      <c r="B261" s="28" t="inlineStr">
        <is>
          <t>9658</t>
        </is>
      </c>
      <c r="C261" s="30" t="inlineStr">
        <is>
          <t>D3</t>
        </is>
      </c>
      <c r="D261" s="32" t="inlineStr">
        <is>
          <t>유효숫자 표기</t>
        </is>
      </c>
      <c r="E261" s="28" t="inlineStr">
        <is>
          <t>완전탐색 / 시뮬레이션</t>
        </is>
      </c>
      <c r="F261" s="28" t="n"/>
      <c r="G261" s="28" t="n"/>
      <c r="H261" s="28" t="n"/>
      <c r="I261" s="28" t="n"/>
      <c r="J261" s="54">
        <f>IF(OR(ISNUMBER(SEARCH("보류",K261)),ISNUMBER(SEARCH("미룸",K261)),ISNUMBER(SEARCH("나중에",K261)),ISNUMBER(SEARCH("보류",L261)),ISNUMBER(SEARCH("미룸",L261)),ISNUMBER(SEARCH("나중에",L261))),"보류(나중에 풀기)",IF(AND(F261="",G261="",H261="",I261=""),"미완료",IF(I261&lt;&gt;"","복습3(마스터)",IF(H261&lt;&gt;"","복습2",IF(G261&lt;&gt;"","복습1",IF(ISNUMBER(SEARCH("제미나이",K261)),"복습대기(AI도움)",IF(ISNUMBER(SEARCH("간당간당",K261)),"복습대기(간당간당)",IF(OR(ISNUMBER(SEARCH("아이디어",K261)),ISNUMBER(SEARCH("시간초과",K261)),ISNUMBER(SEARCH("자료구조",K261)),ISNUMBER(SEARCH("경계값",K261)),ISNUMBER(SEARCH("다른 풀이",K261)),ISNUMBER(SEARCH("또풀기",K261))),"복습대기",IF(OR(ISNUMBER(SEARCH("복습필요없음",K261)),ISNUMBER(SEARCH("자력완벽",K261))),"품(복습불필요)",IF(F261&lt;&gt;"","품","미완료"))))))))))</f>
        <v/>
      </c>
      <c r="K261" s="32" t="inlineStr">
        <is>
          <t>-</t>
        </is>
      </c>
      <c r="L261" s="32" t="n"/>
      <c r="M261" s="28">
        <f>IF(OR(LEFT(J261,2)="보류", LEFT(J261,4)="복습대기", LEFT(J261,3)="복습1", LEFT(J261,3)="복습2"), MAX($M$3:M260)+1, "")</f>
        <v/>
      </c>
      <c r="N261" s="28" t="inlineStr">
        <is>
          <t>W09</t>
        </is>
      </c>
      <c r="O261" s="36" t="n">
        <v>46315</v>
      </c>
      <c r="P261" s="30">
        <f>IF(F261&lt;&gt;"","✅ 완료",IF(O261="","-",IF(TODAY()&gt;O261,"🚨 지연","⏳ 예정")))</f>
        <v/>
      </c>
      <c r="Q261" s="7" t="n"/>
      <c r="R261" s="7" t="n"/>
      <c r="S261" s="7" t="n"/>
      <c r="T261" s="7" t="n"/>
      <c r="U261" s="7" t="n"/>
      <c r="V261" s="7" t="n"/>
      <c r="W261" s="7" t="n"/>
      <c r="X261" s="7" t="n"/>
    </row>
    <row r="262" ht="21.75" customHeight="1" s="209">
      <c r="A262" s="28" t="n">
        <v>259</v>
      </c>
      <c r="B262" s="28" t="inlineStr">
        <is>
          <t>9700</t>
        </is>
      </c>
      <c r="C262" s="30" t="inlineStr">
        <is>
          <t>D3</t>
        </is>
      </c>
      <c r="D262" s="32" t="inlineStr">
        <is>
          <t>USB 꽂기의 미스터리</t>
        </is>
      </c>
      <c r="E262" s="28" t="inlineStr">
        <is>
          <t>완전탐색 / 시뮬레이션</t>
        </is>
      </c>
      <c r="F262" s="28" t="n"/>
      <c r="G262" s="28" t="n"/>
      <c r="H262" s="28" t="n"/>
      <c r="I262" s="28" t="n"/>
      <c r="J262" s="54">
        <f>IF(OR(ISNUMBER(SEARCH("보류",K262)),ISNUMBER(SEARCH("미룸",K262)),ISNUMBER(SEARCH("나중에",K262)),ISNUMBER(SEARCH("보류",L262)),ISNUMBER(SEARCH("미룸",L262)),ISNUMBER(SEARCH("나중에",L262))),"보류(나중에 풀기)",IF(AND(F262="",G262="",H262="",I262=""),"미완료",IF(I262&lt;&gt;"","복습3(마스터)",IF(H262&lt;&gt;"","복습2",IF(G262&lt;&gt;"","복습1",IF(ISNUMBER(SEARCH("제미나이",K262)),"복습대기(AI도움)",IF(ISNUMBER(SEARCH("간당간당",K262)),"복습대기(간당간당)",IF(OR(ISNUMBER(SEARCH("아이디어",K262)),ISNUMBER(SEARCH("시간초과",K262)),ISNUMBER(SEARCH("자료구조",K262)),ISNUMBER(SEARCH("경계값",K262)),ISNUMBER(SEARCH("다른 풀이",K262)),ISNUMBER(SEARCH("또풀기",K262))),"복습대기",IF(OR(ISNUMBER(SEARCH("복습필요없음",K262)),ISNUMBER(SEARCH("자력완벽",K262))),"품(복습불필요)",IF(F262&lt;&gt;"","품","미완료"))))))))))</f>
        <v/>
      </c>
      <c r="K262" s="32" t="inlineStr">
        <is>
          <t>-</t>
        </is>
      </c>
      <c r="L262" s="32" t="n"/>
      <c r="M262" s="28">
        <f>IF(OR(LEFT(J262,2)="보류", LEFT(J262,4)="복습대기", LEFT(J262,3)="복습1", LEFT(J262,3)="복습2"), MAX($M$3:M261)+1, "")</f>
        <v/>
      </c>
      <c r="N262" s="28" t="inlineStr">
        <is>
          <t>W09</t>
        </is>
      </c>
      <c r="O262" s="36" t="n">
        <v>46315</v>
      </c>
      <c r="P262" s="30">
        <f>IF(F262&lt;&gt;"","✅ 완료",IF(O262="","-",IF(TODAY()&gt;O262,"🚨 지연","⏳ 예정")))</f>
        <v/>
      </c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 ht="21.75" customHeight="1" s="209">
      <c r="A263" s="28" t="n">
        <v>260</v>
      </c>
      <c r="B263" s="28" t="inlineStr">
        <is>
          <t>9778</t>
        </is>
      </c>
      <c r="C263" s="30" t="inlineStr">
        <is>
          <t>D3</t>
        </is>
      </c>
      <c r="D263" s="32" t="inlineStr">
        <is>
          <t>카드 게임</t>
        </is>
      </c>
      <c r="E263" s="28" t="inlineStr">
        <is>
          <t>시뮬레이션 / 구현</t>
        </is>
      </c>
      <c r="F263" s="28" t="n"/>
      <c r="G263" s="28" t="n"/>
      <c r="H263" s="28" t="n"/>
      <c r="I263" s="28" t="n"/>
      <c r="J263" s="54">
        <f>IF(OR(ISNUMBER(SEARCH("보류",K263)),ISNUMBER(SEARCH("미룸",K263)),ISNUMBER(SEARCH("나중에",K263)),ISNUMBER(SEARCH("보류",L263)),ISNUMBER(SEARCH("미룸",L263)),ISNUMBER(SEARCH("나중에",L263))),"보류(나중에 풀기)",IF(AND(F263="",G263="",H263="",I263=""),"미완료",IF(I263&lt;&gt;"","복습3(마스터)",IF(H263&lt;&gt;"","복습2",IF(G263&lt;&gt;"","복습1",IF(ISNUMBER(SEARCH("제미나이",K263)),"복습대기(AI도움)",IF(ISNUMBER(SEARCH("간당간당",K263)),"복습대기(간당간당)",IF(OR(ISNUMBER(SEARCH("아이디어",K263)),ISNUMBER(SEARCH("시간초과",K263)),ISNUMBER(SEARCH("자료구조",K263)),ISNUMBER(SEARCH("경계값",K263)),ISNUMBER(SEARCH("다른 풀이",K263)),ISNUMBER(SEARCH("또풀기",K263))),"복습대기",IF(OR(ISNUMBER(SEARCH("복습필요없음",K263)),ISNUMBER(SEARCH("자력완벽",K263))),"품(복습불필요)",IF(F263&lt;&gt;"","품","미완료"))))))))))</f>
        <v/>
      </c>
      <c r="K263" s="32" t="inlineStr">
        <is>
          <t>-</t>
        </is>
      </c>
      <c r="L263" s="32" t="n"/>
      <c r="M263" s="28">
        <f>IF(OR(LEFT(J263,2)="보류", LEFT(J263,4)="복습대기", LEFT(J263,3)="복습1", LEFT(J263,3)="복습2"), MAX($M$3:M262)+1, "")</f>
        <v/>
      </c>
      <c r="N263" s="28" t="inlineStr">
        <is>
          <t>W09</t>
        </is>
      </c>
      <c r="O263" s="36" t="n">
        <v>46315</v>
      </c>
      <c r="P263" s="30">
        <f>IF(F263&lt;&gt;"","✅ 완료",IF(O263="","-",IF(TODAY()&gt;O263,"🚨 지연","⏳ 예정")))</f>
        <v/>
      </c>
      <c r="Q263" s="7" t="n"/>
      <c r="R263" s="7" t="n"/>
      <c r="S263" s="7" t="n"/>
      <c r="T263" s="7" t="n"/>
      <c r="U263" s="7" t="n"/>
      <c r="V263" s="7" t="n"/>
      <c r="W263" s="7" t="n"/>
      <c r="X263" s="7" t="n"/>
    </row>
    <row r="264" ht="21.75" customHeight="1" s="209">
      <c r="A264" s="28" t="n">
        <v>261</v>
      </c>
      <c r="B264" s="28" t="inlineStr">
        <is>
          <t>9839</t>
        </is>
      </c>
      <c r="C264" s="30" t="inlineStr">
        <is>
          <t>D3</t>
        </is>
      </c>
      <c r="D264" s="32" t="inlineStr">
        <is>
          <t>최고의 쌍</t>
        </is>
      </c>
      <c r="E264" s="28" t="inlineStr">
        <is>
          <t>완전탐색 / 시뮬레이션</t>
        </is>
      </c>
      <c r="F264" s="28" t="n"/>
      <c r="G264" s="28" t="n"/>
      <c r="H264" s="28" t="n"/>
      <c r="I264" s="28" t="n"/>
      <c r="J264" s="54">
        <f>IF(OR(ISNUMBER(SEARCH("보류",K264)),ISNUMBER(SEARCH("미룸",K264)),ISNUMBER(SEARCH("나중에",K264)),ISNUMBER(SEARCH("보류",L264)),ISNUMBER(SEARCH("미룸",L264)),ISNUMBER(SEARCH("나중에",L264))),"보류(나중에 풀기)",IF(AND(F264="",G264="",H264="",I264=""),"미완료",IF(I264&lt;&gt;"","복습3(마스터)",IF(H264&lt;&gt;"","복습2",IF(G264&lt;&gt;"","복습1",IF(ISNUMBER(SEARCH("제미나이",K264)),"복습대기(AI도움)",IF(ISNUMBER(SEARCH("간당간당",K264)),"복습대기(간당간당)",IF(OR(ISNUMBER(SEARCH("아이디어",K264)),ISNUMBER(SEARCH("시간초과",K264)),ISNUMBER(SEARCH("자료구조",K264)),ISNUMBER(SEARCH("경계값",K264)),ISNUMBER(SEARCH("다른 풀이",K264)),ISNUMBER(SEARCH("또풀기",K264))),"복습대기",IF(OR(ISNUMBER(SEARCH("복습필요없음",K264)),ISNUMBER(SEARCH("자력완벽",K264))),"품(복습불필요)",IF(F264&lt;&gt;"","품","미완료"))))))))))</f>
        <v/>
      </c>
      <c r="K264" s="32" t="inlineStr">
        <is>
          <t>-</t>
        </is>
      </c>
      <c r="L264" s="32" t="n"/>
      <c r="M264" s="28">
        <f>IF(OR(LEFT(J264,2)="보류", LEFT(J264,4)="복습대기", LEFT(J264,3)="복습1", LEFT(J264,3)="복습2"), MAX($M$3:M263)+1, "")</f>
        <v/>
      </c>
      <c r="N264" s="28" t="inlineStr">
        <is>
          <t>W09</t>
        </is>
      </c>
      <c r="O264" s="36" t="n">
        <v>46315</v>
      </c>
      <c r="P264" s="30">
        <f>IF(F264&lt;&gt;"","✅ 완료",IF(O264="","-",IF(TODAY()&gt;O264,"🚨 지연","⏳ 예정")))</f>
        <v/>
      </c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 ht="21.75" customHeight="1" s="209">
      <c r="A265" s="28" t="n">
        <v>262</v>
      </c>
      <c r="B265" s="28" t="inlineStr">
        <is>
          <t>9997</t>
        </is>
      </c>
      <c r="C265" s="30" t="inlineStr">
        <is>
          <t>D3</t>
        </is>
      </c>
      <c r="D265" s="32" t="inlineStr">
        <is>
          <t>미니멀리즘 시계</t>
        </is>
      </c>
      <c r="E265" s="28" t="inlineStr">
        <is>
          <t>완전탐색 / 시뮬레이션</t>
        </is>
      </c>
      <c r="F265" s="28" t="n"/>
      <c r="G265" s="28" t="n"/>
      <c r="H265" s="28" t="n"/>
      <c r="I265" s="28" t="n"/>
      <c r="J265" s="54">
        <f>IF(OR(ISNUMBER(SEARCH("보류",K265)),ISNUMBER(SEARCH("미룸",K265)),ISNUMBER(SEARCH("나중에",K265)),ISNUMBER(SEARCH("보류",L265)),ISNUMBER(SEARCH("미룸",L265)),ISNUMBER(SEARCH("나중에",L265))),"보류(나중에 풀기)",IF(AND(F265="",G265="",H265="",I265=""),"미완료",IF(I265&lt;&gt;"","복습3(마스터)",IF(H265&lt;&gt;"","복습2",IF(G265&lt;&gt;"","복습1",IF(ISNUMBER(SEARCH("제미나이",K265)),"복습대기(AI도움)",IF(ISNUMBER(SEARCH("간당간당",K265)),"복습대기(간당간당)",IF(OR(ISNUMBER(SEARCH("아이디어",K265)),ISNUMBER(SEARCH("시간초과",K265)),ISNUMBER(SEARCH("자료구조",K265)),ISNUMBER(SEARCH("경계값",K265)),ISNUMBER(SEARCH("다른 풀이",K265)),ISNUMBER(SEARCH("또풀기",K265))),"복습대기",IF(OR(ISNUMBER(SEARCH("복습필요없음",K265)),ISNUMBER(SEARCH("자력완벽",K265))),"품(복습불필요)",IF(F265&lt;&gt;"","품","미완료"))))))))))</f>
        <v/>
      </c>
      <c r="K265" s="32" t="inlineStr">
        <is>
          <t>-</t>
        </is>
      </c>
      <c r="L265" s="32" t="n"/>
      <c r="M265" s="28">
        <f>IF(OR(LEFT(J265,2)="보류", LEFT(J265,4)="복습대기", LEFT(J265,3)="복습1", LEFT(J265,3)="복습2"), MAX($M$3:M264)+1, "")</f>
        <v/>
      </c>
      <c r="N265" s="28" t="inlineStr">
        <is>
          <t>W09</t>
        </is>
      </c>
      <c r="O265" s="36" t="n">
        <v>46315</v>
      </c>
      <c r="P265" s="30">
        <f>IF(F265&lt;&gt;"","✅ 완료",IF(O265="","-",IF(TODAY()&gt;O265,"🚨 지연","⏳ 예정")))</f>
        <v/>
      </c>
      <c r="Q265" s="7" t="n"/>
      <c r="R265" s="7" t="n"/>
      <c r="S265" s="7" t="n"/>
      <c r="T265" s="7" t="n"/>
      <c r="U265" s="7" t="n"/>
      <c r="V265" s="7" t="n"/>
      <c r="W265" s="7" t="n"/>
      <c r="X265" s="7" t="n"/>
    </row>
    <row r="266" ht="21.75" customHeight="1" s="209">
      <c r="A266" s="28" t="n">
        <v>263</v>
      </c>
      <c r="B266" s="28" t="inlineStr">
        <is>
          <t>10032</t>
        </is>
      </c>
      <c r="C266" s="30" t="inlineStr">
        <is>
          <t>D3</t>
        </is>
      </c>
      <c r="D266" s="32" t="inlineStr">
        <is>
          <t>과자 분배</t>
        </is>
      </c>
      <c r="E266" s="28" t="inlineStr">
        <is>
          <t>완전탐색 / 시뮬레이션</t>
        </is>
      </c>
      <c r="F266" s="28" t="n"/>
      <c r="G266" s="28" t="n"/>
      <c r="H266" s="28" t="n"/>
      <c r="I266" s="28" t="n"/>
      <c r="J266" s="54">
        <f>IF(OR(ISNUMBER(SEARCH("보류",K266)),ISNUMBER(SEARCH("미룸",K266)),ISNUMBER(SEARCH("나중에",K266)),ISNUMBER(SEARCH("보류",L266)),ISNUMBER(SEARCH("미룸",L266)),ISNUMBER(SEARCH("나중에",L266))),"보류(나중에 풀기)",IF(AND(F266="",G266="",H266="",I266=""),"미완료",IF(I266&lt;&gt;"","복습3(마스터)",IF(H266&lt;&gt;"","복습2",IF(G266&lt;&gt;"","복습1",IF(ISNUMBER(SEARCH("제미나이",K266)),"복습대기(AI도움)",IF(ISNUMBER(SEARCH("간당간당",K266)),"복습대기(간당간당)",IF(OR(ISNUMBER(SEARCH("아이디어",K266)),ISNUMBER(SEARCH("시간초과",K266)),ISNUMBER(SEARCH("자료구조",K266)),ISNUMBER(SEARCH("경계값",K266)),ISNUMBER(SEARCH("다른 풀이",K266)),ISNUMBER(SEARCH("또풀기",K266))),"복습대기",IF(OR(ISNUMBER(SEARCH("복습필요없음",K266)),ISNUMBER(SEARCH("자력완벽",K266))),"품(복습불필요)",IF(F266&lt;&gt;"","품","미완료"))))))))))</f>
        <v/>
      </c>
      <c r="K266" s="32" t="inlineStr">
        <is>
          <t>-</t>
        </is>
      </c>
      <c r="L266" s="32" t="n"/>
      <c r="M266" s="28">
        <f>IF(OR(LEFT(J266,2)="보류", LEFT(J266,4)="복습대기", LEFT(J266,3)="복습1", LEFT(J266,3)="복습2"), MAX($M$3:M265)+1, "")</f>
        <v/>
      </c>
      <c r="N266" s="28" t="inlineStr">
        <is>
          <t>W09</t>
        </is>
      </c>
      <c r="O266" s="36" t="n">
        <v>46315</v>
      </c>
      <c r="P266" s="30">
        <f>IF(F266&lt;&gt;"","✅ 완료",IF(O266="","-",IF(TODAY()&gt;O266,"🚨 지연","⏳ 예정")))</f>
        <v/>
      </c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 ht="21.75" customHeight="1" s="209">
      <c r="A267" s="28" t="n">
        <v>264</v>
      </c>
      <c r="B267" s="28" t="inlineStr">
        <is>
          <t>10059</t>
        </is>
      </c>
      <c r="C267" s="30" t="inlineStr">
        <is>
          <t>D3</t>
        </is>
      </c>
      <c r="D267" s="32" t="inlineStr">
        <is>
          <t>유효기간</t>
        </is>
      </c>
      <c r="E267" s="28" t="inlineStr">
        <is>
          <t>완전탐색 / 시뮬레이션</t>
        </is>
      </c>
      <c r="F267" s="28" t="n"/>
      <c r="G267" s="28" t="n"/>
      <c r="H267" s="28" t="n"/>
      <c r="I267" s="28" t="n"/>
      <c r="J267" s="54">
        <f>IF(OR(ISNUMBER(SEARCH("보류",K267)),ISNUMBER(SEARCH("미룸",K267)),ISNUMBER(SEARCH("나중에",K267)),ISNUMBER(SEARCH("보류",L267)),ISNUMBER(SEARCH("미룸",L267)),ISNUMBER(SEARCH("나중에",L267))),"보류(나중에 풀기)",IF(AND(F267="",G267="",H267="",I267=""),"미완료",IF(I267&lt;&gt;"","복습3(마스터)",IF(H267&lt;&gt;"","복습2",IF(G267&lt;&gt;"","복습1",IF(ISNUMBER(SEARCH("제미나이",K267)),"복습대기(AI도움)",IF(ISNUMBER(SEARCH("간당간당",K267)),"복습대기(간당간당)",IF(OR(ISNUMBER(SEARCH("아이디어",K267)),ISNUMBER(SEARCH("시간초과",K267)),ISNUMBER(SEARCH("자료구조",K267)),ISNUMBER(SEARCH("경계값",K267)),ISNUMBER(SEARCH("다른 풀이",K267)),ISNUMBER(SEARCH("또풀기",K267))),"복습대기",IF(OR(ISNUMBER(SEARCH("복습필요없음",K267)),ISNUMBER(SEARCH("자력완벽",K267))),"품(복습불필요)",IF(F267&lt;&gt;"","품","미완료"))))))))))</f>
        <v/>
      </c>
      <c r="K267" s="32" t="inlineStr">
        <is>
          <t>-</t>
        </is>
      </c>
      <c r="L267" s="32" t="n"/>
      <c r="M267" s="28">
        <f>IF(OR(LEFT(J267,2)="보류", LEFT(J267,4)="복습대기", LEFT(J267,3)="복습1", LEFT(J267,3)="복습2"), MAX($M$3:M266)+1, "")</f>
        <v/>
      </c>
      <c r="N267" s="28" t="inlineStr">
        <is>
          <t>W09</t>
        </is>
      </c>
      <c r="O267" s="36" t="n">
        <v>46315</v>
      </c>
      <c r="P267" s="30">
        <f>IF(F267&lt;&gt;"","✅ 완료",IF(O267="","-",IF(TODAY()&gt;O267,"🚨 지연","⏳ 예정")))</f>
        <v/>
      </c>
      <c r="Q267" s="7" t="n"/>
      <c r="R267" s="7" t="n"/>
      <c r="S267" s="7" t="n"/>
      <c r="T267" s="7" t="n"/>
      <c r="U267" s="7" t="n"/>
      <c r="V267" s="7" t="n"/>
      <c r="W267" s="7" t="n"/>
      <c r="X267" s="7" t="n"/>
    </row>
    <row r="268" ht="21.75" customHeight="1" s="209">
      <c r="A268" s="28" t="n">
        <v>265</v>
      </c>
      <c r="B268" s="28" t="inlineStr">
        <is>
          <t>10200</t>
        </is>
      </c>
      <c r="C268" s="30" t="inlineStr">
        <is>
          <t>D3</t>
        </is>
      </c>
      <c r="D268" s="32" t="inlineStr">
        <is>
          <t>구독자 전쟁</t>
        </is>
      </c>
      <c r="E268" s="28" t="inlineStr">
        <is>
          <t>완전탐색 / 시뮬레이션</t>
        </is>
      </c>
      <c r="F268" s="28" t="n"/>
      <c r="G268" s="28" t="n"/>
      <c r="H268" s="28" t="n"/>
      <c r="I268" s="28" t="n"/>
      <c r="J268" s="54">
        <f>IF(OR(ISNUMBER(SEARCH("보류",K268)),ISNUMBER(SEARCH("미룸",K268)),ISNUMBER(SEARCH("나중에",K268)),ISNUMBER(SEARCH("보류",L268)),ISNUMBER(SEARCH("미룸",L268)),ISNUMBER(SEARCH("나중에",L268))),"보류(나중에 풀기)",IF(AND(F268="",G268="",H268="",I268=""),"미완료",IF(I268&lt;&gt;"","복습3(마스터)",IF(H268&lt;&gt;"","복습2",IF(G268&lt;&gt;"","복습1",IF(ISNUMBER(SEARCH("제미나이",K268)),"복습대기(AI도움)",IF(ISNUMBER(SEARCH("간당간당",K268)),"복습대기(간당간당)",IF(OR(ISNUMBER(SEARCH("아이디어",K268)),ISNUMBER(SEARCH("시간초과",K268)),ISNUMBER(SEARCH("자료구조",K268)),ISNUMBER(SEARCH("경계값",K268)),ISNUMBER(SEARCH("다른 풀이",K268)),ISNUMBER(SEARCH("또풀기",K268))),"복습대기",IF(OR(ISNUMBER(SEARCH("복습필요없음",K268)),ISNUMBER(SEARCH("자력완벽",K268))),"품(복습불필요)",IF(F268&lt;&gt;"","품","미완료"))))))))))</f>
        <v/>
      </c>
      <c r="K268" s="32" t="inlineStr">
        <is>
          <t>-</t>
        </is>
      </c>
      <c r="L268" s="32" t="n"/>
      <c r="M268" s="28">
        <f>IF(OR(LEFT(J268,2)="보류", LEFT(J268,4)="복습대기", LEFT(J268,3)="복습1", LEFT(J268,3)="복습2"), MAX($M$3:M267)+1, "")</f>
        <v/>
      </c>
      <c r="N268" s="28" t="inlineStr">
        <is>
          <t>W09</t>
        </is>
      </c>
      <c r="O268" s="36" t="n">
        <v>46316</v>
      </c>
      <c r="P268" s="30">
        <f>IF(F268&lt;&gt;"","✅ 완료",IF(O268="","-",IF(TODAY()&gt;O268,"🚨 지연","⏳ 예정")))</f>
        <v/>
      </c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 ht="21.75" customHeight="1" s="209">
      <c r="A269" s="28" t="n">
        <v>266</v>
      </c>
      <c r="B269" s="28" t="inlineStr">
        <is>
          <t>10505</t>
        </is>
      </c>
      <c r="C269" s="30" t="inlineStr">
        <is>
          <t>D3</t>
        </is>
      </c>
      <c r="D269" s="32" t="inlineStr">
        <is>
          <t>소득 불균형</t>
        </is>
      </c>
      <c r="E269" s="28" t="inlineStr">
        <is>
          <t>완전탐색 / 시뮬레이션</t>
        </is>
      </c>
      <c r="F269" s="28" t="n"/>
      <c r="G269" s="28" t="n"/>
      <c r="H269" s="28" t="n"/>
      <c r="I269" s="28" t="n"/>
      <c r="J269" s="54">
        <f>IF(OR(ISNUMBER(SEARCH("보류",K269)),ISNUMBER(SEARCH("미룸",K269)),ISNUMBER(SEARCH("나중에",K269)),ISNUMBER(SEARCH("보류",L269)),ISNUMBER(SEARCH("미룸",L269)),ISNUMBER(SEARCH("나중에",L269))),"보류(나중에 풀기)",IF(AND(F269="",G269="",H269="",I269=""),"미완료",IF(I269&lt;&gt;"","복습3(마스터)",IF(H269&lt;&gt;"","복습2",IF(G269&lt;&gt;"","복습1",IF(ISNUMBER(SEARCH("제미나이",K269)),"복습대기(AI도움)",IF(ISNUMBER(SEARCH("간당간당",K269)),"복습대기(간당간당)",IF(OR(ISNUMBER(SEARCH("아이디어",K269)),ISNUMBER(SEARCH("시간초과",K269)),ISNUMBER(SEARCH("자료구조",K269)),ISNUMBER(SEARCH("경계값",K269)),ISNUMBER(SEARCH("다른 풀이",K269)),ISNUMBER(SEARCH("또풀기",K269))),"복습대기",IF(OR(ISNUMBER(SEARCH("복습필요없음",K269)),ISNUMBER(SEARCH("자력완벽",K269))),"품(복습불필요)",IF(F269&lt;&gt;"","품","미완료"))))))))))</f>
        <v/>
      </c>
      <c r="K269" s="32" t="inlineStr">
        <is>
          <t>-</t>
        </is>
      </c>
      <c r="L269" s="32" t="n"/>
      <c r="M269" s="28">
        <f>IF(OR(LEFT(J269,2)="보류", LEFT(J269,4)="복습대기", LEFT(J269,3)="복습1", LEFT(J269,3)="복습2"), MAX($M$3:M268)+1, "")</f>
        <v/>
      </c>
      <c r="N269" s="28" t="inlineStr">
        <is>
          <t>W09</t>
        </is>
      </c>
      <c r="O269" s="36" t="n">
        <v>46316</v>
      </c>
      <c r="P269" s="30">
        <f>IF(F269&lt;&gt;"","✅ 완료",IF(O269="","-",IF(TODAY()&gt;O269,"🚨 지연","⏳ 예정")))</f>
        <v/>
      </c>
      <c r="Q269" s="7" t="n"/>
      <c r="R269" s="7" t="n"/>
      <c r="S269" s="7" t="n"/>
      <c r="T269" s="7" t="n"/>
      <c r="U269" s="7" t="n"/>
      <c r="V269" s="7" t="n"/>
      <c r="W269" s="7" t="n"/>
      <c r="X269" s="7" t="n"/>
    </row>
    <row r="270" ht="21.75" customHeight="1" s="209">
      <c r="A270" s="28" t="n">
        <v>267</v>
      </c>
      <c r="B270" s="28" t="inlineStr">
        <is>
          <t>10570</t>
        </is>
      </c>
      <c r="C270" s="30" t="inlineStr">
        <is>
          <t>D3</t>
        </is>
      </c>
      <c r="D270" s="32" t="inlineStr">
        <is>
          <t>제곱 팰린드롬 수</t>
        </is>
      </c>
      <c r="E270" s="28" t="inlineStr">
        <is>
          <t>문자열 / 파싱</t>
        </is>
      </c>
      <c r="F270" s="28" t="n"/>
      <c r="G270" s="28" t="n"/>
      <c r="H270" s="28" t="n"/>
      <c r="I270" s="28" t="n"/>
      <c r="J270" s="54">
        <f>IF(OR(ISNUMBER(SEARCH("보류",K270)),ISNUMBER(SEARCH("미룸",K270)),ISNUMBER(SEARCH("나중에",K270)),ISNUMBER(SEARCH("보류",L270)),ISNUMBER(SEARCH("미룸",L270)),ISNUMBER(SEARCH("나중에",L270))),"보류(나중에 풀기)",IF(AND(F270="",G270="",H270="",I270=""),"미완료",IF(I270&lt;&gt;"","복습3(마스터)",IF(H270&lt;&gt;"","복습2",IF(G270&lt;&gt;"","복습1",IF(ISNUMBER(SEARCH("제미나이",K270)),"복습대기(AI도움)",IF(ISNUMBER(SEARCH("간당간당",K270)),"복습대기(간당간당)",IF(OR(ISNUMBER(SEARCH("아이디어",K270)),ISNUMBER(SEARCH("시간초과",K270)),ISNUMBER(SEARCH("자료구조",K270)),ISNUMBER(SEARCH("경계값",K270)),ISNUMBER(SEARCH("다른 풀이",K270)),ISNUMBER(SEARCH("또풀기",K270))),"복습대기",IF(OR(ISNUMBER(SEARCH("복습필요없음",K270)),ISNUMBER(SEARCH("자력완벽",K270))),"품(복습불필요)",IF(F270&lt;&gt;"","품","미완료"))))))))))</f>
        <v/>
      </c>
      <c r="K270" s="32" t="inlineStr">
        <is>
          <t>-</t>
        </is>
      </c>
      <c r="L270" s="32" t="n"/>
      <c r="M270" s="28">
        <f>IF(OR(LEFT(J270,2)="보류", LEFT(J270,4)="복습대기", LEFT(J270,3)="복습1", LEFT(J270,3)="복습2"), MAX($M$3:M269)+1, "")</f>
        <v/>
      </c>
      <c r="N270" s="28" t="inlineStr">
        <is>
          <t>W09</t>
        </is>
      </c>
      <c r="O270" s="36" t="n">
        <v>46316</v>
      </c>
      <c r="P270" s="30">
        <f>IF(F270&lt;&gt;"","✅ 완료",IF(O270="","-",IF(TODAY()&gt;O270,"🚨 지연","⏳ 예정")))</f>
        <v/>
      </c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 ht="21.75" customHeight="1" s="209">
      <c r="A271" s="28" t="n">
        <v>268</v>
      </c>
      <c r="B271" s="28" t="inlineStr">
        <is>
          <t>10580</t>
        </is>
      </c>
      <c r="C271" s="30" t="inlineStr">
        <is>
          <t>D3</t>
        </is>
      </c>
      <c r="D271" s="32" t="inlineStr">
        <is>
          <t>전봇대</t>
        </is>
      </c>
      <c r="E271" s="28" t="inlineStr">
        <is>
          <t>완전탐색 / 시뮬레이션</t>
        </is>
      </c>
      <c r="F271" s="28" t="n"/>
      <c r="G271" s="28" t="n"/>
      <c r="H271" s="28" t="n"/>
      <c r="I271" s="28" t="n"/>
      <c r="J271" s="54">
        <f>IF(OR(ISNUMBER(SEARCH("보류",K271)),ISNUMBER(SEARCH("미룸",K271)),ISNUMBER(SEARCH("나중에",K271)),ISNUMBER(SEARCH("보류",L271)),ISNUMBER(SEARCH("미룸",L271)),ISNUMBER(SEARCH("나중에",L271))),"보류(나중에 풀기)",IF(AND(F271="",G271="",H271="",I271=""),"미완료",IF(I271&lt;&gt;"","복습3(마스터)",IF(H271&lt;&gt;"","복습2",IF(G271&lt;&gt;"","복습1",IF(ISNUMBER(SEARCH("제미나이",K271)),"복습대기(AI도움)",IF(ISNUMBER(SEARCH("간당간당",K271)),"복습대기(간당간당)",IF(OR(ISNUMBER(SEARCH("아이디어",K271)),ISNUMBER(SEARCH("시간초과",K271)),ISNUMBER(SEARCH("자료구조",K271)),ISNUMBER(SEARCH("경계값",K271)),ISNUMBER(SEARCH("다른 풀이",K271)),ISNUMBER(SEARCH("또풀기",K271))),"복습대기",IF(OR(ISNUMBER(SEARCH("복습필요없음",K271)),ISNUMBER(SEARCH("자력완벽",K271))),"품(복습불필요)",IF(F271&lt;&gt;"","품","미완료"))))))))))</f>
        <v/>
      </c>
      <c r="K271" s="32" t="inlineStr">
        <is>
          <t>-</t>
        </is>
      </c>
      <c r="L271" s="32" t="n"/>
      <c r="M271" s="28">
        <f>IF(OR(LEFT(J271,2)="보류", LEFT(J271,4)="복습대기", LEFT(J271,3)="복습1", LEFT(J271,3)="복습2"), MAX($M$3:M270)+1, "")</f>
        <v/>
      </c>
      <c r="N271" s="28" t="inlineStr">
        <is>
          <t>W09</t>
        </is>
      </c>
      <c r="O271" s="36" t="n">
        <v>46316</v>
      </c>
      <c r="P271" s="30">
        <f>IF(F271&lt;&gt;"","✅ 완료",IF(O271="","-",IF(TODAY()&gt;O271,"🚨 지연","⏳ 예정")))</f>
        <v/>
      </c>
      <c r="Q271" s="7" t="n"/>
      <c r="R271" s="7" t="n"/>
      <c r="S271" s="7" t="n"/>
      <c r="T271" s="7" t="n"/>
      <c r="U271" s="7" t="n"/>
      <c r="V271" s="7" t="n"/>
      <c r="W271" s="7" t="n"/>
      <c r="X271" s="7" t="n"/>
    </row>
    <row r="272" ht="21.75" customHeight="1" s="209">
      <c r="A272" s="28" t="n">
        <v>269</v>
      </c>
      <c r="B272" s="28" t="inlineStr">
        <is>
          <t>10804</t>
        </is>
      </c>
      <c r="C272" s="30" t="inlineStr">
        <is>
          <t>D3</t>
        </is>
      </c>
      <c r="D272" s="32" t="inlineStr">
        <is>
          <t>문자열의 거울상</t>
        </is>
      </c>
      <c r="E272" s="28" t="inlineStr">
        <is>
          <t>문자열 / 파싱</t>
        </is>
      </c>
      <c r="F272" s="28" t="n"/>
      <c r="G272" s="28" t="n"/>
      <c r="H272" s="28" t="n"/>
      <c r="I272" s="28" t="n"/>
      <c r="J272" s="54">
        <f>IF(OR(ISNUMBER(SEARCH("보류",K272)),ISNUMBER(SEARCH("미룸",K272)),ISNUMBER(SEARCH("나중에",K272)),ISNUMBER(SEARCH("보류",L272)),ISNUMBER(SEARCH("미룸",L272)),ISNUMBER(SEARCH("나중에",L272))),"보류(나중에 풀기)",IF(AND(F272="",G272="",H272="",I272=""),"미완료",IF(I272&lt;&gt;"","복습3(마스터)",IF(H272&lt;&gt;"","복습2",IF(G272&lt;&gt;"","복습1",IF(ISNUMBER(SEARCH("제미나이",K272)),"복습대기(AI도움)",IF(ISNUMBER(SEARCH("간당간당",K272)),"복습대기(간당간당)",IF(OR(ISNUMBER(SEARCH("아이디어",K272)),ISNUMBER(SEARCH("시간초과",K272)),ISNUMBER(SEARCH("자료구조",K272)),ISNUMBER(SEARCH("경계값",K272)),ISNUMBER(SEARCH("다른 풀이",K272)),ISNUMBER(SEARCH("또풀기",K272))),"복습대기",IF(OR(ISNUMBER(SEARCH("복습필요없음",K272)),ISNUMBER(SEARCH("자력완벽",K272))),"품(복습불필요)",IF(F272&lt;&gt;"","품","미완료"))))))))))</f>
        <v/>
      </c>
      <c r="K272" s="32" t="inlineStr">
        <is>
          <t>-</t>
        </is>
      </c>
      <c r="L272" s="32" t="n"/>
      <c r="M272" s="28">
        <f>IF(OR(LEFT(J272,2)="보류", LEFT(J272,4)="복습대기", LEFT(J272,3)="복습1", LEFT(J272,3)="복습2"), MAX($M$3:M271)+1, "")</f>
        <v/>
      </c>
      <c r="N272" s="28" t="inlineStr">
        <is>
          <t>W09</t>
        </is>
      </c>
      <c r="O272" s="36" t="n">
        <v>46316</v>
      </c>
      <c r="P272" s="30">
        <f>IF(F272&lt;&gt;"","✅ 완료",IF(O272="","-",IF(TODAY()&gt;O272,"🚨 지연","⏳ 예정")))</f>
        <v/>
      </c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 ht="21.75" customHeight="1" s="209">
      <c r="A273" s="28" t="n">
        <v>270</v>
      </c>
      <c r="B273" s="28" t="inlineStr">
        <is>
          <t>10912</t>
        </is>
      </c>
      <c r="C273" s="30" t="inlineStr">
        <is>
          <t>D3</t>
        </is>
      </c>
      <c r="D273" s="32" t="inlineStr">
        <is>
          <t>외로운 문자</t>
        </is>
      </c>
      <c r="E273" s="28" t="inlineStr">
        <is>
          <t>완전탐색 / 시뮬레이션</t>
        </is>
      </c>
      <c r="F273" s="28" t="n"/>
      <c r="G273" s="28" t="n"/>
      <c r="H273" s="28" t="n"/>
      <c r="I273" s="28" t="n"/>
      <c r="J273" s="54">
        <f>IF(OR(ISNUMBER(SEARCH("보류",K273)),ISNUMBER(SEARCH("미룸",K273)),ISNUMBER(SEARCH("나중에",K273)),ISNUMBER(SEARCH("보류",L273)),ISNUMBER(SEARCH("미룸",L273)),ISNUMBER(SEARCH("나중에",L273))),"보류(나중에 풀기)",IF(AND(F273="",G273="",H273="",I273=""),"미완료",IF(I273&lt;&gt;"","복습3(마스터)",IF(H273&lt;&gt;"","복습2",IF(G273&lt;&gt;"","복습1",IF(ISNUMBER(SEARCH("제미나이",K273)),"복습대기(AI도움)",IF(ISNUMBER(SEARCH("간당간당",K273)),"복습대기(간당간당)",IF(OR(ISNUMBER(SEARCH("아이디어",K273)),ISNUMBER(SEARCH("시간초과",K273)),ISNUMBER(SEARCH("자료구조",K273)),ISNUMBER(SEARCH("경계값",K273)),ISNUMBER(SEARCH("다른 풀이",K273)),ISNUMBER(SEARCH("또풀기",K273))),"복습대기",IF(OR(ISNUMBER(SEARCH("복습필요없음",K273)),ISNUMBER(SEARCH("자력완벽",K273))),"품(복습불필요)",IF(F273&lt;&gt;"","품","미완료"))))))))))</f>
        <v/>
      </c>
      <c r="K273" s="32" t="inlineStr">
        <is>
          <t>-</t>
        </is>
      </c>
      <c r="L273" s="32" t="n"/>
      <c r="M273" s="28">
        <f>IF(OR(LEFT(J273,2)="보류", LEFT(J273,4)="복습대기", LEFT(J273,3)="복습1", LEFT(J273,3)="복습2"), MAX($M$3:M272)+1, "")</f>
        <v/>
      </c>
      <c r="N273" s="28" t="inlineStr">
        <is>
          <t>W09</t>
        </is>
      </c>
      <c r="O273" s="36" t="n">
        <v>46316</v>
      </c>
      <c r="P273" s="30">
        <f>IF(F273&lt;&gt;"","✅ 완료",IF(O273="","-",IF(TODAY()&gt;O273,"🚨 지연","⏳ 예정")))</f>
        <v/>
      </c>
      <c r="Q273" s="7" t="n"/>
      <c r="R273" s="7" t="n"/>
      <c r="S273" s="7" t="n"/>
      <c r="T273" s="7" t="n"/>
      <c r="U273" s="7" t="n"/>
      <c r="V273" s="7" t="n"/>
      <c r="W273" s="7" t="n"/>
      <c r="X273" s="7" t="n"/>
    </row>
    <row r="274" ht="21.75" customHeight="1" s="209">
      <c r="A274" s="28" t="n">
        <v>271</v>
      </c>
      <c r="B274" s="28" t="inlineStr">
        <is>
          <t>10965</t>
        </is>
      </c>
      <c r="C274" s="30" t="inlineStr">
        <is>
          <t>D3</t>
        </is>
      </c>
      <c r="D274" s="32" t="inlineStr">
        <is>
          <t>제곱수 만들기</t>
        </is>
      </c>
      <c r="E274" s="28" t="inlineStr">
        <is>
          <t>수학 / 정수론</t>
        </is>
      </c>
      <c r="F274" s="28" t="n"/>
      <c r="G274" s="28" t="n"/>
      <c r="H274" s="28" t="n"/>
      <c r="I274" s="28" t="n"/>
      <c r="J274" s="54">
        <f>IF(OR(ISNUMBER(SEARCH("보류",K274)),ISNUMBER(SEARCH("미룸",K274)),ISNUMBER(SEARCH("나중에",K274)),ISNUMBER(SEARCH("보류",L274)),ISNUMBER(SEARCH("미룸",L274)),ISNUMBER(SEARCH("나중에",L274))),"보류(나중에 풀기)",IF(AND(F274="",G274="",H274="",I274=""),"미완료",IF(I274&lt;&gt;"","복습3(마스터)",IF(H274&lt;&gt;"","복습2",IF(G274&lt;&gt;"","복습1",IF(ISNUMBER(SEARCH("제미나이",K274)),"복습대기(AI도움)",IF(ISNUMBER(SEARCH("간당간당",K274)),"복습대기(간당간당)",IF(OR(ISNUMBER(SEARCH("아이디어",K274)),ISNUMBER(SEARCH("시간초과",K274)),ISNUMBER(SEARCH("자료구조",K274)),ISNUMBER(SEARCH("경계값",K274)),ISNUMBER(SEARCH("다른 풀이",K274)),ISNUMBER(SEARCH("또풀기",K274))),"복습대기",IF(OR(ISNUMBER(SEARCH("복습필요없음",K274)),ISNUMBER(SEARCH("자력완벽",K274))),"품(복습불필요)",IF(F274&lt;&gt;"","품","미완료"))))))))))</f>
        <v/>
      </c>
      <c r="K274" s="32" t="inlineStr">
        <is>
          <t>-</t>
        </is>
      </c>
      <c r="L274" s="32" t="n"/>
      <c r="M274" s="28">
        <f>IF(OR(LEFT(J274,2)="보류", LEFT(J274,4)="복습대기", LEFT(J274,3)="복습1", LEFT(J274,3)="복습2"), MAX($M$3:M273)+1, "")</f>
        <v/>
      </c>
      <c r="N274" s="28" t="inlineStr">
        <is>
          <t>W09</t>
        </is>
      </c>
      <c r="O274" s="36" t="n">
        <v>46316</v>
      </c>
      <c r="P274" s="30">
        <f>IF(F274&lt;&gt;"","✅ 완료",IF(O274="","-",IF(TODAY()&gt;O274,"🚨 지연","⏳ 예정")))</f>
        <v/>
      </c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 ht="21.75" customHeight="1" s="209">
      <c r="A275" s="28" t="n">
        <v>272</v>
      </c>
      <c r="B275" s="28" t="inlineStr">
        <is>
          <t>10993</t>
        </is>
      </c>
      <c r="C275" s="30" t="inlineStr">
        <is>
          <t>D3</t>
        </is>
      </c>
      <c r="D275" s="32" t="inlineStr">
        <is>
          <t>군주제와 공화제</t>
        </is>
      </c>
      <c r="E275" s="28" t="inlineStr">
        <is>
          <t>완전탐색 / 시뮬레이션</t>
        </is>
      </c>
      <c r="F275" s="28" t="n"/>
      <c r="G275" s="28" t="n"/>
      <c r="H275" s="28" t="n"/>
      <c r="I275" s="28" t="n"/>
      <c r="J275" s="54">
        <f>IF(OR(ISNUMBER(SEARCH("보류",K275)),ISNUMBER(SEARCH("미룸",K275)),ISNUMBER(SEARCH("나중에",K275)),ISNUMBER(SEARCH("보류",L275)),ISNUMBER(SEARCH("미룸",L275)),ISNUMBER(SEARCH("나중에",L275))),"보류(나중에 풀기)",IF(AND(F275="",G275="",H275="",I275=""),"미완료",IF(I275&lt;&gt;"","복습3(마스터)",IF(H275&lt;&gt;"","복습2",IF(G275&lt;&gt;"","복습1",IF(ISNUMBER(SEARCH("제미나이",K275)),"복습대기(AI도움)",IF(ISNUMBER(SEARCH("간당간당",K275)),"복습대기(간당간당)",IF(OR(ISNUMBER(SEARCH("아이디어",K275)),ISNUMBER(SEARCH("시간초과",K275)),ISNUMBER(SEARCH("자료구조",K275)),ISNUMBER(SEARCH("경계값",K275)),ISNUMBER(SEARCH("다른 풀이",K275)),ISNUMBER(SEARCH("또풀기",K275))),"복습대기",IF(OR(ISNUMBER(SEARCH("복습필요없음",K275)),ISNUMBER(SEARCH("자력완벽",K275))),"품(복습불필요)",IF(F275&lt;&gt;"","품","미완료"))))))))))</f>
        <v/>
      </c>
      <c r="K275" s="32" t="inlineStr">
        <is>
          <t>-</t>
        </is>
      </c>
      <c r="L275" s="32" t="n"/>
      <c r="M275" s="28">
        <f>IF(OR(LEFT(J275,2)="보류", LEFT(J275,4)="복습대기", LEFT(J275,3)="복습1", LEFT(J275,3)="복습2"), MAX($M$3:M274)+1, "")</f>
        <v/>
      </c>
      <c r="N275" s="28" t="inlineStr">
        <is>
          <t>W09</t>
        </is>
      </c>
      <c r="O275" s="36" t="n">
        <v>46316</v>
      </c>
      <c r="P275" s="30">
        <f>IF(F275&lt;&gt;"","✅ 완료",IF(O275="","-",IF(TODAY()&gt;O275,"🚨 지연","⏳ 예정")))</f>
        <v/>
      </c>
      <c r="Q275" s="7" t="n"/>
      <c r="R275" s="7" t="n"/>
      <c r="S275" s="7" t="n"/>
      <c r="T275" s="7" t="n"/>
      <c r="U275" s="7" t="n"/>
      <c r="V275" s="7" t="n"/>
      <c r="W275" s="7" t="n"/>
      <c r="X275" s="7" t="n"/>
    </row>
    <row r="276" ht="21.75" customHeight="1" s="209">
      <c r="A276" s="28" t="n">
        <v>273</v>
      </c>
      <c r="B276" s="28" t="inlineStr">
        <is>
          <t>11285</t>
        </is>
      </c>
      <c r="C276" s="30" t="inlineStr">
        <is>
          <t>D3</t>
        </is>
      </c>
      <c r="D276" s="32" t="inlineStr">
        <is>
          <t>다트 게임</t>
        </is>
      </c>
      <c r="E276" s="28" t="inlineStr">
        <is>
          <t>시뮬레이션 / 구현</t>
        </is>
      </c>
      <c r="F276" s="28" t="n"/>
      <c r="G276" s="28" t="n"/>
      <c r="H276" s="28" t="n"/>
      <c r="I276" s="28" t="n"/>
      <c r="J276" s="54">
        <f>IF(OR(ISNUMBER(SEARCH("보류",K276)),ISNUMBER(SEARCH("미룸",K276)),ISNUMBER(SEARCH("나중에",K276)),ISNUMBER(SEARCH("보류",L276)),ISNUMBER(SEARCH("미룸",L276)),ISNUMBER(SEARCH("나중에",L276))),"보류(나중에 풀기)",IF(AND(F276="",G276="",H276="",I276=""),"미완료",IF(I276&lt;&gt;"","복습3(마스터)",IF(H276&lt;&gt;"","복습2",IF(G276&lt;&gt;"","복습1",IF(ISNUMBER(SEARCH("제미나이",K276)),"복습대기(AI도움)",IF(ISNUMBER(SEARCH("간당간당",K276)),"복습대기(간당간당)",IF(OR(ISNUMBER(SEARCH("아이디어",K276)),ISNUMBER(SEARCH("시간초과",K276)),ISNUMBER(SEARCH("자료구조",K276)),ISNUMBER(SEARCH("경계값",K276)),ISNUMBER(SEARCH("다른 풀이",K276)),ISNUMBER(SEARCH("또풀기",K276))),"복습대기",IF(OR(ISNUMBER(SEARCH("복습필요없음",K276)),ISNUMBER(SEARCH("자력완벽",K276))),"품(복습불필요)",IF(F276&lt;&gt;"","품","미완료"))))))))))</f>
        <v/>
      </c>
      <c r="K276" s="32" t="inlineStr">
        <is>
          <t>-</t>
        </is>
      </c>
      <c r="L276" s="32" t="n"/>
      <c r="M276" s="28">
        <f>IF(OR(LEFT(J276,2)="보류", LEFT(J276,4)="복습대기", LEFT(J276,3)="복습1", LEFT(J276,3)="복습2"), MAX($M$3:M275)+1, "")</f>
        <v/>
      </c>
      <c r="N276" s="28" t="inlineStr">
        <is>
          <t>W09</t>
        </is>
      </c>
      <c r="O276" s="36" t="n">
        <v>46317</v>
      </c>
      <c r="P276" s="30">
        <f>IF(F276&lt;&gt;"","✅ 완료",IF(O276="","-",IF(TODAY()&gt;O276,"🚨 지연","⏳ 예정")))</f>
        <v/>
      </c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 ht="21.75" customHeight="1" s="209">
      <c r="A277" s="28" t="n">
        <v>274</v>
      </c>
      <c r="B277" s="28" t="inlineStr">
        <is>
          <t>11387</t>
        </is>
      </c>
      <c r="C277" s="30" t="inlineStr">
        <is>
          <t>D3</t>
        </is>
      </c>
      <c r="D277" s="32" t="inlineStr">
        <is>
          <t>몬스터 사냥</t>
        </is>
      </c>
      <c r="E277" s="28" t="inlineStr">
        <is>
          <t>완전탐색 / 시뮬레이션</t>
        </is>
      </c>
      <c r="F277" s="28" t="n"/>
      <c r="G277" s="28" t="n"/>
      <c r="H277" s="28" t="n"/>
      <c r="I277" s="28" t="n"/>
      <c r="J277" s="54">
        <f>IF(OR(ISNUMBER(SEARCH("보류",K277)),ISNUMBER(SEARCH("미룸",K277)),ISNUMBER(SEARCH("나중에",K277)),ISNUMBER(SEARCH("보류",L277)),ISNUMBER(SEARCH("미룸",L277)),ISNUMBER(SEARCH("나중에",L277))),"보류(나중에 풀기)",IF(AND(F277="",G277="",H277="",I277=""),"미완료",IF(I277&lt;&gt;"","복습3(마스터)",IF(H277&lt;&gt;"","복습2",IF(G277&lt;&gt;"","복습1",IF(ISNUMBER(SEARCH("제미나이",K277)),"복습대기(AI도움)",IF(ISNUMBER(SEARCH("간당간당",K277)),"복습대기(간당간당)",IF(OR(ISNUMBER(SEARCH("아이디어",K277)),ISNUMBER(SEARCH("시간초과",K277)),ISNUMBER(SEARCH("자료구조",K277)),ISNUMBER(SEARCH("경계값",K277)),ISNUMBER(SEARCH("다른 풀이",K277)),ISNUMBER(SEARCH("또풀기",K277))),"복습대기",IF(OR(ISNUMBER(SEARCH("복습필요없음",K277)),ISNUMBER(SEARCH("자력완벽",K277))),"품(복습불필요)",IF(F277&lt;&gt;"","품","미완료"))))))))))</f>
        <v/>
      </c>
      <c r="K277" s="32" t="inlineStr">
        <is>
          <t>-</t>
        </is>
      </c>
      <c r="L277" s="32" t="n"/>
      <c r="M277" s="28">
        <f>IF(OR(LEFT(J277,2)="보류", LEFT(J277,4)="복습대기", LEFT(J277,3)="복습1", LEFT(J277,3)="복습2"), MAX($M$3:M276)+1, "")</f>
        <v/>
      </c>
      <c r="N277" s="28" t="inlineStr">
        <is>
          <t>W09</t>
        </is>
      </c>
      <c r="O277" s="36" t="n">
        <v>46317</v>
      </c>
      <c r="P277" s="30">
        <f>IF(F277&lt;&gt;"","✅ 완료",IF(O277="","-",IF(TODAY()&gt;O277,"🚨 지연","⏳ 예정")))</f>
        <v/>
      </c>
      <c r="Q277" s="7" t="n"/>
      <c r="R277" s="7" t="n"/>
      <c r="S277" s="7" t="n"/>
      <c r="T277" s="7" t="n"/>
      <c r="U277" s="7" t="n"/>
      <c r="V277" s="7" t="n"/>
      <c r="W277" s="7" t="n"/>
      <c r="X277" s="7" t="n"/>
    </row>
    <row r="278" ht="21.75" customHeight="1" s="209">
      <c r="A278" s="28" t="n">
        <v>275</v>
      </c>
      <c r="B278" s="28" t="inlineStr">
        <is>
          <t>11445</t>
        </is>
      </c>
      <c r="C278" s="30" t="inlineStr">
        <is>
          <t>D3</t>
        </is>
      </c>
      <c r="D278" s="32" t="inlineStr">
        <is>
          <t>무한 사전</t>
        </is>
      </c>
      <c r="E278" s="28" t="inlineStr">
        <is>
          <t>문자열 / 파싱</t>
        </is>
      </c>
      <c r="F278" s="28" t="n"/>
      <c r="G278" s="28" t="n"/>
      <c r="H278" s="28" t="n"/>
      <c r="I278" s="28" t="n"/>
      <c r="J278" s="54">
        <f>IF(OR(ISNUMBER(SEARCH("보류",K278)),ISNUMBER(SEARCH("미룸",K278)),ISNUMBER(SEARCH("나중에",K278)),ISNUMBER(SEARCH("보류",L278)),ISNUMBER(SEARCH("미룸",L278)),ISNUMBER(SEARCH("나중에",L278))),"보류(나중에 풀기)",IF(AND(F278="",G278="",H278="",I278=""),"미완료",IF(I278&lt;&gt;"","복습3(마스터)",IF(H278&lt;&gt;"","복습2",IF(G278&lt;&gt;"","복습1",IF(ISNUMBER(SEARCH("제미나이",K278)),"복습대기(AI도움)",IF(ISNUMBER(SEARCH("간당간당",K278)),"복습대기(간당간당)",IF(OR(ISNUMBER(SEARCH("아이디어",K278)),ISNUMBER(SEARCH("시간초과",K278)),ISNUMBER(SEARCH("자료구조",K278)),ISNUMBER(SEARCH("경계값",K278)),ISNUMBER(SEARCH("다른 풀이",K278)),ISNUMBER(SEARCH("또풀기",K278))),"복습대기",IF(OR(ISNUMBER(SEARCH("복습필요없음",K278)),ISNUMBER(SEARCH("자력완벽",K278))),"품(복습불필요)",IF(F278&lt;&gt;"","품","미완료"))))))))))</f>
        <v/>
      </c>
      <c r="K278" s="32" t="inlineStr">
        <is>
          <t>-</t>
        </is>
      </c>
      <c r="L278" s="32" t="n"/>
      <c r="M278" s="28">
        <f>IF(OR(LEFT(J278,2)="보류", LEFT(J278,4)="복습대기", LEFT(J278,3)="복습1", LEFT(J278,3)="복습2"), MAX($M$3:M277)+1, "")</f>
        <v/>
      </c>
      <c r="N278" s="28" t="inlineStr">
        <is>
          <t>W09</t>
        </is>
      </c>
      <c r="O278" s="36" t="n">
        <v>46317</v>
      </c>
      <c r="P278" s="30">
        <f>IF(F278&lt;&gt;"","✅ 완료",IF(O278="","-",IF(TODAY()&gt;O278,"🚨 지연","⏳ 예정")))</f>
        <v/>
      </c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 ht="21.75" customHeight="1" s="209">
      <c r="A279" s="28" t="n">
        <v>276</v>
      </c>
      <c r="B279" s="28" t="inlineStr">
        <is>
          <t>11688</t>
        </is>
      </c>
      <c r="C279" s="30" t="inlineStr">
        <is>
          <t>D3</t>
        </is>
      </c>
      <c r="D279" s="32" t="inlineStr">
        <is>
          <t>Calkin-Wilf tree 1</t>
        </is>
      </c>
      <c r="E279" s="28" t="inlineStr">
        <is>
          <t>트리 / 힙 / 세그먼트트리</t>
        </is>
      </c>
      <c r="F279" s="28" t="n"/>
      <c r="G279" s="28" t="n"/>
      <c r="H279" s="28" t="n"/>
      <c r="I279" s="28" t="n"/>
      <c r="J279" s="54">
        <f>IF(OR(ISNUMBER(SEARCH("보류",K279)),ISNUMBER(SEARCH("미룸",K279)),ISNUMBER(SEARCH("나중에",K279)),ISNUMBER(SEARCH("보류",L279)),ISNUMBER(SEARCH("미룸",L279)),ISNUMBER(SEARCH("나중에",L279))),"보류(나중에 풀기)",IF(AND(F279="",G279="",H279="",I279=""),"미완료",IF(I279&lt;&gt;"","복습3(마스터)",IF(H279&lt;&gt;"","복습2",IF(G279&lt;&gt;"","복습1",IF(ISNUMBER(SEARCH("제미나이",K279)),"복습대기(AI도움)",IF(ISNUMBER(SEARCH("간당간당",K279)),"복습대기(간당간당)",IF(OR(ISNUMBER(SEARCH("아이디어",K279)),ISNUMBER(SEARCH("시간초과",K279)),ISNUMBER(SEARCH("자료구조",K279)),ISNUMBER(SEARCH("경계값",K279)),ISNUMBER(SEARCH("다른 풀이",K279)),ISNUMBER(SEARCH("또풀기",K279))),"복습대기",IF(OR(ISNUMBER(SEARCH("복습필요없음",K279)),ISNUMBER(SEARCH("자력완벽",K279))),"품(복습불필요)",IF(F279&lt;&gt;"","품","미완료"))))))))))</f>
        <v/>
      </c>
      <c r="K279" s="32" t="inlineStr">
        <is>
          <t>-</t>
        </is>
      </c>
      <c r="L279" s="32" t="n"/>
      <c r="M279" s="28">
        <f>IF(OR(LEFT(J279,2)="보류", LEFT(J279,4)="복습대기", LEFT(J279,3)="복습1", LEFT(J279,3)="복습2"), MAX($M$3:M278)+1, "")</f>
        <v/>
      </c>
      <c r="N279" s="28" t="inlineStr">
        <is>
          <t>W09</t>
        </is>
      </c>
      <c r="O279" s="36" t="n">
        <v>46317</v>
      </c>
      <c r="P279" s="30">
        <f>IF(F279&lt;&gt;"","✅ 완료",IF(O279="","-",IF(TODAY()&gt;O279,"🚨 지연","⏳ 예정")))</f>
        <v/>
      </c>
      <c r="Q279" s="7" t="n"/>
      <c r="R279" s="7" t="n"/>
      <c r="S279" s="7" t="n"/>
      <c r="T279" s="7" t="n"/>
      <c r="U279" s="7" t="n"/>
      <c r="V279" s="7" t="n"/>
      <c r="W279" s="7" t="n"/>
      <c r="X279" s="7" t="n"/>
    </row>
    <row r="280" ht="21.75" customHeight="1" s="209">
      <c r="A280" s="28" t="n">
        <v>277</v>
      </c>
      <c r="B280" s="28" t="inlineStr">
        <is>
          <t>11736</t>
        </is>
      </c>
      <c r="C280" s="30" t="inlineStr">
        <is>
          <t>D3</t>
        </is>
      </c>
      <c r="D280" s="32" t="inlineStr">
        <is>
          <t>평범한 숫자</t>
        </is>
      </c>
      <c r="E280" s="28" t="inlineStr">
        <is>
          <t>완전탐색 / 시뮬레이션</t>
        </is>
      </c>
      <c r="F280" s="28" t="n"/>
      <c r="G280" s="28" t="n"/>
      <c r="H280" s="28" t="n"/>
      <c r="I280" s="28" t="n"/>
      <c r="J280" s="54">
        <f>IF(OR(ISNUMBER(SEARCH("보류",K280)),ISNUMBER(SEARCH("미룸",K280)),ISNUMBER(SEARCH("나중에",K280)),ISNUMBER(SEARCH("보류",L280)),ISNUMBER(SEARCH("미룸",L280)),ISNUMBER(SEARCH("나중에",L280))),"보류(나중에 풀기)",IF(AND(F280="",G280="",H280="",I280=""),"미완료",IF(I280&lt;&gt;"","복습3(마스터)",IF(H280&lt;&gt;"","복습2",IF(G280&lt;&gt;"","복습1",IF(ISNUMBER(SEARCH("제미나이",K280)),"복습대기(AI도움)",IF(ISNUMBER(SEARCH("간당간당",K280)),"복습대기(간당간당)",IF(OR(ISNUMBER(SEARCH("아이디어",K280)),ISNUMBER(SEARCH("시간초과",K280)),ISNUMBER(SEARCH("자료구조",K280)),ISNUMBER(SEARCH("경계값",K280)),ISNUMBER(SEARCH("다른 풀이",K280)),ISNUMBER(SEARCH("또풀기",K280))),"복습대기",IF(OR(ISNUMBER(SEARCH("복습필요없음",K280)),ISNUMBER(SEARCH("자력완벽",K280))),"품(복습불필요)",IF(F280&lt;&gt;"","품","미완료"))))))))))</f>
        <v/>
      </c>
      <c r="K280" s="32" t="inlineStr">
        <is>
          <t>-</t>
        </is>
      </c>
      <c r="L280" s="32" t="n"/>
      <c r="M280" s="28">
        <f>IF(OR(LEFT(J280,2)="보류", LEFT(J280,4)="복습대기", LEFT(J280,3)="복습1", LEFT(J280,3)="복습2"), MAX($M$3:M279)+1, "")</f>
        <v/>
      </c>
      <c r="N280" s="28" t="inlineStr">
        <is>
          <t>W09</t>
        </is>
      </c>
      <c r="O280" s="36" t="n">
        <v>46317</v>
      </c>
      <c r="P280" s="30">
        <f>IF(F280&lt;&gt;"","✅ 완료",IF(O280="","-",IF(TODAY()&gt;O280,"🚨 지연","⏳ 예정")))</f>
        <v/>
      </c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 ht="21.75" customHeight="1" s="209">
      <c r="A281" s="28" t="n">
        <v>278</v>
      </c>
      <c r="B281" s="28" t="inlineStr">
        <is>
          <t>11856</t>
        </is>
      </c>
      <c r="C281" s="30" t="inlineStr">
        <is>
          <t>D3</t>
        </is>
      </c>
      <c r="D281" s="32" t="inlineStr">
        <is>
          <t>반반</t>
        </is>
      </c>
      <c r="E281" s="28" t="inlineStr">
        <is>
          <t>완전탐색 / 시뮬레이션</t>
        </is>
      </c>
      <c r="F281" s="28" t="n"/>
      <c r="G281" s="28" t="n"/>
      <c r="H281" s="28" t="n"/>
      <c r="I281" s="28" t="n"/>
      <c r="J281" s="54">
        <f>IF(OR(ISNUMBER(SEARCH("보류",K281)),ISNUMBER(SEARCH("미룸",K281)),ISNUMBER(SEARCH("나중에",K281)),ISNUMBER(SEARCH("보류",L281)),ISNUMBER(SEARCH("미룸",L281)),ISNUMBER(SEARCH("나중에",L281))),"보류(나중에 풀기)",IF(AND(F281="",G281="",H281="",I281=""),"미완료",IF(I281&lt;&gt;"","복습3(마스터)",IF(H281&lt;&gt;"","복습2",IF(G281&lt;&gt;"","복습1",IF(ISNUMBER(SEARCH("제미나이",K281)),"복습대기(AI도움)",IF(ISNUMBER(SEARCH("간당간당",K281)),"복습대기(간당간당)",IF(OR(ISNUMBER(SEARCH("아이디어",K281)),ISNUMBER(SEARCH("시간초과",K281)),ISNUMBER(SEARCH("자료구조",K281)),ISNUMBER(SEARCH("경계값",K281)),ISNUMBER(SEARCH("다른 풀이",K281)),ISNUMBER(SEARCH("또풀기",K281))),"복습대기",IF(OR(ISNUMBER(SEARCH("복습필요없음",K281)),ISNUMBER(SEARCH("자력완벽",K281))),"품(복습불필요)",IF(F281&lt;&gt;"","품","미완료"))))))))))</f>
        <v/>
      </c>
      <c r="K281" s="32" t="inlineStr">
        <is>
          <t>-</t>
        </is>
      </c>
      <c r="L281" s="32" t="n"/>
      <c r="M281" s="28">
        <f>IF(OR(LEFT(J281,2)="보류", LEFT(J281,4)="복습대기", LEFT(J281,3)="복습1", LEFT(J281,3)="복습2"), MAX($M$3:M280)+1, "")</f>
        <v/>
      </c>
      <c r="N281" s="28" t="inlineStr">
        <is>
          <t>W09</t>
        </is>
      </c>
      <c r="O281" s="36" t="n">
        <v>46317</v>
      </c>
      <c r="P281" s="30">
        <f>IF(F281&lt;&gt;"","✅ 완료",IF(O281="","-",IF(TODAY()&gt;O281,"🚨 지연","⏳ 예정")))</f>
        <v/>
      </c>
      <c r="Q281" s="7" t="n"/>
      <c r="R281" s="7" t="n"/>
      <c r="S281" s="7" t="n"/>
      <c r="T281" s="7" t="n"/>
      <c r="U281" s="7" t="n"/>
      <c r="V281" s="7" t="n"/>
      <c r="W281" s="7" t="n"/>
      <c r="X281" s="7" t="n"/>
    </row>
    <row r="282" ht="21.75" customHeight="1" s="209">
      <c r="A282" s="28" t="n">
        <v>279</v>
      </c>
      <c r="B282" s="28" t="inlineStr">
        <is>
          <t>12004</t>
        </is>
      </c>
      <c r="C282" s="30" t="inlineStr">
        <is>
          <t>D3</t>
        </is>
      </c>
      <c r="D282" s="32" t="inlineStr">
        <is>
          <t>구구단 1</t>
        </is>
      </c>
      <c r="E282" s="28" t="inlineStr">
        <is>
          <t>완전탐색 / 시뮬레이션</t>
        </is>
      </c>
      <c r="F282" s="28" t="n"/>
      <c r="G282" s="28" t="n"/>
      <c r="H282" s="28" t="n"/>
      <c r="I282" s="28" t="n"/>
      <c r="J282" s="54">
        <f>IF(OR(ISNUMBER(SEARCH("보류",K282)),ISNUMBER(SEARCH("미룸",K282)),ISNUMBER(SEARCH("나중에",K282)),ISNUMBER(SEARCH("보류",L282)),ISNUMBER(SEARCH("미룸",L282)),ISNUMBER(SEARCH("나중에",L282))),"보류(나중에 풀기)",IF(AND(F282="",G282="",H282="",I282=""),"미완료",IF(I282&lt;&gt;"","복습3(마스터)",IF(H282&lt;&gt;"","복습2",IF(G282&lt;&gt;"","복습1",IF(ISNUMBER(SEARCH("제미나이",K282)),"복습대기(AI도움)",IF(ISNUMBER(SEARCH("간당간당",K282)),"복습대기(간당간당)",IF(OR(ISNUMBER(SEARCH("아이디어",K282)),ISNUMBER(SEARCH("시간초과",K282)),ISNUMBER(SEARCH("자료구조",K282)),ISNUMBER(SEARCH("경계값",K282)),ISNUMBER(SEARCH("다른 풀이",K282)),ISNUMBER(SEARCH("또풀기",K282))),"복습대기",IF(OR(ISNUMBER(SEARCH("복습필요없음",K282)),ISNUMBER(SEARCH("자력완벽",K282))),"품(복습불필요)",IF(F282&lt;&gt;"","품","미완료"))))))))))</f>
        <v/>
      </c>
      <c r="K282" s="32" t="inlineStr">
        <is>
          <t>-</t>
        </is>
      </c>
      <c r="L282" s="32" t="n"/>
      <c r="M282" s="28">
        <f>IF(OR(LEFT(J282,2)="보류", LEFT(J282,4)="복습대기", LEFT(J282,3)="복습1", LEFT(J282,3)="복습2"), MAX($M$3:M281)+1, "")</f>
        <v/>
      </c>
      <c r="N282" s="28" t="inlineStr">
        <is>
          <t>W09</t>
        </is>
      </c>
      <c r="O282" s="36" t="n">
        <v>46317</v>
      </c>
      <c r="P282" s="30">
        <f>IF(F282&lt;&gt;"","✅ 완료",IF(O282="","-",IF(TODAY()&gt;O282,"🚨 지연","⏳ 예정")))</f>
        <v/>
      </c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 ht="21.75" customHeight="1" s="209">
      <c r="A283" s="28" t="n">
        <v>280</v>
      </c>
      <c r="B283" s="28" t="inlineStr">
        <is>
          <t>12051</t>
        </is>
      </c>
      <c r="C283" s="30" t="inlineStr">
        <is>
          <t>D3</t>
        </is>
      </c>
      <c r="D283" s="32" t="inlineStr">
        <is>
          <t>프리셀 통계</t>
        </is>
      </c>
      <c r="E283" s="34" t="inlineStr">
        <is>
          <t>완전탐색 / 시뮬레이션</t>
        </is>
      </c>
      <c r="F283" s="28" t="n"/>
      <c r="G283" s="28" t="n"/>
      <c r="H283" s="28" t="n"/>
      <c r="I283" s="28" t="n"/>
      <c r="J283" s="54">
        <f>IF(OR(ISNUMBER(SEARCH("보류",K283)),ISNUMBER(SEARCH("미룸",K283)),ISNUMBER(SEARCH("나중에",K283)),ISNUMBER(SEARCH("보류",L283)),ISNUMBER(SEARCH("미룸",L283)),ISNUMBER(SEARCH("나중에",L283))),"보류(나중에 풀기)",IF(AND(F283="",G283="",H283="",I283=""),"미완료",IF(I283&lt;&gt;"","복습3(마스터)",IF(H283&lt;&gt;"","복습2",IF(G283&lt;&gt;"","복습1",IF(ISNUMBER(SEARCH("제미나이",K283)),"복습대기(AI도움)",IF(ISNUMBER(SEARCH("간당간당",K283)),"복습대기(간당간당)",IF(OR(ISNUMBER(SEARCH("아이디어",K283)),ISNUMBER(SEARCH("시간초과",K283)),ISNUMBER(SEARCH("자료구조",K283)),ISNUMBER(SEARCH("경계값",K283)),ISNUMBER(SEARCH("다른 풀이",K283)),ISNUMBER(SEARCH("또풀기",K283))),"복습대기",IF(OR(ISNUMBER(SEARCH("복습필요없음",K283)),ISNUMBER(SEARCH("자력완벽",K283))),"품(복습불필요)",IF(F283&lt;&gt;"","품","미완료"))))))))))</f>
        <v/>
      </c>
      <c r="K283" s="32" t="inlineStr">
        <is>
          <t>-</t>
        </is>
      </c>
      <c r="L283" s="32" t="n"/>
      <c r="M283" s="28">
        <f>IF(OR(LEFT(J283,2)="보류", LEFT(J283,4)="복습대기", LEFT(J283,3)="복습1", LEFT(J283,3)="복습2"), MAX($M$3:M282)+1, "")</f>
        <v/>
      </c>
      <c r="N283" s="28" t="inlineStr">
        <is>
          <t>W09</t>
        </is>
      </c>
      <c r="O283" s="36" t="n">
        <v>46318</v>
      </c>
      <c r="P283" s="30">
        <f>IF(F283&lt;&gt;"","✅ 완료",IF(O283="","-",IF(TODAY()&gt;O283,"🚨 지연","⏳ 예정")))</f>
        <v/>
      </c>
      <c r="Q283" s="7" t="n"/>
      <c r="R283" s="7" t="n"/>
      <c r="S283" s="7" t="n"/>
      <c r="T283" s="7" t="n"/>
      <c r="U283" s="7" t="n"/>
      <c r="V283" s="7" t="n"/>
      <c r="W283" s="7" t="n"/>
      <c r="X283" s="7" t="n"/>
    </row>
    <row r="284" ht="21.75" customHeight="1" s="209">
      <c r="A284" s="28" t="n">
        <v>281</v>
      </c>
      <c r="B284" s="28" t="inlineStr">
        <is>
          <t>12221</t>
        </is>
      </c>
      <c r="C284" s="30" t="inlineStr">
        <is>
          <t>D3</t>
        </is>
      </c>
      <c r="D284" s="32" t="inlineStr">
        <is>
          <t>구구단2</t>
        </is>
      </c>
      <c r="E284" s="34" t="inlineStr">
        <is>
          <t>완전탐색 / 시뮬레이션</t>
        </is>
      </c>
      <c r="F284" s="28" t="n"/>
      <c r="G284" s="28" t="n"/>
      <c r="H284" s="28" t="n"/>
      <c r="I284" s="28" t="n"/>
      <c r="J284" s="54">
        <f>IF(OR(ISNUMBER(SEARCH("보류",K284)),ISNUMBER(SEARCH("미룸",K284)),ISNUMBER(SEARCH("나중에",K284)),ISNUMBER(SEARCH("보류",L284)),ISNUMBER(SEARCH("미룸",L284)),ISNUMBER(SEARCH("나중에",L284))),"보류(나중에 풀기)",IF(AND(F284="",G284="",H284="",I284=""),"미완료",IF(I284&lt;&gt;"","복습3(마스터)",IF(H284&lt;&gt;"","복습2",IF(G284&lt;&gt;"","복습1",IF(ISNUMBER(SEARCH("제미나이",K284)),"복습대기(AI도움)",IF(ISNUMBER(SEARCH("간당간당",K284)),"복습대기(간당간당)",IF(OR(ISNUMBER(SEARCH("아이디어",K284)),ISNUMBER(SEARCH("시간초과",K284)),ISNUMBER(SEARCH("자료구조",K284)),ISNUMBER(SEARCH("경계값",K284)),ISNUMBER(SEARCH("다른 풀이",K284)),ISNUMBER(SEARCH("또풀기",K284))),"복습대기",IF(OR(ISNUMBER(SEARCH("복습필요없음",K284)),ISNUMBER(SEARCH("자력완벽",K284))),"품(복습불필요)",IF(F284&lt;&gt;"","품","미완료"))))))))))</f>
        <v/>
      </c>
      <c r="K284" s="32" t="inlineStr">
        <is>
          <t>-</t>
        </is>
      </c>
      <c r="L284" s="32" t="n"/>
      <c r="M284" s="28">
        <f>IF(OR(LEFT(J284,2)="보류", LEFT(J284,4)="복습대기", LEFT(J284,3)="복습1", LEFT(J284,3)="복습2"), MAX($M$3:M283)+1, "")</f>
        <v/>
      </c>
      <c r="N284" s="28" t="inlineStr">
        <is>
          <t>W09</t>
        </is>
      </c>
      <c r="O284" s="36" t="n">
        <v>46318</v>
      </c>
      <c r="P284" s="30">
        <f>IF(F284&lt;&gt;"","✅ 완료",IF(O284="","-",IF(TODAY()&gt;O284,"🚨 지연","⏳ 예정")))</f>
        <v/>
      </c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 ht="21.75" customHeight="1" s="209">
      <c r="A285" s="28" t="n">
        <v>282</v>
      </c>
      <c r="B285" s="28" t="inlineStr">
        <is>
          <t>12368</t>
        </is>
      </c>
      <c r="C285" s="30" t="inlineStr">
        <is>
          <t>D3</t>
        </is>
      </c>
      <c r="D285" s="32" t="inlineStr">
        <is>
          <t>24시간</t>
        </is>
      </c>
      <c r="E285" s="34" t="inlineStr">
        <is>
          <t>완전탐색 / 시뮬레이션</t>
        </is>
      </c>
      <c r="F285" s="28" t="n"/>
      <c r="G285" s="28" t="n"/>
      <c r="H285" s="28" t="n"/>
      <c r="I285" s="28" t="n"/>
      <c r="J285" s="54">
        <f>IF(OR(ISNUMBER(SEARCH("보류",K285)),ISNUMBER(SEARCH("미룸",K285)),ISNUMBER(SEARCH("나중에",K285)),ISNUMBER(SEARCH("보류",L285)),ISNUMBER(SEARCH("미룸",L285)),ISNUMBER(SEARCH("나중에",L285))),"보류(나중에 풀기)",IF(AND(F285="",G285="",H285="",I285=""),"미완료",IF(I285&lt;&gt;"","복습3(마스터)",IF(H285&lt;&gt;"","복습2",IF(G285&lt;&gt;"","복습1",IF(ISNUMBER(SEARCH("제미나이",K285)),"복습대기(AI도움)",IF(ISNUMBER(SEARCH("간당간당",K285)),"복습대기(간당간당)",IF(OR(ISNUMBER(SEARCH("아이디어",K285)),ISNUMBER(SEARCH("시간초과",K285)),ISNUMBER(SEARCH("자료구조",K285)),ISNUMBER(SEARCH("경계값",K285)),ISNUMBER(SEARCH("다른 풀이",K285)),ISNUMBER(SEARCH("또풀기",K285))),"복습대기",IF(OR(ISNUMBER(SEARCH("복습필요없음",K285)),ISNUMBER(SEARCH("자력완벽",K285))),"품(복습불필요)",IF(F285&lt;&gt;"","품","미완료"))))))))))</f>
        <v/>
      </c>
      <c r="K285" s="32" t="inlineStr">
        <is>
          <t>-</t>
        </is>
      </c>
      <c r="L285" s="32" t="n"/>
      <c r="M285" s="28">
        <f>IF(OR(LEFT(J285,2)="보류", LEFT(J285,4)="복습대기", LEFT(J285,3)="복습1", LEFT(J285,3)="복습2"), MAX($M$3:M284)+1, "")</f>
        <v/>
      </c>
      <c r="N285" s="28" t="inlineStr">
        <is>
          <t>W09</t>
        </is>
      </c>
      <c r="O285" s="36" t="n">
        <v>46318</v>
      </c>
      <c r="P285" s="30">
        <f>IF(F285&lt;&gt;"","✅ 완료",IF(O285="","-",IF(TODAY()&gt;O285,"🚨 지연","⏳ 예정")))</f>
        <v/>
      </c>
      <c r="Q285" s="7" t="n"/>
      <c r="R285" s="7" t="n"/>
      <c r="S285" s="7" t="n"/>
      <c r="T285" s="7" t="n"/>
      <c r="U285" s="7" t="n"/>
      <c r="V285" s="7" t="n"/>
      <c r="W285" s="7" t="n"/>
      <c r="X285" s="7" t="n"/>
    </row>
    <row r="286" ht="21.75" customHeight="1" s="209">
      <c r="A286" s="28" t="n">
        <v>283</v>
      </c>
      <c r="B286" s="28" t="inlineStr">
        <is>
          <t>12741</t>
        </is>
      </c>
      <c r="C286" s="30" t="inlineStr">
        <is>
          <t>D3</t>
        </is>
      </c>
      <c r="D286" s="32" t="inlineStr">
        <is>
          <t>두 전구</t>
        </is>
      </c>
      <c r="E286" s="34" t="inlineStr">
        <is>
          <t>완전탐색 / 시뮬레이션</t>
        </is>
      </c>
      <c r="F286" s="28" t="n"/>
      <c r="G286" s="28" t="n"/>
      <c r="H286" s="28" t="n"/>
      <c r="I286" s="28" t="n"/>
      <c r="J286" s="54">
        <f>IF(OR(ISNUMBER(SEARCH("보류",K286)),ISNUMBER(SEARCH("미룸",K286)),ISNUMBER(SEARCH("나중에",K286)),ISNUMBER(SEARCH("보류",L286)),ISNUMBER(SEARCH("미룸",L286)),ISNUMBER(SEARCH("나중에",L286))),"보류(나중에 풀기)",IF(AND(F286="",G286="",H286="",I286=""),"미완료",IF(I286&lt;&gt;"","복습3(마스터)",IF(H286&lt;&gt;"","복습2",IF(G286&lt;&gt;"","복습1",IF(ISNUMBER(SEARCH("제미나이",K286)),"복습대기(AI도움)",IF(ISNUMBER(SEARCH("간당간당",K286)),"복습대기(간당간당)",IF(OR(ISNUMBER(SEARCH("아이디어",K286)),ISNUMBER(SEARCH("시간초과",K286)),ISNUMBER(SEARCH("자료구조",K286)),ISNUMBER(SEARCH("경계값",K286)),ISNUMBER(SEARCH("다른 풀이",K286)),ISNUMBER(SEARCH("또풀기",K286))),"복습대기",IF(OR(ISNUMBER(SEARCH("복습필요없음",K286)),ISNUMBER(SEARCH("자력완벽",K286))),"품(복습불필요)",IF(F286&lt;&gt;"","품","미완료"))))))))))</f>
        <v/>
      </c>
      <c r="K286" s="32" t="inlineStr">
        <is>
          <t>-</t>
        </is>
      </c>
      <c r="L286" s="32" t="n"/>
      <c r="M286" s="28">
        <f>IF(OR(LEFT(J286,2)="보류", LEFT(J286,4)="복습대기", LEFT(J286,3)="복습1", LEFT(J286,3)="복습2"), MAX($M$3:M285)+1, "")</f>
        <v/>
      </c>
      <c r="N286" s="28" t="inlineStr">
        <is>
          <t>W09</t>
        </is>
      </c>
      <c r="O286" s="36" t="n">
        <v>46318</v>
      </c>
      <c r="P286" s="30">
        <f>IF(F286&lt;&gt;"","✅ 완료",IF(O286="","-",IF(TODAY()&gt;O286,"🚨 지연","⏳ 예정")))</f>
        <v/>
      </c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 ht="21.75" customHeight="1" s="209">
      <c r="A287" s="28" t="n">
        <v>284</v>
      </c>
      <c r="B287" s="28" t="inlineStr">
        <is>
          <t>13038</t>
        </is>
      </c>
      <c r="C287" s="30" t="inlineStr">
        <is>
          <t>D3</t>
        </is>
      </c>
      <c r="D287" s="32" t="inlineStr">
        <is>
          <t>교환학생</t>
        </is>
      </c>
      <c r="E287" s="34" t="inlineStr">
        <is>
          <t>완전탐색 / 시뮬레이션</t>
        </is>
      </c>
      <c r="F287" s="28" t="n"/>
      <c r="G287" s="28" t="n"/>
      <c r="H287" s="28" t="n"/>
      <c r="I287" s="28" t="n"/>
      <c r="J287" s="54">
        <f>IF(OR(ISNUMBER(SEARCH("보류",K287)),ISNUMBER(SEARCH("미룸",K287)),ISNUMBER(SEARCH("나중에",K287)),ISNUMBER(SEARCH("보류",L287)),ISNUMBER(SEARCH("미룸",L287)),ISNUMBER(SEARCH("나중에",L287))),"보류(나중에 풀기)",IF(AND(F287="",G287="",H287="",I287=""),"미완료",IF(I287&lt;&gt;"","복습3(마스터)",IF(H287&lt;&gt;"","복습2",IF(G287&lt;&gt;"","복습1",IF(ISNUMBER(SEARCH("제미나이",K287)),"복습대기(AI도움)",IF(ISNUMBER(SEARCH("간당간당",K287)),"복습대기(간당간당)",IF(OR(ISNUMBER(SEARCH("아이디어",K287)),ISNUMBER(SEARCH("시간초과",K287)),ISNUMBER(SEARCH("자료구조",K287)),ISNUMBER(SEARCH("경계값",K287)),ISNUMBER(SEARCH("다른 풀이",K287)),ISNUMBER(SEARCH("또풀기",K287))),"복습대기",IF(OR(ISNUMBER(SEARCH("복습필요없음",K287)),ISNUMBER(SEARCH("자력완벽",K287))),"품(복습불필요)",IF(F287&lt;&gt;"","품","미완료"))))))))))</f>
        <v/>
      </c>
      <c r="K287" s="32" t="inlineStr">
        <is>
          <t>-</t>
        </is>
      </c>
      <c r="L287" s="32" t="n"/>
      <c r="M287" s="28">
        <f>IF(OR(LEFT(J287,2)="보류", LEFT(J287,4)="복습대기", LEFT(J287,3)="복습1", LEFT(J287,3)="복습2"), MAX($M$3:M286)+1, "")</f>
        <v/>
      </c>
      <c r="N287" s="28" t="inlineStr">
        <is>
          <t>W09</t>
        </is>
      </c>
      <c r="O287" s="36" t="n">
        <v>46318</v>
      </c>
      <c r="P287" s="30">
        <f>IF(F287&lt;&gt;"","✅ 완료",IF(O287="","-",IF(TODAY()&gt;O287,"🚨 지연","⏳ 예정")))</f>
        <v/>
      </c>
      <c r="Q287" s="7" t="n"/>
      <c r="R287" s="7" t="n"/>
      <c r="S287" s="7" t="n"/>
      <c r="T287" s="7" t="n"/>
      <c r="U287" s="7" t="n"/>
      <c r="V287" s="7" t="n"/>
      <c r="W287" s="7" t="n"/>
      <c r="X287" s="7" t="n"/>
    </row>
    <row r="288" ht="21.75" customHeight="1" s="209">
      <c r="A288" s="28" t="n">
        <v>285</v>
      </c>
      <c r="B288" s="28" t="inlineStr">
        <is>
          <t>13218</t>
        </is>
      </c>
      <c r="C288" s="30" t="inlineStr">
        <is>
          <t>D3</t>
        </is>
      </c>
      <c r="D288" s="32" t="inlineStr">
        <is>
          <t>조별과제</t>
        </is>
      </c>
      <c r="E288" s="34" t="inlineStr">
        <is>
          <t>완전탐색 / 시뮬레이션</t>
        </is>
      </c>
      <c r="F288" s="28" t="n"/>
      <c r="G288" s="28" t="n"/>
      <c r="H288" s="28" t="n"/>
      <c r="I288" s="28" t="n"/>
      <c r="J288" s="54">
        <f>IF(OR(ISNUMBER(SEARCH("보류",K288)),ISNUMBER(SEARCH("미룸",K288)),ISNUMBER(SEARCH("나중에",K288)),ISNUMBER(SEARCH("보류",L288)),ISNUMBER(SEARCH("미룸",L288)),ISNUMBER(SEARCH("나중에",L288))),"보류(나중에 풀기)",IF(AND(F288="",G288="",H288="",I288=""),"미완료",IF(I288&lt;&gt;"","복습3(마스터)",IF(H288&lt;&gt;"","복습2",IF(G288&lt;&gt;"","복습1",IF(ISNUMBER(SEARCH("제미나이",K288)),"복습대기(AI도움)",IF(ISNUMBER(SEARCH("간당간당",K288)),"복습대기(간당간당)",IF(OR(ISNUMBER(SEARCH("아이디어",K288)),ISNUMBER(SEARCH("시간초과",K288)),ISNUMBER(SEARCH("자료구조",K288)),ISNUMBER(SEARCH("경계값",K288)),ISNUMBER(SEARCH("다른 풀이",K288)),ISNUMBER(SEARCH("또풀기",K288))),"복습대기",IF(OR(ISNUMBER(SEARCH("복습필요없음",K288)),ISNUMBER(SEARCH("자력완벽",K288))),"품(복습불필요)",IF(F288&lt;&gt;"","품","미완료"))))))))))</f>
        <v/>
      </c>
      <c r="K288" s="32" t="inlineStr">
        <is>
          <t>-</t>
        </is>
      </c>
      <c r="L288" s="32" t="n"/>
      <c r="M288" s="28">
        <f>IF(OR(LEFT(J288,2)="보류", LEFT(J288,4)="복습대기", LEFT(J288,3)="복습1", LEFT(J288,3)="복습2"), MAX($M$3:M287)+1, "")</f>
        <v/>
      </c>
      <c r="N288" s="28" t="inlineStr">
        <is>
          <t>W09</t>
        </is>
      </c>
      <c r="O288" s="36" t="n">
        <v>46318</v>
      </c>
      <c r="P288" s="30">
        <f>IF(F288&lt;&gt;"","✅ 완료",IF(O288="","-",IF(TODAY()&gt;O288,"🚨 지연","⏳ 예정")))</f>
        <v/>
      </c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 ht="21.75" customHeight="1" s="209">
      <c r="A289" s="28" t="n">
        <v>286</v>
      </c>
      <c r="B289" s="28" t="inlineStr">
        <is>
          <t>13229</t>
        </is>
      </c>
      <c r="C289" s="30" t="inlineStr">
        <is>
          <t>D3</t>
        </is>
      </c>
      <c r="D289" s="32" t="inlineStr">
        <is>
          <t>일요일</t>
        </is>
      </c>
      <c r="E289" s="34" t="inlineStr">
        <is>
          <t>완전탐색 / 시뮬레이션</t>
        </is>
      </c>
      <c r="F289" s="28" t="n"/>
      <c r="G289" s="28" t="n"/>
      <c r="H289" s="28" t="n"/>
      <c r="I289" s="28" t="n"/>
      <c r="J289" s="54">
        <f>IF(OR(ISNUMBER(SEARCH("보류",K289)),ISNUMBER(SEARCH("미룸",K289)),ISNUMBER(SEARCH("나중에",K289)),ISNUMBER(SEARCH("보류",L289)),ISNUMBER(SEARCH("미룸",L289)),ISNUMBER(SEARCH("나중에",L289))),"보류(나중에 풀기)",IF(AND(F289="",G289="",H289="",I289=""),"미완료",IF(I289&lt;&gt;"","복습3(마스터)",IF(H289&lt;&gt;"","복습2",IF(G289&lt;&gt;"","복습1",IF(ISNUMBER(SEARCH("제미나이",K289)),"복습대기(AI도움)",IF(ISNUMBER(SEARCH("간당간당",K289)),"복습대기(간당간당)",IF(OR(ISNUMBER(SEARCH("아이디어",K289)),ISNUMBER(SEARCH("시간초과",K289)),ISNUMBER(SEARCH("자료구조",K289)),ISNUMBER(SEARCH("경계값",K289)),ISNUMBER(SEARCH("다른 풀이",K289)),ISNUMBER(SEARCH("또풀기",K289))),"복습대기",IF(OR(ISNUMBER(SEARCH("복습필요없음",K289)),ISNUMBER(SEARCH("자력완벽",K289))),"품(복습불필요)",IF(F289&lt;&gt;"","품","미완료"))))))))))</f>
        <v/>
      </c>
      <c r="K289" s="32" t="inlineStr">
        <is>
          <t>-</t>
        </is>
      </c>
      <c r="L289" s="32" t="n"/>
      <c r="M289" s="28">
        <f>IF(OR(LEFT(J289,2)="보류", LEFT(J289,4)="복습대기", LEFT(J289,3)="복습1", LEFT(J289,3)="복습2"), MAX($M$3:M288)+1, "")</f>
        <v/>
      </c>
      <c r="N289" s="28" t="inlineStr">
        <is>
          <t>W09</t>
        </is>
      </c>
      <c r="O289" s="36" t="n">
        <v>46318</v>
      </c>
      <c r="P289" s="30">
        <f>IF(F289&lt;&gt;"","✅ 완료",IF(O289="","-",IF(TODAY()&gt;O289,"🚨 지연","⏳ 예정")))</f>
        <v/>
      </c>
      <c r="Q289" s="7" t="n"/>
      <c r="R289" s="7" t="n"/>
      <c r="S289" s="7" t="n"/>
      <c r="T289" s="7" t="n"/>
      <c r="U289" s="7" t="n"/>
      <c r="V289" s="7" t="n"/>
      <c r="W289" s="7" t="n"/>
      <c r="X289" s="7" t="n"/>
    </row>
    <row r="290" ht="21.75" customHeight="1" s="209">
      <c r="A290" s="28" t="n">
        <v>287</v>
      </c>
      <c r="B290" s="28" t="inlineStr">
        <is>
          <t>13428</t>
        </is>
      </c>
      <c r="C290" s="30" t="inlineStr">
        <is>
          <t>D3</t>
        </is>
      </c>
      <c r="D290" s="32" t="inlineStr">
        <is>
          <t>숫자 조작</t>
        </is>
      </c>
      <c r="E290" s="34" t="inlineStr">
        <is>
          <t>완전탐색 / 시뮬레이션</t>
        </is>
      </c>
      <c r="F290" s="28" t="n"/>
      <c r="G290" s="28" t="n"/>
      <c r="H290" s="28" t="n"/>
      <c r="I290" s="28" t="n"/>
      <c r="J290" s="54">
        <f>IF(OR(ISNUMBER(SEARCH("보류",K290)),ISNUMBER(SEARCH("미룸",K290)),ISNUMBER(SEARCH("나중에",K290)),ISNUMBER(SEARCH("보류",L290)),ISNUMBER(SEARCH("미룸",L290)),ISNUMBER(SEARCH("나중에",L290))),"보류(나중에 풀기)",IF(AND(F290="",G290="",H290="",I290=""),"미완료",IF(I290&lt;&gt;"","복습3(마스터)",IF(H290&lt;&gt;"","복습2",IF(G290&lt;&gt;"","복습1",IF(ISNUMBER(SEARCH("제미나이",K290)),"복습대기(AI도움)",IF(ISNUMBER(SEARCH("간당간당",K290)),"복습대기(간당간당)",IF(OR(ISNUMBER(SEARCH("아이디어",K290)),ISNUMBER(SEARCH("시간초과",K290)),ISNUMBER(SEARCH("자료구조",K290)),ISNUMBER(SEARCH("경계값",K290)),ISNUMBER(SEARCH("다른 풀이",K290)),ISNUMBER(SEARCH("또풀기",K290))),"복습대기",IF(OR(ISNUMBER(SEARCH("복습필요없음",K290)),ISNUMBER(SEARCH("자력완벽",K290))),"품(복습불필요)",IF(F290&lt;&gt;"","품","미완료"))))))))))</f>
        <v/>
      </c>
      <c r="K290" s="32" t="inlineStr">
        <is>
          <t>-</t>
        </is>
      </c>
      <c r="L290" s="32" t="n"/>
      <c r="M290" s="28">
        <f>IF(OR(LEFT(J290,2)="보류", LEFT(J290,4)="복습대기", LEFT(J290,3)="복습1", LEFT(J290,3)="복습2"), MAX($M$3:M289)+1, "")</f>
        <v/>
      </c>
      <c r="N290" s="28" t="inlineStr">
        <is>
          <t>W09</t>
        </is>
      </c>
      <c r="O290" s="36" t="n">
        <v>46319</v>
      </c>
      <c r="P290" s="30">
        <f>IF(F290&lt;&gt;"","✅ 완료",IF(O290="","-",IF(TODAY()&gt;O290,"🚨 지연","⏳ 예정")))</f>
        <v/>
      </c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 ht="21.75" customHeight="1" s="209">
      <c r="A291" s="28" t="n">
        <v>288</v>
      </c>
      <c r="B291" s="28" t="inlineStr">
        <is>
          <t>13547</t>
        </is>
      </c>
      <c r="C291" s="30" t="inlineStr">
        <is>
          <t>D3</t>
        </is>
      </c>
      <c r="D291" s="32" t="inlineStr">
        <is>
          <t>팔씨름</t>
        </is>
      </c>
      <c r="E291" s="34" t="inlineStr">
        <is>
          <t>완전탐색 / 시뮬레이션</t>
        </is>
      </c>
      <c r="F291" s="28" t="n"/>
      <c r="G291" s="28" t="n"/>
      <c r="H291" s="28" t="n"/>
      <c r="I291" s="28" t="n"/>
      <c r="J291" s="54">
        <f>IF(OR(ISNUMBER(SEARCH("보류",K291)),ISNUMBER(SEARCH("미룸",K291)),ISNUMBER(SEARCH("나중에",K291)),ISNUMBER(SEARCH("보류",L291)),ISNUMBER(SEARCH("미룸",L291)),ISNUMBER(SEARCH("나중에",L291))),"보류(나중에 풀기)",IF(AND(F291="",G291="",H291="",I291=""),"미완료",IF(I291&lt;&gt;"","복습3(마스터)",IF(H291&lt;&gt;"","복습2",IF(G291&lt;&gt;"","복습1",IF(ISNUMBER(SEARCH("제미나이",K291)),"복습대기(AI도움)",IF(ISNUMBER(SEARCH("간당간당",K291)),"복습대기(간당간당)",IF(OR(ISNUMBER(SEARCH("아이디어",K291)),ISNUMBER(SEARCH("시간초과",K291)),ISNUMBER(SEARCH("자료구조",K291)),ISNUMBER(SEARCH("경계값",K291)),ISNUMBER(SEARCH("다른 풀이",K291)),ISNUMBER(SEARCH("또풀기",K291))),"복습대기",IF(OR(ISNUMBER(SEARCH("복습필요없음",K291)),ISNUMBER(SEARCH("자력완벽",K291))),"품(복습불필요)",IF(F291&lt;&gt;"","품","미완료"))))))))))</f>
        <v/>
      </c>
      <c r="K291" s="32" t="inlineStr">
        <is>
          <t>-</t>
        </is>
      </c>
      <c r="L291" s="32" t="n"/>
      <c r="M291" s="28">
        <f>IF(OR(LEFT(J291,2)="보류", LEFT(J291,4)="복습대기", LEFT(J291,3)="복습1", LEFT(J291,3)="복습2"), MAX($M$3:M290)+1, "")</f>
        <v/>
      </c>
      <c r="N291" s="28" t="inlineStr">
        <is>
          <t>W09</t>
        </is>
      </c>
      <c r="O291" s="36" t="n">
        <v>46319</v>
      </c>
      <c r="P291" s="30">
        <f>IF(F291&lt;&gt;"","✅ 완료",IF(O291="","-",IF(TODAY()&gt;O291,"🚨 지연","⏳ 예정")))</f>
        <v/>
      </c>
      <c r="Q291" s="7" t="n"/>
      <c r="R291" s="7" t="n"/>
      <c r="S291" s="7" t="n"/>
      <c r="T291" s="7" t="n"/>
      <c r="U291" s="7" t="n"/>
      <c r="V291" s="7" t="n"/>
      <c r="W291" s="7" t="n"/>
      <c r="X291" s="7" t="n"/>
    </row>
    <row r="292" ht="21.75" customHeight="1" s="209">
      <c r="A292" s="28" t="n">
        <v>289</v>
      </c>
      <c r="B292" s="28" t="inlineStr">
        <is>
          <t>13732</t>
        </is>
      </c>
      <c r="C292" s="30" t="inlineStr">
        <is>
          <t>D3</t>
        </is>
      </c>
      <c r="D292" s="32" t="inlineStr">
        <is>
          <t>정사각형 판정</t>
        </is>
      </c>
      <c r="E292" s="34" t="inlineStr">
        <is>
          <t>완전탐색 / 시뮬레이션</t>
        </is>
      </c>
      <c r="F292" s="28" t="n"/>
      <c r="G292" s="28" t="n"/>
      <c r="H292" s="28" t="n"/>
      <c r="I292" s="28" t="n"/>
      <c r="J292" s="54">
        <f>IF(OR(ISNUMBER(SEARCH("보류",K292)),ISNUMBER(SEARCH("미룸",K292)),ISNUMBER(SEARCH("나중에",K292)),ISNUMBER(SEARCH("보류",L292)),ISNUMBER(SEARCH("미룸",L292)),ISNUMBER(SEARCH("나중에",L292))),"보류(나중에 풀기)",IF(AND(F292="",G292="",H292="",I292=""),"미완료",IF(I292&lt;&gt;"","복습3(마스터)",IF(H292&lt;&gt;"","복습2",IF(G292&lt;&gt;"","복습1",IF(ISNUMBER(SEARCH("제미나이",K292)),"복습대기(AI도움)",IF(ISNUMBER(SEARCH("간당간당",K292)),"복습대기(간당간당)",IF(OR(ISNUMBER(SEARCH("아이디어",K292)),ISNUMBER(SEARCH("시간초과",K292)),ISNUMBER(SEARCH("자료구조",K292)),ISNUMBER(SEARCH("경계값",K292)),ISNUMBER(SEARCH("다른 풀이",K292)),ISNUMBER(SEARCH("또풀기",K292))),"복습대기",IF(OR(ISNUMBER(SEARCH("복습필요없음",K292)),ISNUMBER(SEARCH("자력완벽",K292))),"품(복습불필요)",IF(F292&lt;&gt;"","품","미완료"))))))))))</f>
        <v/>
      </c>
      <c r="K292" s="32" t="inlineStr">
        <is>
          <t>-</t>
        </is>
      </c>
      <c r="L292" s="32" t="n"/>
      <c r="M292" s="28">
        <f>IF(OR(LEFT(J292,2)="보류", LEFT(J292,4)="복습대기", LEFT(J292,3)="복습1", LEFT(J292,3)="복습2"), MAX($M$3:M291)+1, "")</f>
        <v/>
      </c>
      <c r="N292" s="28" t="inlineStr">
        <is>
          <t>W09</t>
        </is>
      </c>
      <c r="O292" s="36" t="n">
        <v>46319</v>
      </c>
      <c r="P292" s="30">
        <f>IF(F292&lt;&gt;"","✅ 완료",IF(O292="","-",IF(TODAY()&gt;O292,"🚨 지연","⏳ 예정")))</f>
        <v/>
      </c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 ht="21.75" customHeight="1" s="209">
      <c r="A293" s="28" t="n">
        <v>290</v>
      </c>
      <c r="B293" s="28" t="inlineStr">
        <is>
          <t>14178</t>
        </is>
      </c>
      <c r="C293" s="30" t="inlineStr">
        <is>
          <t>D3</t>
        </is>
      </c>
      <c r="D293" s="32" t="inlineStr">
        <is>
          <t>1차원 정원</t>
        </is>
      </c>
      <c r="E293" s="34" t="inlineStr">
        <is>
          <t>완전탐색 / 시뮬레이션</t>
        </is>
      </c>
      <c r="F293" s="28" t="n"/>
      <c r="G293" s="28" t="n"/>
      <c r="H293" s="28" t="n"/>
      <c r="I293" s="28" t="n"/>
      <c r="J293" s="54">
        <f>IF(OR(ISNUMBER(SEARCH("보류",K293)),ISNUMBER(SEARCH("미룸",K293)),ISNUMBER(SEARCH("나중에",K293)),ISNUMBER(SEARCH("보류",L293)),ISNUMBER(SEARCH("미룸",L293)),ISNUMBER(SEARCH("나중에",L293))),"보류(나중에 풀기)",IF(AND(F293="",G293="",H293="",I293=""),"미완료",IF(I293&lt;&gt;"","복습3(마스터)",IF(H293&lt;&gt;"","복습2",IF(G293&lt;&gt;"","복습1",IF(ISNUMBER(SEARCH("제미나이",K293)),"복습대기(AI도움)",IF(ISNUMBER(SEARCH("간당간당",K293)),"복습대기(간당간당)",IF(OR(ISNUMBER(SEARCH("아이디어",K293)),ISNUMBER(SEARCH("시간초과",K293)),ISNUMBER(SEARCH("자료구조",K293)),ISNUMBER(SEARCH("경계값",K293)),ISNUMBER(SEARCH("다른 풀이",K293)),ISNUMBER(SEARCH("또풀기",K293))),"복습대기",IF(OR(ISNUMBER(SEARCH("복습필요없음",K293)),ISNUMBER(SEARCH("자력완벽",K293))),"품(복습불필요)",IF(F293&lt;&gt;"","품","미완료"))))))))))</f>
        <v/>
      </c>
      <c r="K293" s="32" t="inlineStr">
        <is>
          <t>-</t>
        </is>
      </c>
      <c r="L293" s="32" t="n"/>
      <c r="M293" s="28">
        <f>IF(OR(LEFT(J293,2)="보류", LEFT(J293,4)="복습대기", LEFT(J293,3)="복습1", LEFT(J293,3)="복습2"), MAX($M$3:M292)+1, "")</f>
        <v/>
      </c>
      <c r="N293" s="28" t="inlineStr">
        <is>
          <t>W09</t>
        </is>
      </c>
      <c r="O293" s="36" t="n">
        <v>46319</v>
      </c>
      <c r="P293" s="30">
        <f>IF(F293&lt;&gt;"","✅ 완료",IF(O293="","-",IF(TODAY()&gt;O293,"🚨 지연","⏳ 예정")))</f>
        <v/>
      </c>
      <c r="Q293" s="7" t="n"/>
      <c r="R293" s="7" t="n"/>
      <c r="S293" s="7" t="n"/>
      <c r="T293" s="7" t="n"/>
      <c r="U293" s="7" t="n"/>
      <c r="V293" s="7" t="n"/>
      <c r="W293" s="7" t="n"/>
      <c r="X293" s="7" t="n"/>
    </row>
    <row r="294" ht="21.75" customHeight="1" s="209">
      <c r="A294" s="28" t="n">
        <v>291</v>
      </c>
      <c r="B294" s="28" t="inlineStr">
        <is>
          <t>14361</t>
        </is>
      </c>
      <c r="C294" s="30" t="inlineStr">
        <is>
          <t>D3</t>
        </is>
      </c>
      <c r="D294" s="32" t="inlineStr">
        <is>
          <t>숫자가 같은 배수</t>
        </is>
      </c>
      <c r="E294" s="34" t="inlineStr">
        <is>
          <t>수학 / 정수론</t>
        </is>
      </c>
      <c r="F294" s="28" t="n"/>
      <c r="G294" s="28" t="n"/>
      <c r="H294" s="28" t="n"/>
      <c r="I294" s="28" t="n"/>
      <c r="J294" s="54">
        <f>IF(OR(ISNUMBER(SEARCH("보류",K294)),ISNUMBER(SEARCH("미룸",K294)),ISNUMBER(SEARCH("나중에",K294)),ISNUMBER(SEARCH("보류",L294)),ISNUMBER(SEARCH("미룸",L294)),ISNUMBER(SEARCH("나중에",L294))),"보류(나중에 풀기)",IF(AND(F294="",G294="",H294="",I294=""),"미완료",IF(I294&lt;&gt;"","복습3(마스터)",IF(H294&lt;&gt;"","복습2",IF(G294&lt;&gt;"","복습1",IF(ISNUMBER(SEARCH("제미나이",K294)),"복습대기(AI도움)",IF(ISNUMBER(SEARCH("간당간당",K294)),"복습대기(간당간당)",IF(OR(ISNUMBER(SEARCH("아이디어",K294)),ISNUMBER(SEARCH("시간초과",K294)),ISNUMBER(SEARCH("자료구조",K294)),ISNUMBER(SEARCH("경계값",K294)),ISNUMBER(SEARCH("다른 풀이",K294)),ISNUMBER(SEARCH("또풀기",K294))),"복습대기",IF(OR(ISNUMBER(SEARCH("복습필요없음",K294)),ISNUMBER(SEARCH("자력완벽",K294))),"품(복습불필요)",IF(F294&lt;&gt;"","품","미완료"))))))))))</f>
        <v/>
      </c>
      <c r="K294" s="32" t="inlineStr">
        <is>
          <t>-</t>
        </is>
      </c>
      <c r="L294" s="32" t="n"/>
      <c r="M294" s="28">
        <f>IF(OR(LEFT(J294,2)="보류", LEFT(J294,4)="복습대기", LEFT(J294,3)="복습1", LEFT(J294,3)="복습2"), MAX($M$3:M293)+1, "")</f>
        <v/>
      </c>
      <c r="N294" s="28" t="inlineStr">
        <is>
          <t>W09</t>
        </is>
      </c>
      <c r="O294" s="36" t="n">
        <v>46319</v>
      </c>
      <c r="P294" s="30">
        <f>IF(F294&lt;&gt;"","✅ 완료",IF(O294="","-",IF(TODAY()&gt;O294,"🚨 지연","⏳ 예정")))</f>
        <v/>
      </c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 ht="21.75" customHeight="1" s="209">
      <c r="A295" s="28" t="n">
        <v>292</v>
      </c>
      <c r="B295" s="28" t="inlineStr">
        <is>
          <t>14413</t>
        </is>
      </c>
      <c r="C295" s="30" t="inlineStr">
        <is>
          <t>D3</t>
        </is>
      </c>
      <c r="D295" s="32" t="inlineStr">
        <is>
          <t>격자판 칠하기</t>
        </is>
      </c>
      <c r="E295" s="34" t="inlineStr">
        <is>
          <t>시뮬레이션 / 구현</t>
        </is>
      </c>
      <c r="F295" s="28" t="n"/>
      <c r="G295" s="28" t="n"/>
      <c r="H295" s="28" t="n"/>
      <c r="I295" s="28" t="n"/>
      <c r="J295" s="54">
        <f>IF(OR(ISNUMBER(SEARCH("보류",K295)),ISNUMBER(SEARCH("미룸",K295)),ISNUMBER(SEARCH("나중에",K295)),ISNUMBER(SEARCH("보류",L295)),ISNUMBER(SEARCH("미룸",L295)),ISNUMBER(SEARCH("나중에",L295))),"보류(나중에 풀기)",IF(AND(F295="",G295="",H295="",I295=""),"미완료",IF(I295&lt;&gt;"","복습3(마스터)",IF(H295&lt;&gt;"","복습2",IF(G295&lt;&gt;"","복습1",IF(ISNUMBER(SEARCH("제미나이",K295)),"복습대기(AI도움)",IF(ISNUMBER(SEARCH("간당간당",K295)),"복습대기(간당간당)",IF(OR(ISNUMBER(SEARCH("아이디어",K295)),ISNUMBER(SEARCH("시간초과",K295)),ISNUMBER(SEARCH("자료구조",K295)),ISNUMBER(SEARCH("경계값",K295)),ISNUMBER(SEARCH("다른 풀이",K295)),ISNUMBER(SEARCH("또풀기",K295))),"복습대기",IF(OR(ISNUMBER(SEARCH("복습필요없음",K295)),ISNUMBER(SEARCH("자력완벽",K295))),"품(복습불필요)",IF(F295&lt;&gt;"","품","미완료"))))))))))</f>
        <v/>
      </c>
      <c r="K295" s="32" t="inlineStr">
        <is>
          <t>-</t>
        </is>
      </c>
      <c r="L295" s="32" t="n"/>
      <c r="M295" s="28">
        <f>IF(OR(LEFT(J295,2)="보류", LEFT(J295,4)="복습대기", LEFT(J295,3)="복습1", LEFT(J295,3)="복습2"), MAX($M$3:M294)+1, "")</f>
        <v/>
      </c>
      <c r="N295" s="28" t="inlineStr">
        <is>
          <t>W09</t>
        </is>
      </c>
      <c r="O295" s="36" t="n">
        <v>46319</v>
      </c>
      <c r="P295" s="30">
        <f>IF(F295&lt;&gt;"","✅ 완료",IF(O295="","-",IF(TODAY()&gt;O295,"🚨 지연","⏳ 예정")))</f>
        <v/>
      </c>
      <c r="Q295" s="7" t="n"/>
      <c r="R295" s="7" t="n"/>
      <c r="S295" s="7" t="n"/>
      <c r="T295" s="7" t="n"/>
      <c r="U295" s="7" t="n"/>
      <c r="V295" s="7" t="n"/>
      <c r="W295" s="7" t="n"/>
      <c r="X295" s="7" t="n"/>
    </row>
    <row r="296" ht="21.75" customHeight="1" s="209">
      <c r="A296" s="28" t="n">
        <v>293</v>
      </c>
      <c r="B296" s="28" t="inlineStr">
        <is>
          <t>14692</t>
        </is>
      </c>
      <c r="C296" s="30" t="inlineStr">
        <is>
          <t>D3</t>
        </is>
      </c>
      <c r="D296" s="32" t="inlineStr">
        <is>
          <t>통나무 자르기</t>
        </is>
      </c>
      <c r="E296" s="132" t="inlineStr">
        <is>
          <t>완전탐색 / 시뮬레이션</t>
        </is>
      </c>
      <c r="F296" s="28" t="n"/>
      <c r="G296" s="28" t="n"/>
      <c r="H296" s="28" t="n"/>
      <c r="I296" s="28" t="n"/>
      <c r="J296" s="54">
        <f>IF(OR(ISNUMBER(SEARCH("보류",K296)),ISNUMBER(SEARCH("미룸",K296)),ISNUMBER(SEARCH("나중에",K296)),ISNUMBER(SEARCH("보류",L296)),ISNUMBER(SEARCH("미룸",L296)),ISNUMBER(SEARCH("나중에",L296))),"보류(나중에 풀기)",IF(AND(F296="",G296="",H296="",I296=""),"미완료",IF(I296&lt;&gt;"","복습3(마스터)",IF(H296&lt;&gt;"","복습2",IF(G296&lt;&gt;"","복습1",IF(ISNUMBER(SEARCH("제미나이",K296)),"복습대기(AI도움)",IF(ISNUMBER(SEARCH("간당간당",K296)),"복습대기(간당간당)",IF(OR(ISNUMBER(SEARCH("아이디어",K296)),ISNUMBER(SEARCH("시간초과",K296)),ISNUMBER(SEARCH("자료구조",K296)),ISNUMBER(SEARCH("경계값",K296)),ISNUMBER(SEARCH("다른 풀이",K296)),ISNUMBER(SEARCH("또풀기",K296))),"복습대기",IF(OR(ISNUMBER(SEARCH("복습필요없음",K296)),ISNUMBER(SEARCH("자력완벽",K296))),"품(복습불필요)",IF(F296&lt;&gt;"","품","미완료"))))))))))</f>
        <v/>
      </c>
      <c r="K296" s="32" t="inlineStr">
        <is>
          <t>-</t>
        </is>
      </c>
      <c r="L296" s="32" t="n"/>
      <c r="M296" s="28">
        <f>IF(OR(LEFT(J296,2)="보류", LEFT(J296,4)="복습대기", LEFT(J296,3)="복습1", LEFT(J296,3)="복습2"), MAX($M$3:M295)+1, "")</f>
        <v/>
      </c>
      <c r="N296" s="28" t="inlineStr">
        <is>
          <t>W09</t>
        </is>
      </c>
      <c r="O296" s="36" t="n">
        <v>46319</v>
      </c>
      <c r="P296" s="30">
        <f>IF(F296&lt;&gt;"","✅ 완료",IF(O296="","-",IF(TODAY()&gt;O296,"🚨 지연","⏳ 예정")))</f>
        <v/>
      </c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 ht="21.75" customHeight="1" s="209">
      <c r="A297" s="28" t="n">
        <v>294</v>
      </c>
      <c r="B297" s="28" t="inlineStr">
        <is>
          <t>15230</t>
        </is>
      </c>
      <c r="C297" s="30" t="inlineStr">
        <is>
          <t>D3</t>
        </is>
      </c>
      <c r="D297" s="32" t="inlineStr">
        <is>
          <t>알파벳 공부</t>
        </is>
      </c>
      <c r="E297" s="34" t="inlineStr">
        <is>
          <t>완전탐색 / 시뮬레이션</t>
        </is>
      </c>
      <c r="F297" s="28" t="n"/>
      <c r="G297" s="28" t="n"/>
      <c r="H297" s="28" t="n"/>
      <c r="I297" s="28" t="n"/>
      <c r="J297" s="54">
        <f>IF(OR(ISNUMBER(SEARCH("보류",K297)),ISNUMBER(SEARCH("미룸",K297)),ISNUMBER(SEARCH("나중에",K297)),ISNUMBER(SEARCH("보류",L297)),ISNUMBER(SEARCH("미룸",L297)),ISNUMBER(SEARCH("나중에",L297))),"보류(나중에 풀기)",IF(AND(F297="",G297="",H297="",I297=""),"미완료",IF(I297&lt;&gt;"","복습3(마스터)",IF(H297&lt;&gt;"","복습2",IF(G297&lt;&gt;"","복습1",IF(ISNUMBER(SEARCH("제미나이",K297)),"복습대기(AI도움)",IF(ISNUMBER(SEARCH("간당간당",K297)),"복습대기(간당간당)",IF(OR(ISNUMBER(SEARCH("아이디어",K297)),ISNUMBER(SEARCH("시간초과",K297)),ISNUMBER(SEARCH("자료구조",K297)),ISNUMBER(SEARCH("경계값",K297)),ISNUMBER(SEARCH("다른 풀이",K297)),ISNUMBER(SEARCH("또풀기",K297))),"복습대기",IF(OR(ISNUMBER(SEARCH("복습필요없음",K297)),ISNUMBER(SEARCH("자력완벽",K297))),"품(복습불필요)",IF(F297&lt;&gt;"","품","미완료"))))))))))</f>
        <v/>
      </c>
      <c r="K297" s="32" t="inlineStr">
        <is>
          <t>-</t>
        </is>
      </c>
      <c r="L297" s="32" t="n"/>
      <c r="M297" s="28">
        <f>IF(OR(LEFT(J297,2)="보류", LEFT(J297,4)="복습대기", LEFT(J297,3)="복습1", LEFT(J297,3)="복습2"), MAX($M$3:M296)+1, "")</f>
        <v/>
      </c>
      <c r="N297" s="28" t="inlineStr">
        <is>
          <t>W09</t>
        </is>
      </c>
      <c r="O297" s="36" t="n">
        <v>46320</v>
      </c>
      <c r="P297" s="30">
        <f>IF(F297&lt;&gt;"","✅ 완료",IF(O297="","-",IF(TODAY()&gt;O297,"🚨 지연","⏳ 예정")))</f>
        <v/>
      </c>
      <c r="Q297" s="7" t="n"/>
      <c r="R297" s="7" t="n"/>
      <c r="S297" s="7" t="n"/>
      <c r="T297" s="7" t="n"/>
      <c r="U297" s="7" t="n"/>
      <c r="V297" s="7" t="n"/>
      <c r="W297" s="7" t="n"/>
      <c r="X297" s="7" t="n"/>
    </row>
    <row r="298" ht="21.75" customHeight="1" s="209">
      <c r="A298" s="28" t="n">
        <v>295</v>
      </c>
      <c r="B298" s="28" t="inlineStr">
        <is>
          <t>15612</t>
        </is>
      </c>
      <c r="C298" s="30" t="inlineStr">
        <is>
          <t>D3</t>
        </is>
      </c>
      <c r="D298" s="32" t="inlineStr">
        <is>
          <t>체스판 위의 룩 배치</t>
        </is>
      </c>
      <c r="E298" s="34" t="inlineStr">
        <is>
          <t>완전탐색 / 시뮬레이션</t>
        </is>
      </c>
      <c r="F298" s="28" t="n"/>
      <c r="G298" s="28" t="n"/>
      <c r="H298" s="28" t="n"/>
      <c r="I298" s="28" t="n"/>
      <c r="J298" s="54">
        <f>IF(OR(ISNUMBER(SEARCH("보류",K298)),ISNUMBER(SEARCH("미룸",K298)),ISNUMBER(SEARCH("나중에",K298)),ISNUMBER(SEARCH("보류",L298)),ISNUMBER(SEARCH("미룸",L298)),ISNUMBER(SEARCH("나중에",L298))),"보류(나중에 풀기)",IF(AND(F298="",G298="",H298="",I298=""),"미완료",IF(I298&lt;&gt;"","복습3(마스터)",IF(H298&lt;&gt;"","복습2",IF(G298&lt;&gt;"","복습1",IF(ISNUMBER(SEARCH("제미나이",K298)),"복습대기(AI도움)",IF(ISNUMBER(SEARCH("간당간당",K298)),"복습대기(간당간당)",IF(OR(ISNUMBER(SEARCH("아이디어",K298)),ISNUMBER(SEARCH("시간초과",K298)),ISNUMBER(SEARCH("자료구조",K298)),ISNUMBER(SEARCH("경계값",K298)),ISNUMBER(SEARCH("다른 풀이",K298)),ISNUMBER(SEARCH("또풀기",K298))),"복습대기",IF(OR(ISNUMBER(SEARCH("복습필요없음",K298)),ISNUMBER(SEARCH("자력완벽",K298))),"품(복습불필요)",IF(F298&lt;&gt;"","품","미완료"))))))))))</f>
        <v/>
      </c>
      <c r="K298" s="32" t="inlineStr">
        <is>
          <t>-</t>
        </is>
      </c>
      <c r="L298" s="32" t="n"/>
      <c r="M298" s="28">
        <f>IF(OR(LEFT(J298,2)="보류", LEFT(J298,4)="복습대기", LEFT(J298,3)="복습1", LEFT(J298,3)="복습2"), MAX($M$3:M297)+1, "")</f>
        <v/>
      </c>
      <c r="N298" s="28" t="inlineStr">
        <is>
          <t>W09</t>
        </is>
      </c>
      <c r="O298" s="36" t="n">
        <v>46320</v>
      </c>
      <c r="P298" s="30">
        <f>IF(F298&lt;&gt;"","✅ 완료",IF(O298="","-",IF(TODAY()&gt;O298,"🚨 지연","⏳ 예정")))</f>
        <v/>
      </c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 ht="21.75" customHeight="1" s="209">
      <c r="A299" s="28" t="n">
        <v>296</v>
      </c>
      <c r="B299" s="28" t="inlineStr">
        <is>
          <t>15758</t>
        </is>
      </c>
      <c r="C299" s="30" t="inlineStr">
        <is>
          <t>D3</t>
        </is>
      </c>
      <c r="D299" s="32" t="inlineStr">
        <is>
          <t>무한 문자열</t>
        </is>
      </c>
      <c r="E299" s="34" t="inlineStr">
        <is>
          <t>문자열 / 파싱</t>
        </is>
      </c>
      <c r="F299" s="28" t="n"/>
      <c r="G299" s="28" t="n"/>
      <c r="H299" s="28" t="n"/>
      <c r="I299" s="28" t="n"/>
      <c r="J299" s="54">
        <f>IF(OR(ISNUMBER(SEARCH("보류",K299)),ISNUMBER(SEARCH("미룸",K299)),ISNUMBER(SEARCH("나중에",K299)),ISNUMBER(SEARCH("보류",L299)),ISNUMBER(SEARCH("미룸",L299)),ISNUMBER(SEARCH("나중에",L299))),"보류(나중에 풀기)",IF(AND(F299="",G299="",H299="",I299=""),"미완료",IF(I299&lt;&gt;"","복습3(마스터)",IF(H299&lt;&gt;"","복습2",IF(G299&lt;&gt;"","복습1",IF(ISNUMBER(SEARCH("제미나이",K299)),"복습대기(AI도움)",IF(ISNUMBER(SEARCH("간당간당",K299)),"복습대기(간당간당)",IF(OR(ISNUMBER(SEARCH("아이디어",K299)),ISNUMBER(SEARCH("시간초과",K299)),ISNUMBER(SEARCH("자료구조",K299)),ISNUMBER(SEARCH("경계값",K299)),ISNUMBER(SEARCH("다른 풀이",K299)),ISNUMBER(SEARCH("또풀기",K299))),"복습대기",IF(OR(ISNUMBER(SEARCH("복습필요없음",K299)),ISNUMBER(SEARCH("자력완벽",K299))),"품(복습불필요)",IF(F299&lt;&gt;"","품","미완료"))))))))))</f>
        <v/>
      </c>
      <c r="K299" s="32" t="inlineStr">
        <is>
          <t>-</t>
        </is>
      </c>
      <c r="L299" s="32" t="n"/>
      <c r="M299" s="28">
        <f>IF(OR(LEFT(J299,2)="보류", LEFT(J299,4)="복습대기", LEFT(J299,3)="복습1", LEFT(J299,3)="복습2"), MAX($M$3:M298)+1, "")</f>
        <v/>
      </c>
      <c r="N299" s="28" t="inlineStr">
        <is>
          <t>W09</t>
        </is>
      </c>
      <c r="O299" s="36" t="n">
        <v>46320</v>
      </c>
      <c r="P299" s="30">
        <f>IF(F299&lt;&gt;"","✅ 완료",IF(O299="","-",IF(TODAY()&gt;O299,"🚨 지연","⏳ 예정")))</f>
        <v/>
      </c>
      <c r="Q299" s="7" t="n"/>
      <c r="R299" s="7" t="n"/>
      <c r="S299" s="7" t="n"/>
      <c r="T299" s="7" t="n"/>
      <c r="U299" s="7" t="n"/>
      <c r="V299" s="7" t="n"/>
      <c r="W299" s="7" t="n"/>
      <c r="X299" s="7" t="n"/>
    </row>
    <row r="300" ht="21.75" customHeight="1" s="209">
      <c r="A300" s="28" t="n">
        <v>297</v>
      </c>
      <c r="B300" s="28" t="inlineStr">
        <is>
          <t>15941</t>
        </is>
      </c>
      <c r="C300" s="30" t="inlineStr">
        <is>
          <t>D3</t>
        </is>
      </c>
      <c r="D300" s="32" t="inlineStr">
        <is>
          <t>평행사변형</t>
        </is>
      </c>
      <c r="E300" s="59" t="inlineStr">
        <is>
          <t>완전탐색 / 시뮬레이션</t>
        </is>
      </c>
      <c r="F300" s="28" t="n"/>
      <c r="G300" s="28" t="n"/>
      <c r="H300" s="28" t="n"/>
      <c r="I300" s="28" t="n"/>
      <c r="J300" s="54">
        <f>IF(OR(ISNUMBER(SEARCH("보류",K300)),ISNUMBER(SEARCH("미룸",K300)),ISNUMBER(SEARCH("나중에",K300)),ISNUMBER(SEARCH("보류",L300)),ISNUMBER(SEARCH("미룸",L300)),ISNUMBER(SEARCH("나중에",L300))),"보류(나중에 풀기)",IF(AND(F300="",G300="",H300="",I300=""),"미완료",IF(I300&lt;&gt;"","복습3(마스터)",IF(H300&lt;&gt;"","복습2",IF(G300&lt;&gt;"","복습1",IF(ISNUMBER(SEARCH("제미나이",K300)),"복습대기(AI도움)",IF(ISNUMBER(SEARCH("간당간당",K300)),"복습대기(간당간당)",IF(OR(ISNUMBER(SEARCH("아이디어",K300)),ISNUMBER(SEARCH("시간초과",K300)),ISNUMBER(SEARCH("자료구조",K300)),ISNUMBER(SEARCH("경계값",K300)),ISNUMBER(SEARCH("다른 풀이",K300)),ISNUMBER(SEARCH("또풀기",K300))),"복습대기",IF(OR(ISNUMBER(SEARCH("복습필요없음",K300)),ISNUMBER(SEARCH("자력완벽",K300))),"품(복습불필요)",IF(F300&lt;&gt;"","품","미완료"))))))))))</f>
        <v/>
      </c>
      <c r="K300" s="32" t="inlineStr">
        <is>
          <t>-</t>
        </is>
      </c>
      <c r="L300" s="32" t="n"/>
      <c r="M300" s="28">
        <f>IF(OR(LEFT(J300,2)="보류", LEFT(J300,4)="복습대기", LEFT(J300,3)="복습1", LEFT(J300,3)="복습2"), MAX($M$3:M299)+1, "")</f>
        <v/>
      </c>
      <c r="N300" s="28" t="inlineStr">
        <is>
          <t>W09</t>
        </is>
      </c>
      <c r="O300" s="36" t="n">
        <v>46320</v>
      </c>
      <c r="P300" s="30">
        <f>IF(F300&lt;&gt;"","✅ 완료",IF(O300="","-",IF(TODAY()&gt;O300,"🚨 지연","⏳ 예정")))</f>
        <v/>
      </c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 ht="21.75" customHeight="1" s="209">
      <c r="A301" s="28" t="n">
        <v>298</v>
      </c>
      <c r="B301" s="28" t="inlineStr">
        <is>
          <t>16002</t>
        </is>
      </c>
      <c r="C301" s="30" t="inlineStr">
        <is>
          <t>D3</t>
        </is>
      </c>
      <c r="D301" s="32" t="inlineStr">
        <is>
          <t>합성수 방정식</t>
        </is>
      </c>
      <c r="E301" s="34" t="inlineStr">
        <is>
          <t>수학 / 정수론</t>
        </is>
      </c>
      <c r="F301" s="28" t="n"/>
      <c r="G301" s="28" t="n"/>
      <c r="H301" s="28" t="n"/>
      <c r="I301" s="28" t="n"/>
      <c r="J301" s="54">
        <f>IF(OR(ISNUMBER(SEARCH("보류",K301)),ISNUMBER(SEARCH("미룸",K301)),ISNUMBER(SEARCH("나중에",K301)),ISNUMBER(SEARCH("보류",L301)),ISNUMBER(SEARCH("미룸",L301)),ISNUMBER(SEARCH("나중에",L301))),"보류(나중에 풀기)",IF(AND(F301="",G301="",H301="",I301=""),"미완료",IF(I301&lt;&gt;"","복습3(마스터)",IF(H301&lt;&gt;"","복습2",IF(G301&lt;&gt;"","복습1",IF(ISNUMBER(SEARCH("제미나이",K301)),"복습대기(AI도움)",IF(ISNUMBER(SEARCH("간당간당",K301)),"복습대기(간당간당)",IF(OR(ISNUMBER(SEARCH("아이디어",K301)),ISNUMBER(SEARCH("시간초과",K301)),ISNUMBER(SEARCH("자료구조",K301)),ISNUMBER(SEARCH("경계값",K301)),ISNUMBER(SEARCH("다른 풀이",K301)),ISNUMBER(SEARCH("또풀기",K301))),"복습대기",IF(OR(ISNUMBER(SEARCH("복습필요없음",K301)),ISNUMBER(SEARCH("자력완벽",K301))),"품(복습불필요)",IF(F301&lt;&gt;"","품","미완료"))))))))))</f>
        <v/>
      </c>
      <c r="K301" s="32" t="inlineStr">
        <is>
          <t>-</t>
        </is>
      </c>
      <c r="L301" s="32" t="n"/>
      <c r="M301" s="28">
        <f>IF(OR(LEFT(J301,2)="보류", LEFT(J301,4)="복습대기", LEFT(J301,3)="복습1", LEFT(J301,3)="복습2"), MAX($M$3:M300)+1, "")</f>
        <v/>
      </c>
      <c r="N301" s="28" t="inlineStr">
        <is>
          <t>W09</t>
        </is>
      </c>
      <c r="O301" s="36" t="n">
        <v>46320</v>
      </c>
      <c r="P301" s="30">
        <f>IF(F301&lt;&gt;"","✅ 완료",IF(O301="","-",IF(TODAY()&gt;O301,"🚨 지연","⏳ 예정")))</f>
        <v/>
      </c>
      <c r="Q301" s="7" t="n"/>
      <c r="R301" s="7" t="n"/>
      <c r="S301" s="7" t="n"/>
      <c r="T301" s="7" t="n"/>
      <c r="U301" s="7" t="n"/>
      <c r="V301" s="7" t="n"/>
      <c r="W301" s="7" t="n"/>
      <c r="X301" s="7" t="n"/>
    </row>
    <row r="302" ht="21.75" customHeight="1" s="209">
      <c r="A302" s="28" t="n">
        <v>299</v>
      </c>
      <c r="B302" s="28" t="inlineStr">
        <is>
          <t>16800</t>
        </is>
      </c>
      <c r="C302" s="30" t="inlineStr">
        <is>
          <t>D3</t>
        </is>
      </c>
      <c r="D302" s="32" t="inlineStr">
        <is>
          <t>구구단 걷기</t>
        </is>
      </c>
      <c r="E302" s="34" t="inlineStr">
        <is>
          <t>완전탐색 / 시뮬레이션</t>
        </is>
      </c>
      <c r="F302" s="28" t="n"/>
      <c r="G302" s="28" t="n"/>
      <c r="H302" s="28" t="n"/>
      <c r="I302" s="28" t="n"/>
      <c r="J302" s="54">
        <f>IF(OR(ISNUMBER(SEARCH("보류",K302)),ISNUMBER(SEARCH("미룸",K302)),ISNUMBER(SEARCH("나중에",K302)),ISNUMBER(SEARCH("보류",L302)),ISNUMBER(SEARCH("미룸",L302)),ISNUMBER(SEARCH("나중에",L302))),"보류(나중에 풀기)",IF(AND(F302="",G302="",H302="",I302=""),"미완료",IF(I302&lt;&gt;"","복습3(마스터)",IF(H302&lt;&gt;"","복습2",IF(G302&lt;&gt;"","복습1",IF(ISNUMBER(SEARCH("제미나이",K302)),"복습대기(AI도움)",IF(ISNUMBER(SEARCH("간당간당",K302)),"복습대기(간당간당)",IF(OR(ISNUMBER(SEARCH("아이디어",K302)),ISNUMBER(SEARCH("시간초과",K302)),ISNUMBER(SEARCH("자료구조",K302)),ISNUMBER(SEARCH("경계값",K302)),ISNUMBER(SEARCH("다른 풀이",K302)),ISNUMBER(SEARCH("또풀기",K302))),"복습대기",IF(OR(ISNUMBER(SEARCH("복습필요없음",K302)),ISNUMBER(SEARCH("자력완벽",K302))),"품(복습불필요)",IF(F302&lt;&gt;"","품","미완료"))))))))))</f>
        <v/>
      </c>
      <c r="K302" s="32" t="inlineStr">
        <is>
          <t>-</t>
        </is>
      </c>
      <c r="L302" s="32" t="n"/>
      <c r="M302" s="28">
        <f>IF(OR(LEFT(J302,2)="보류", LEFT(J302,4)="복습대기", LEFT(J302,3)="복습1", LEFT(J302,3)="복습2"), MAX($M$3:M301)+1, "")</f>
        <v/>
      </c>
      <c r="N302" s="28" t="inlineStr">
        <is>
          <t>W09</t>
        </is>
      </c>
      <c r="O302" s="36" t="n">
        <v>46320</v>
      </c>
      <c r="P302" s="30">
        <f>IF(F302&lt;&gt;"","✅ 완료",IF(O302="","-",IF(TODAY()&gt;O302,"🚨 지연","⏳ 예정")))</f>
        <v/>
      </c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 ht="21.75" customHeight="1" s="209">
      <c r="A303" s="28" t="n">
        <v>300</v>
      </c>
      <c r="B303" s="28" t="inlineStr">
        <is>
          <t>16910</t>
        </is>
      </c>
      <c r="C303" s="30" t="inlineStr">
        <is>
          <t>D3</t>
        </is>
      </c>
      <c r="D303" s="32" t="inlineStr">
        <is>
          <t>원 안의 점</t>
        </is>
      </c>
      <c r="E303" s="34" t="inlineStr">
        <is>
          <t>완전탐색 / 시뮬레이션</t>
        </is>
      </c>
      <c r="F303" s="28" t="n"/>
      <c r="G303" s="28" t="n"/>
      <c r="H303" s="28" t="n"/>
      <c r="I303" s="28" t="n"/>
      <c r="J303" s="54">
        <f>IF(OR(ISNUMBER(SEARCH("보류",K303)),ISNUMBER(SEARCH("미룸",K303)),ISNUMBER(SEARCH("나중에",K303)),ISNUMBER(SEARCH("보류",L303)),ISNUMBER(SEARCH("미룸",L303)),ISNUMBER(SEARCH("나중에",L303))),"보류(나중에 풀기)",IF(AND(F303="",G303="",H303="",I303=""),"미완료",IF(I303&lt;&gt;"","복습3(마스터)",IF(H303&lt;&gt;"","복습2",IF(G303&lt;&gt;"","복습1",IF(ISNUMBER(SEARCH("제미나이",K303)),"복습대기(AI도움)",IF(ISNUMBER(SEARCH("간당간당",K303)),"복습대기(간당간당)",IF(OR(ISNUMBER(SEARCH("아이디어",K303)),ISNUMBER(SEARCH("시간초과",K303)),ISNUMBER(SEARCH("자료구조",K303)),ISNUMBER(SEARCH("경계값",K303)),ISNUMBER(SEARCH("다른 풀이",K303)),ISNUMBER(SEARCH("또풀기",K303))),"복습대기",IF(OR(ISNUMBER(SEARCH("복습필요없음",K303)),ISNUMBER(SEARCH("자력완벽",K303))),"품(복습불필요)",IF(F303&lt;&gt;"","품","미완료"))))))))))</f>
        <v/>
      </c>
      <c r="K303" s="32" t="inlineStr">
        <is>
          <t>-</t>
        </is>
      </c>
      <c r="L303" s="32" t="n"/>
      <c r="M303" s="28">
        <f>IF(OR(LEFT(J303,2)="보류", LEFT(J303,4)="복습대기", LEFT(J303,3)="복습1", LEFT(J303,3)="복습2"), MAX($M$3:M302)+1, "")</f>
        <v/>
      </c>
      <c r="N303" s="28" t="inlineStr">
        <is>
          <t>W09</t>
        </is>
      </c>
      <c r="O303" s="36" t="n">
        <v>46320</v>
      </c>
      <c r="P303" s="30">
        <f>IF(F303&lt;&gt;"","✅ 완료",IF(O303="","-",IF(TODAY()&gt;O303,"🚨 지연","⏳ 예정")))</f>
        <v/>
      </c>
      <c r="Q303" s="7" t="n"/>
      <c r="R303" s="7" t="n"/>
      <c r="S303" s="7" t="n"/>
      <c r="T303" s="7" t="n"/>
      <c r="U303" s="7" t="n"/>
      <c r="V303" s="7" t="n"/>
      <c r="W303" s="7" t="n"/>
      <c r="X303" s="7" t="n"/>
    </row>
    <row r="304" ht="21.75" customHeight="1" s="209">
      <c r="A304" s="28" t="n">
        <v>301</v>
      </c>
      <c r="B304" s="28" t="inlineStr">
        <is>
          <t>17319</t>
        </is>
      </c>
      <c r="C304" s="30" t="inlineStr">
        <is>
          <t>D3</t>
        </is>
      </c>
      <c r="D304" s="32" t="inlineStr">
        <is>
          <t>문자열문자열</t>
        </is>
      </c>
      <c r="E304" s="34" t="inlineStr">
        <is>
          <t>문자열 / 파싱</t>
        </is>
      </c>
      <c r="F304" s="28" t="n"/>
      <c r="G304" s="28" t="n"/>
      <c r="H304" s="28" t="n"/>
      <c r="I304" s="28" t="n"/>
      <c r="J304" s="54">
        <f>IF(OR(ISNUMBER(SEARCH("보류",K304)),ISNUMBER(SEARCH("미룸",K304)),ISNUMBER(SEARCH("나중에",K304)),ISNUMBER(SEARCH("보류",L304)),ISNUMBER(SEARCH("미룸",L304)),ISNUMBER(SEARCH("나중에",L304))),"보류(나중에 풀기)",IF(AND(F304="",G304="",H304="",I304=""),"미완료",IF(I304&lt;&gt;"","복습3(마스터)",IF(H304&lt;&gt;"","복습2",IF(G304&lt;&gt;"","복습1",IF(ISNUMBER(SEARCH("제미나이",K304)),"복습대기(AI도움)",IF(ISNUMBER(SEARCH("간당간당",K304)),"복습대기(간당간당)",IF(OR(ISNUMBER(SEARCH("아이디어",K304)),ISNUMBER(SEARCH("시간초과",K304)),ISNUMBER(SEARCH("자료구조",K304)),ISNUMBER(SEARCH("경계값",K304)),ISNUMBER(SEARCH("다른 풀이",K304)),ISNUMBER(SEARCH("또풀기",K304))),"복습대기",IF(OR(ISNUMBER(SEARCH("복습필요없음",K304)),ISNUMBER(SEARCH("자력완벽",K304))),"품(복습불필요)",IF(F304&lt;&gt;"","품","미완료"))))))))))</f>
        <v/>
      </c>
      <c r="K304" s="32" t="inlineStr">
        <is>
          <t>-</t>
        </is>
      </c>
      <c r="L304" s="32" t="n"/>
      <c r="M304" s="28">
        <f>IF(OR(LEFT(J304,2)="보류", LEFT(J304,4)="복습대기", LEFT(J304,3)="복습1", LEFT(J304,3)="복습2"), MAX($M$3:M303)+1, "")</f>
        <v/>
      </c>
      <c r="N304" s="28" t="inlineStr">
        <is>
          <t>W10</t>
        </is>
      </c>
      <c r="O304" s="36" t="n">
        <v>46321</v>
      </c>
      <c r="P304" s="30">
        <f>IF(F304&lt;&gt;"","✅ 완료",IF(O304="","-",IF(TODAY()&gt;O304,"🚨 지연","⏳ 예정")))</f>
        <v/>
      </c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 ht="21.75" customHeight="1" s="209">
      <c r="A305" s="28" t="n">
        <v>302</v>
      </c>
      <c r="B305" s="28" t="inlineStr">
        <is>
          <t>17642</t>
        </is>
      </c>
      <c r="C305" s="30" t="inlineStr">
        <is>
          <t>D3</t>
        </is>
      </c>
      <c r="D305" s="32" t="inlineStr">
        <is>
          <t>최대 조작 횟수</t>
        </is>
      </c>
      <c r="E305" s="34" t="inlineStr">
        <is>
          <t>완전탐색 / 시뮬레이션</t>
        </is>
      </c>
      <c r="F305" s="28" t="n"/>
      <c r="G305" s="28" t="n"/>
      <c r="H305" s="28" t="n"/>
      <c r="I305" s="28" t="n"/>
      <c r="J305" s="54">
        <f>IF(OR(ISNUMBER(SEARCH("보류",K305)),ISNUMBER(SEARCH("미룸",K305)),ISNUMBER(SEARCH("나중에",K305)),ISNUMBER(SEARCH("보류",L305)),ISNUMBER(SEARCH("미룸",L305)),ISNUMBER(SEARCH("나중에",L305))),"보류(나중에 풀기)",IF(AND(F305="",G305="",H305="",I305=""),"미완료",IF(I305&lt;&gt;"","복습3(마스터)",IF(H305&lt;&gt;"","복습2",IF(G305&lt;&gt;"","복습1",IF(ISNUMBER(SEARCH("제미나이",K305)),"복습대기(AI도움)",IF(ISNUMBER(SEARCH("간당간당",K305)),"복습대기(간당간당)",IF(OR(ISNUMBER(SEARCH("아이디어",K305)),ISNUMBER(SEARCH("시간초과",K305)),ISNUMBER(SEARCH("자료구조",K305)),ISNUMBER(SEARCH("경계값",K305)),ISNUMBER(SEARCH("다른 풀이",K305)),ISNUMBER(SEARCH("또풀기",K305))),"복습대기",IF(OR(ISNUMBER(SEARCH("복습필요없음",K305)),ISNUMBER(SEARCH("자력완벽",K305))),"품(복습불필요)",IF(F305&lt;&gt;"","품","미완료"))))))))))</f>
        <v/>
      </c>
      <c r="K305" s="32" t="inlineStr">
        <is>
          <t>-</t>
        </is>
      </c>
      <c r="L305" s="32" t="n"/>
      <c r="M305" s="28">
        <f>IF(OR(LEFT(J305,2)="보류", LEFT(J305,4)="복습대기", LEFT(J305,3)="복습1", LEFT(J305,3)="복습2"), MAX($M$3:M304)+1, "")</f>
        <v/>
      </c>
      <c r="N305" s="28" t="inlineStr">
        <is>
          <t>W10</t>
        </is>
      </c>
      <c r="O305" s="36" t="n">
        <v>46321</v>
      </c>
      <c r="P305" s="30">
        <f>IF(F305&lt;&gt;"","✅ 완료",IF(O305="","-",IF(TODAY()&gt;O305,"🚨 지연","⏳ 예정")))</f>
        <v/>
      </c>
      <c r="Q305" s="7" t="n"/>
      <c r="R305" s="7" t="n"/>
      <c r="S305" s="7" t="n"/>
      <c r="T305" s="7" t="n"/>
      <c r="U305" s="7" t="n"/>
      <c r="V305" s="7" t="n"/>
      <c r="W305" s="7" t="n"/>
      <c r="X305" s="7" t="n"/>
    </row>
    <row r="306" ht="21.75" customHeight="1" s="209">
      <c r="A306" s="28" t="n">
        <v>303</v>
      </c>
      <c r="B306" s="28" t="inlineStr">
        <is>
          <t>17937</t>
        </is>
      </c>
      <c r="C306" s="30" t="inlineStr">
        <is>
          <t>D3</t>
        </is>
      </c>
      <c r="D306" s="32" t="inlineStr">
        <is>
          <t>큰 수의 최대공약수</t>
        </is>
      </c>
      <c r="E306" s="34" t="inlineStr">
        <is>
          <t>수학 / 정수론</t>
        </is>
      </c>
      <c r="F306" s="28" t="n"/>
      <c r="G306" s="28" t="n"/>
      <c r="H306" s="28" t="n"/>
      <c r="I306" s="28" t="n"/>
      <c r="J306" s="54">
        <f>IF(OR(ISNUMBER(SEARCH("보류",K306)),ISNUMBER(SEARCH("미룸",K306)),ISNUMBER(SEARCH("나중에",K306)),ISNUMBER(SEARCH("보류",L306)),ISNUMBER(SEARCH("미룸",L306)),ISNUMBER(SEARCH("나중에",L306))),"보류(나중에 풀기)",IF(AND(F306="",G306="",H306="",I306=""),"미완료",IF(I306&lt;&gt;"","복습3(마스터)",IF(H306&lt;&gt;"","복습2",IF(G306&lt;&gt;"","복습1",IF(ISNUMBER(SEARCH("제미나이",K306)),"복습대기(AI도움)",IF(ISNUMBER(SEARCH("간당간당",K306)),"복습대기(간당간당)",IF(OR(ISNUMBER(SEARCH("아이디어",K306)),ISNUMBER(SEARCH("시간초과",K306)),ISNUMBER(SEARCH("자료구조",K306)),ISNUMBER(SEARCH("경계값",K306)),ISNUMBER(SEARCH("다른 풀이",K306)),ISNUMBER(SEARCH("또풀기",K306))),"복습대기",IF(OR(ISNUMBER(SEARCH("복습필요없음",K306)),ISNUMBER(SEARCH("자력완벽",K306))),"품(복습불필요)",IF(F306&lt;&gt;"","품","미완료"))))))))))</f>
        <v/>
      </c>
      <c r="K306" s="32" t="inlineStr">
        <is>
          <t>-</t>
        </is>
      </c>
      <c r="L306" s="32" t="n"/>
      <c r="M306" s="28">
        <f>IF(OR(LEFT(J306,2)="보류", LEFT(J306,4)="복습대기", LEFT(J306,3)="복습1", LEFT(J306,3)="복습2"), MAX($M$3:M305)+1, "")</f>
        <v/>
      </c>
      <c r="N306" s="28" t="inlineStr">
        <is>
          <t>W10</t>
        </is>
      </c>
      <c r="O306" s="36" t="n">
        <v>46321</v>
      </c>
      <c r="P306" s="30">
        <f>IF(F306&lt;&gt;"","✅ 완료",IF(O306="","-",IF(TODAY()&gt;O306,"🚨 지연","⏳ 예정")))</f>
        <v/>
      </c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 ht="21.75" customHeight="1" s="209">
      <c r="A307" s="28" t="n">
        <v>304</v>
      </c>
      <c r="B307" s="28" t="inlineStr">
        <is>
          <t>18662</t>
        </is>
      </c>
      <c r="C307" s="30" t="inlineStr">
        <is>
          <t>D3</t>
        </is>
      </c>
      <c r="D307" s="32" t="inlineStr">
        <is>
          <t>등차수열 만들기</t>
        </is>
      </c>
      <c r="E307" s="34" t="inlineStr">
        <is>
          <t>동적계획법 (DP)</t>
        </is>
      </c>
      <c r="F307" s="28" t="n"/>
      <c r="G307" s="28" t="n"/>
      <c r="H307" s="28" t="n"/>
      <c r="I307" s="28" t="n"/>
      <c r="J307" s="54">
        <f>IF(OR(ISNUMBER(SEARCH("보류",K307)),ISNUMBER(SEARCH("미룸",K307)),ISNUMBER(SEARCH("나중에",K307)),ISNUMBER(SEARCH("보류",L307)),ISNUMBER(SEARCH("미룸",L307)),ISNUMBER(SEARCH("나중에",L307))),"보류(나중에 풀기)",IF(AND(F307="",G307="",H307="",I307=""),"미완료",IF(I307&lt;&gt;"","복습3(마스터)",IF(H307&lt;&gt;"","복습2",IF(G307&lt;&gt;"","복습1",IF(ISNUMBER(SEARCH("제미나이",K307)),"복습대기(AI도움)",IF(ISNUMBER(SEARCH("간당간당",K307)),"복습대기(간당간당)",IF(OR(ISNUMBER(SEARCH("아이디어",K307)),ISNUMBER(SEARCH("시간초과",K307)),ISNUMBER(SEARCH("자료구조",K307)),ISNUMBER(SEARCH("경계값",K307)),ISNUMBER(SEARCH("다른 풀이",K307)),ISNUMBER(SEARCH("또풀기",K307))),"복습대기",IF(OR(ISNUMBER(SEARCH("복습필요없음",K307)),ISNUMBER(SEARCH("자력완벽",K307))),"품(복습불필요)",IF(F307&lt;&gt;"","품","미완료"))))))))))</f>
        <v/>
      </c>
      <c r="K307" s="32" t="inlineStr">
        <is>
          <t>-</t>
        </is>
      </c>
      <c r="L307" s="32" t="n"/>
      <c r="M307" s="28">
        <f>IF(OR(LEFT(J307,2)="보류", LEFT(J307,4)="복습대기", LEFT(J307,3)="복습1", LEFT(J307,3)="복습2"), MAX($M$3:M306)+1, "")</f>
        <v/>
      </c>
      <c r="N307" s="28" t="inlineStr">
        <is>
          <t>W10</t>
        </is>
      </c>
      <c r="O307" s="36" t="n">
        <v>46321</v>
      </c>
      <c r="P307" s="30">
        <f>IF(F307&lt;&gt;"","✅ 완료",IF(O307="","-",IF(TODAY()&gt;O307,"🚨 지연","⏳ 예정")))</f>
        <v/>
      </c>
      <c r="Q307" s="7" t="n"/>
      <c r="R307" s="7" t="n"/>
      <c r="S307" s="7" t="n"/>
      <c r="T307" s="7" t="n"/>
      <c r="U307" s="7" t="n"/>
      <c r="V307" s="7" t="n"/>
      <c r="W307" s="7" t="n"/>
      <c r="X307" s="7" t="n"/>
    </row>
    <row r="308" ht="21.75" customHeight="1" s="209">
      <c r="A308" s="28" t="n">
        <v>305</v>
      </c>
      <c r="B308" s="28" t="inlineStr">
        <is>
          <t>19003</t>
        </is>
      </c>
      <c r="C308" s="30" t="inlineStr">
        <is>
          <t>D3</t>
        </is>
      </c>
      <c r="D308" s="32" t="inlineStr">
        <is>
          <t>팰린드롬 문제</t>
        </is>
      </c>
      <c r="E308" s="34" t="inlineStr">
        <is>
          <t>문자열 / 파싱</t>
        </is>
      </c>
      <c r="F308" s="28" t="n"/>
      <c r="G308" s="28" t="n"/>
      <c r="H308" s="28" t="n"/>
      <c r="I308" s="28" t="n"/>
      <c r="J308" s="54">
        <f>IF(OR(ISNUMBER(SEARCH("보류",K308)),ISNUMBER(SEARCH("미룸",K308)),ISNUMBER(SEARCH("나중에",K308)),ISNUMBER(SEARCH("보류",L308)),ISNUMBER(SEARCH("미룸",L308)),ISNUMBER(SEARCH("나중에",L308))),"보류(나중에 풀기)",IF(AND(F308="",G308="",H308="",I308=""),"미완료",IF(I308&lt;&gt;"","복습3(마스터)",IF(H308&lt;&gt;"","복습2",IF(G308&lt;&gt;"","복습1",IF(ISNUMBER(SEARCH("제미나이",K308)),"복습대기(AI도움)",IF(ISNUMBER(SEARCH("간당간당",K308)),"복습대기(간당간당)",IF(OR(ISNUMBER(SEARCH("아이디어",K308)),ISNUMBER(SEARCH("시간초과",K308)),ISNUMBER(SEARCH("자료구조",K308)),ISNUMBER(SEARCH("경계값",K308)),ISNUMBER(SEARCH("다른 풀이",K308)),ISNUMBER(SEARCH("또풀기",K308))),"복습대기",IF(OR(ISNUMBER(SEARCH("복습필요없음",K308)),ISNUMBER(SEARCH("자력완벽",K308))),"품(복습불필요)",IF(F308&lt;&gt;"","품","미완료"))))))))))</f>
        <v/>
      </c>
      <c r="K308" s="32" t="inlineStr">
        <is>
          <t>-</t>
        </is>
      </c>
      <c r="L308" s="32" t="n"/>
      <c r="M308" s="28">
        <f>IF(OR(LEFT(J308,2)="보류", LEFT(J308,4)="복습대기", LEFT(J308,3)="복습1", LEFT(J308,3)="복습2"), MAX($M$3:M307)+1, "")</f>
        <v/>
      </c>
      <c r="N308" s="28" t="inlineStr">
        <is>
          <t>W10</t>
        </is>
      </c>
      <c r="O308" s="36" t="n">
        <v>46321</v>
      </c>
      <c r="P308" s="30">
        <f>IF(F308&lt;&gt;"","✅ 완료",IF(O308="","-",IF(TODAY()&gt;O308,"🚨 지연","⏳ 예정")))</f>
        <v/>
      </c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 ht="21.75" customHeight="1" s="209">
      <c r="A309" s="28" t="n">
        <v>306</v>
      </c>
      <c r="B309" s="28" t="inlineStr">
        <is>
          <t>19113</t>
        </is>
      </c>
      <c r="C309" s="30" t="inlineStr">
        <is>
          <t>D3</t>
        </is>
      </c>
      <c r="D309" s="32" t="inlineStr">
        <is>
          <t>식료품 가게</t>
        </is>
      </c>
      <c r="E309" s="34" t="inlineStr">
        <is>
          <t>완전탐색 / 시뮬레이션</t>
        </is>
      </c>
      <c r="F309" s="28" t="n"/>
      <c r="G309" s="28" t="n"/>
      <c r="H309" s="28" t="n"/>
      <c r="I309" s="28" t="n"/>
      <c r="J309" s="54">
        <f>IF(OR(ISNUMBER(SEARCH("보류",K309)),ISNUMBER(SEARCH("미룸",K309)),ISNUMBER(SEARCH("나중에",K309)),ISNUMBER(SEARCH("보류",L309)),ISNUMBER(SEARCH("미룸",L309)),ISNUMBER(SEARCH("나중에",L309))),"보류(나중에 풀기)",IF(AND(F309="",G309="",H309="",I309=""),"미완료",IF(I309&lt;&gt;"","복습3(마스터)",IF(H309&lt;&gt;"","복습2",IF(G309&lt;&gt;"","복습1",IF(ISNUMBER(SEARCH("제미나이",K309)),"복습대기(AI도움)",IF(ISNUMBER(SEARCH("간당간당",K309)),"복습대기(간당간당)",IF(OR(ISNUMBER(SEARCH("아이디어",K309)),ISNUMBER(SEARCH("시간초과",K309)),ISNUMBER(SEARCH("자료구조",K309)),ISNUMBER(SEARCH("경계값",K309)),ISNUMBER(SEARCH("다른 풀이",K309)),ISNUMBER(SEARCH("또풀기",K309))),"복습대기",IF(OR(ISNUMBER(SEARCH("복습필요없음",K309)),ISNUMBER(SEARCH("자력완벽",K309))),"품(복습불필요)",IF(F309&lt;&gt;"","품","미완료"))))))))))</f>
        <v/>
      </c>
      <c r="K309" s="32" t="inlineStr">
        <is>
          <t>-</t>
        </is>
      </c>
      <c r="L309" s="32" t="n"/>
      <c r="M309" s="28">
        <f>IF(OR(LEFT(J309,2)="보류", LEFT(J309,4)="복습대기", LEFT(J309,3)="복습1", LEFT(J309,3)="복습2"), MAX($M$3:M308)+1, "")</f>
        <v/>
      </c>
      <c r="N309" s="28" t="inlineStr">
        <is>
          <t>W10</t>
        </is>
      </c>
      <c r="O309" s="36" t="n">
        <v>46321</v>
      </c>
      <c r="P309" s="30">
        <f>IF(F309&lt;&gt;"","✅ 완료",IF(O309="","-",IF(TODAY()&gt;O309,"🚨 지연","⏳ 예정")))</f>
        <v/>
      </c>
      <c r="Q309" s="7" t="n"/>
      <c r="R309" s="7" t="n"/>
      <c r="S309" s="7" t="n"/>
      <c r="T309" s="7" t="n"/>
      <c r="U309" s="7" t="n"/>
      <c r="V309" s="7" t="n"/>
      <c r="W309" s="7" t="n"/>
      <c r="X309" s="7" t="n"/>
    </row>
    <row r="310" ht="21.75" customHeight="1" s="209">
      <c r="A310" s="28" t="n">
        <v>307</v>
      </c>
      <c r="B310" s="28" t="inlineStr">
        <is>
          <t>19185</t>
        </is>
      </c>
      <c r="C310" s="30" t="inlineStr">
        <is>
          <t>D3</t>
        </is>
      </c>
      <c r="D310" s="32" t="inlineStr">
        <is>
          <t>육십갑자</t>
        </is>
      </c>
      <c r="E310" s="132" t="inlineStr">
        <is>
          <t>완전탐색 / 시뮬레이션</t>
        </is>
      </c>
      <c r="F310" s="28" t="n"/>
      <c r="G310" s="28" t="n"/>
      <c r="H310" s="28" t="n"/>
      <c r="I310" s="28" t="n"/>
      <c r="J310" s="54">
        <f>IF(OR(ISNUMBER(SEARCH("보류",K310)),ISNUMBER(SEARCH("미룸",K310)),ISNUMBER(SEARCH("나중에",K310)),ISNUMBER(SEARCH("보류",L310)),ISNUMBER(SEARCH("미룸",L310)),ISNUMBER(SEARCH("나중에",L310))),"보류(나중에 풀기)",IF(AND(F310="",G310="",H310="",I310=""),"미완료",IF(I310&lt;&gt;"","복습3(마스터)",IF(H310&lt;&gt;"","복습2",IF(G310&lt;&gt;"","복습1",IF(ISNUMBER(SEARCH("제미나이",K310)),"복습대기(AI도움)",IF(ISNUMBER(SEARCH("간당간당",K310)),"복습대기(간당간당)",IF(OR(ISNUMBER(SEARCH("아이디어",K310)),ISNUMBER(SEARCH("시간초과",K310)),ISNUMBER(SEARCH("자료구조",K310)),ISNUMBER(SEARCH("경계값",K310)),ISNUMBER(SEARCH("다른 풀이",K310)),ISNUMBER(SEARCH("또풀기",K310))),"복습대기",IF(OR(ISNUMBER(SEARCH("복습필요없음",K310)),ISNUMBER(SEARCH("자력완벽",K310))),"품(복습불필요)",IF(F310&lt;&gt;"","품","미완료"))))))))))</f>
        <v/>
      </c>
      <c r="K310" s="32" t="inlineStr">
        <is>
          <t>-</t>
        </is>
      </c>
      <c r="L310" s="32" t="n"/>
      <c r="M310" s="28">
        <f>IF(OR(LEFT(J310,2)="보류", LEFT(J310,4)="복습대기", LEFT(J310,3)="복습1", LEFT(J310,3)="복습2"), MAX($M$3:M309)+1, "")</f>
        <v/>
      </c>
      <c r="N310" s="28" t="inlineStr">
        <is>
          <t>W10</t>
        </is>
      </c>
      <c r="O310" s="36" t="n">
        <v>46321</v>
      </c>
      <c r="P310" s="30">
        <f>IF(F310&lt;&gt;"","✅ 완료",IF(O310="","-",IF(TODAY()&gt;O310,"🚨 지연","⏳ 예정")))</f>
        <v/>
      </c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 ht="21.75" customHeight="1" s="209">
      <c r="A311" s="28" t="n">
        <v>308</v>
      </c>
      <c r="B311" s="28" t="inlineStr">
        <is>
          <t>20019</t>
        </is>
      </c>
      <c r="C311" s="30" t="inlineStr">
        <is>
          <t>D3</t>
        </is>
      </c>
      <c r="D311" s="32" t="inlineStr">
        <is>
          <t>회문의 회문</t>
        </is>
      </c>
      <c r="E311" s="132" t="inlineStr">
        <is>
          <t>문자열 / 파싱</t>
        </is>
      </c>
      <c r="F311" s="28" t="n"/>
      <c r="G311" s="28" t="n"/>
      <c r="H311" s="28" t="n"/>
      <c r="I311" s="28" t="n"/>
      <c r="J311" s="54">
        <f>IF(OR(ISNUMBER(SEARCH("보류",K311)),ISNUMBER(SEARCH("미룸",K311)),ISNUMBER(SEARCH("나중에",K311)),ISNUMBER(SEARCH("보류",L311)),ISNUMBER(SEARCH("미룸",L311)),ISNUMBER(SEARCH("나중에",L311))),"보류(나중에 풀기)",IF(AND(F311="",G311="",H311="",I311=""),"미완료",IF(I311&lt;&gt;"","복습3(마스터)",IF(H311&lt;&gt;"","복습2",IF(G311&lt;&gt;"","복습1",IF(ISNUMBER(SEARCH("제미나이",K311)),"복습대기(AI도움)",IF(ISNUMBER(SEARCH("간당간당",K311)),"복습대기(간당간당)",IF(OR(ISNUMBER(SEARCH("아이디어",K311)),ISNUMBER(SEARCH("시간초과",K311)),ISNUMBER(SEARCH("자료구조",K311)),ISNUMBER(SEARCH("경계값",K311)),ISNUMBER(SEARCH("다른 풀이",K311)),ISNUMBER(SEARCH("또풀기",K311))),"복습대기",IF(OR(ISNUMBER(SEARCH("복습필요없음",K311)),ISNUMBER(SEARCH("자력완벽",K311))),"품(복습불필요)",IF(F311&lt;&gt;"","품","미완료"))))))))))</f>
        <v/>
      </c>
      <c r="K311" s="32" t="inlineStr">
        <is>
          <t>-</t>
        </is>
      </c>
      <c r="L311" s="32" t="n"/>
      <c r="M311" s="28">
        <f>IF(OR(LEFT(J311,2)="보류", LEFT(J311,4)="복습대기", LEFT(J311,3)="복습1", LEFT(J311,3)="복습2"), MAX($M$3:M310)+1, "")</f>
        <v/>
      </c>
      <c r="N311" s="28" t="inlineStr">
        <is>
          <t>W10</t>
        </is>
      </c>
      <c r="O311" s="36" t="n">
        <v>46322</v>
      </c>
      <c r="P311" s="30">
        <f>IF(F311&lt;&gt;"","✅ 완료",IF(O311="","-",IF(TODAY()&gt;O311,"🚨 지연","⏳ 예정")))</f>
        <v/>
      </c>
      <c r="Q311" s="7" t="n"/>
      <c r="R311" s="7" t="n"/>
      <c r="S311" s="7" t="n"/>
      <c r="T311" s="7" t="n"/>
      <c r="U311" s="7" t="n"/>
      <c r="V311" s="7" t="n"/>
      <c r="W311" s="7" t="n"/>
      <c r="X311" s="7" t="n"/>
    </row>
    <row r="312" ht="21.75" customHeight="1" s="209">
      <c r="A312" s="28" t="n">
        <v>309</v>
      </c>
      <c r="B312" s="28" t="inlineStr">
        <is>
          <t>20551</t>
        </is>
      </c>
      <c r="C312" s="30" t="inlineStr">
        <is>
          <t>D3</t>
        </is>
      </c>
      <c r="D312" s="32" t="inlineStr">
        <is>
          <t>증가하는 사탕 수열</t>
        </is>
      </c>
      <c r="E312" s="28" t="inlineStr">
        <is>
          <t>동적계획법 (DP)</t>
        </is>
      </c>
      <c r="F312" s="28" t="n"/>
      <c r="G312" s="28" t="n"/>
      <c r="H312" s="28" t="n"/>
      <c r="I312" s="28" t="n"/>
      <c r="J312" s="54">
        <f>IF(OR(ISNUMBER(SEARCH("보류",K312)),ISNUMBER(SEARCH("미룸",K312)),ISNUMBER(SEARCH("나중에",K312)),ISNUMBER(SEARCH("보류",L312)),ISNUMBER(SEARCH("미룸",L312)),ISNUMBER(SEARCH("나중에",L312))),"보류(나중에 풀기)",IF(AND(F312="",G312="",H312="",I312=""),"미완료",IF(I312&lt;&gt;"","복습3(마스터)",IF(H312&lt;&gt;"","복습2",IF(G312&lt;&gt;"","복습1",IF(ISNUMBER(SEARCH("제미나이",K312)),"복습대기(AI도움)",IF(ISNUMBER(SEARCH("간당간당",K312)),"복습대기(간당간당)",IF(OR(ISNUMBER(SEARCH("아이디어",K312)),ISNUMBER(SEARCH("시간초과",K312)),ISNUMBER(SEARCH("자료구조",K312)),ISNUMBER(SEARCH("경계값",K312)),ISNUMBER(SEARCH("다른 풀이",K312)),ISNUMBER(SEARCH("또풀기",K312))),"복습대기",IF(OR(ISNUMBER(SEARCH("복습필요없음",K312)),ISNUMBER(SEARCH("자력완벽",K312))),"품(복습불필요)",IF(F312&lt;&gt;"","품","미완료"))))))))))</f>
        <v/>
      </c>
      <c r="K312" s="32" t="inlineStr">
        <is>
          <t>-</t>
        </is>
      </c>
      <c r="L312" s="32" t="n"/>
      <c r="M312" s="28">
        <f>IF(OR(LEFT(J312,2)="보류", LEFT(J312,4)="복습대기", LEFT(J312,3)="복습1", LEFT(J312,3)="복습2"), MAX($M$3:M311)+1, "")</f>
        <v/>
      </c>
      <c r="N312" s="28" t="inlineStr">
        <is>
          <t>W10</t>
        </is>
      </c>
      <c r="O312" s="36" t="n">
        <v>46322</v>
      </c>
      <c r="P312" s="30">
        <f>IF(F312&lt;&gt;"","✅ 완료",IF(O312="","-",IF(TODAY()&gt;O312,"🚨 지연","⏳ 예정")))</f>
        <v/>
      </c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 ht="21.75" customHeight="1" s="209">
      <c r="A313" s="28" t="n">
        <v>310</v>
      </c>
      <c r="B313" s="28" t="inlineStr">
        <is>
          <t>20728</t>
        </is>
      </c>
      <c r="C313" s="30" t="inlineStr">
        <is>
          <t>D3</t>
        </is>
      </c>
      <c r="D313" s="32" t="inlineStr">
        <is>
          <t>공평한 분배 2</t>
        </is>
      </c>
      <c r="E313" s="28" t="inlineStr">
        <is>
          <t>완전탐색 / 시뮬레이션</t>
        </is>
      </c>
      <c r="F313" s="28" t="n"/>
      <c r="G313" s="28" t="n"/>
      <c r="H313" s="28" t="n"/>
      <c r="I313" s="28" t="n"/>
      <c r="J313" s="54">
        <f>IF(OR(ISNUMBER(SEARCH("보류",K313)),ISNUMBER(SEARCH("미룸",K313)),ISNUMBER(SEARCH("나중에",K313)),ISNUMBER(SEARCH("보류",L313)),ISNUMBER(SEARCH("미룸",L313)),ISNUMBER(SEARCH("나중에",L313))),"보류(나중에 풀기)",IF(AND(F313="",G313="",H313="",I313=""),"미완료",IF(I313&lt;&gt;"","복습3(마스터)",IF(H313&lt;&gt;"","복습2",IF(G313&lt;&gt;"","복습1",IF(ISNUMBER(SEARCH("제미나이",K313)),"복습대기(AI도움)",IF(ISNUMBER(SEARCH("간당간당",K313)),"복습대기(간당간당)",IF(OR(ISNUMBER(SEARCH("아이디어",K313)),ISNUMBER(SEARCH("시간초과",K313)),ISNUMBER(SEARCH("자료구조",K313)),ISNUMBER(SEARCH("경계값",K313)),ISNUMBER(SEARCH("다른 풀이",K313)),ISNUMBER(SEARCH("또풀기",K313))),"복습대기",IF(OR(ISNUMBER(SEARCH("복습필요없음",K313)),ISNUMBER(SEARCH("자력완벽",K313))),"품(복습불필요)",IF(F313&lt;&gt;"","품","미완료"))))))))))</f>
        <v/>
      </c>
      <c r="K313" s="32" t="inlineStr">
        <is>
          <t>-</t>
        </is>
      </c>
      <c r="L313" s="32" t="n"/>
      <c r="M313" s="28">
        <f>IF(OR(LEFT(J313,2)="보류", LEFT(J313,4)="복습대기", LEFT(J313,3)="복습1", LEFT(J313,3)="복습2"), MAX($M$3:M312)+1, "")</f>
        <v/>
      </c>
      <c r="N313" s="28" t="inlineStr">
        <is>
          <t>W10</t>
        </is>
      </c>
      <c r="O313" s="36" t="n">
        <v>46322</v>
      </c>
      <c r="P313" s="30">
        <f>IF(F313&lt;&gt;"","✅ 완료",IF(O313="","-",IF(TODAY()&gt;O313,"🚨 지연","⏳ 예정")))</f>
        <v/>
      </c>
      <c r="Q313" s="7" t="n"/>
      <c r="R313" s="7" t="n"/>
      <c r="S313" s="7" t="n"/>
      <c r="T313" s="7" t="n"/>
      <c r="U313" s="7" t="n"/>
      <c r="V313" s="7" t="n"/>
      <c r="W313" s="7" t="n"/>
      <c r="X313" s="7" t="n"/>
    </row>
    <row r="314" ht="21.75" customHeight="1" s="209">
      <c r="A314" s="28" t="n">
        <v>311</v>
      </c>
      <c r="B314" s="28" t="inlineStr">
        <is>
          <t>20934</t>
        </is>
      </c>
      <c r="C314" s="30" t="inlineStr">
        <is>
          <t>D3</t>
        </is>
      </c>
      <c r="D314" s="32" t="inlineStr">
        <is>
          <t>방울 마술</t>
        </is>
      </c>
      <c r="E314" s="28" t="inlineStr">
        <is>
          <t>완전탐색 / 시뮬레이션</t>
        </is>
      </c>
      <c r="F314" s="28" t="n"/>
      <c r="G314" s="28" t="n"/>
      <c r="H314" s="28" t="n"/>
      <c r="I314" s="28" t="n"/>
      <c r="J314" s="54">
        <f>IF(OR(ISNUMBER(SEARCH("보류",K314)),ISNUMBER(SEARCH("미룸",K314)),ISNUMBER(SEARCH("나중에",K314)),ISNUMBER(SEARCH("보류",L314)),ISNUMBER(SEARCH("미룸",L314)),ISNUMBER(SEARCH("나중에",L314))),"보류(나중에 풀기)",IF(AND(F314="",G314="",H314="",I314=""),"미완료",IF(I314&lt;&gt;"","복습3(마스터)",IF(H314&lt;&gt;"","복습2",IF(G314&lt;&gt;"","복습1",IF(ISNUMBER(SEARCH("제미나이",K314)),"복습대기(AI도움)",IF(ISNUMBER(SEARCH("간당간당",K314)),"복습대기(간당간당)",IF(OR(ISNUMBER(SEARCH("아이디어",K314)),ISNUMBER(SEARCH("시간초과",K314)),ISNUMBER(SEARCH("자료구조",K314)),ISNUMBER(SEARCH("경계값",K314)),ISNUMBER(SEARCH("다른 풀이",K314)),ISNUMBER(SEARCH("또풀기",K314))),"복습대기",IF(OR(ISNUMBER(SEARCH("복습필요없음",K314)),ISNUMBER(SEARCH("자력완벽",K314))),"품(복습불필요)",IF(F314&lt;&gt;"","품","미완료"))))))))))</f>
        <v/>
      </c>
      <c r="K314" s="32" t="inlineStr">
        <is>
          <t>-</t>
        </is>
      </c>
      <c r="L314" s="32" t="n"/>
      <c r="M314" s="28">
        <f>IF(OR(LEFT(J314,2)="보류", LEFT(J314,4)="복습대기", LEFT(J314,3)="복습1", LEFT(J314,3)="복습2"), MAX($M$3:M313)+1, "")</f>
        <v/>
      </c>
      <c r="N314" s="28" t="inlineStr">
        <is>
          <t>W10</t>
        </is>
      </c>
      <c r="O314" s="36" t="n">
        <v>46322</v>
      </c>
      <c r="P314" s="30">
        <f>IF(F314&lt;&gt;"","✅ 완료",IF(O314="","-",IF(TODAY()&gt;O314,"🚨 지연","⏳ 예정")))</f>
        <v/>
      </c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 ht="21.75" customHeight="1" s="209">
      <c r="A315" s="28" t="n">
        <v>312</v>
      </c>
      <c r="B315" s="28" t="inlineStr">
        <is>
          <t>20955</t>
        </is>
      </c>
      <c r="C315" s="30" t="inlineStr">
        <is>
          <t>D3</t>
        </is>
      </c>
      <c r="D315" s="32" t="inlineStr">
        <is>
          <t>XY 문자열 1</t>
        </is>
      </c>
      <c r="E315" s="28" t="inlineStr">
        <is>
          <t>문자열 / 파싱</t>
        </is>
      </c>
      <c r="F315" s="28" t="n"/>
      <c r="G315" s="28" t="n"/>
      <c r="H315" s="28" t="n"/>
      <c r="I315" s="28" t="n"/>
      <c r="J315" s="54">
        <f>IF(OR(ISNUMBER(SEARCH("보류",K315)),ISNUMBER(SEARCH("미룸",K315)),ISNUMBER(SEARCH("나중에",K315)),ISNUMBER(SEARCH("보류",L315)),ISNUMBER(SEARCH("미룸",L315)),ISNUMBER(SEARCH("나중에",L315))),"보류(나중에 풀기)",IF(AND(F315="",G315="",H315="",I315=""),"미완료",IF(I315&lt;&gt;"","복습3(마스터)",IF(H315&lt;&gt;"","복습2",IF(G315&lt;&gt;"","복습1",IF(ISNUMBER(SEARCH("제미나이",K315)),"복습대기(AI도움)",IF(ISNUMBER(SEARCH("간당간당",K315)),"복습대기(간당간당)",IF(OR(ISNUMBER(SEARCH("아이디어",K315)),ISNUMBER(SEARCH("시간초과",K315)),ISNUMBER(SEARCH("자료구조",K315)),ISNUMBER(SEARCH("경계값",K315)),ISNUMBER(SEARCH("다른 풀이",K315)),ISNUMBER(SEARCH("또풀기",K315))),"복습대기",IF(OR(ISNUMBER(SEARCH("복습필요없음",K315)),ISNUMBER(SEARCH("자력완벽",K315))),"품(복습불필요)",IF(F315&lt;&gt;"","품","미완료"))))))))))</f>
        <v/>
      </c>
      <c r="K315" s="32" t="inlineStr">
        <is>
          <t>-</t>
        </is>
      </c>
      <c r="L315" s="32" t="n"/>
      <c r="M315" s="28">
        <f>IF(OR(LEFT(J315,2)="보류", LEFT(J315,4)="복습대기", LEFT(J315,3)="복습1", LEFT(J315,3)="복습2"), MAX($M$3:M314)+1, "")</f>
        <v/>
      </c>
      <c r="N315" s="28" t="inlineStr">
        <is>
          <t>W10</t>
        </is>
      </c>
      <c r="O315" s="36" t="n">
        <v>46322</v>
      </c>
      <c r="P315" s="30">
        <f>IF(F315&lt;&gt;"","✅ 완료",IF(O315="","-",IF(TODAY()&gt;O315,"🚨 지연","⏳ 예정")))</f>
        <v/>
      </c>
      <c r="Q315" s="7" t="n"/>
      <c r="R315" s="7" t="n"/>
      <c r="S315" s="7" t="n"/>
      <c r="T315" s="7" t="n"/>
      <c r="U315" s="7" t="n"/>
      <c r="V315" s="7" t="n"/>
      <c r="W315" s="7" t="n"/>
      <c r="X315" s="7" t="n"/>
    </row>
    <row r="316" ht="21.75" customHeight="1" s="209">
      <c r="A316" s="28" t="n">
        <v>313</v>
      </c>
      <c r="B316" s="28" t="inlineStr">
        <is>
          <t>21131</t>
        </is>
      </c>
      <c r="C316" s="30" t="inlineStr">
        <is>
          <t>D3</t>
        </is>
      </c>
      <c r="D316" s="32" t="inlineStr">
        <is>
          <t>행렬정렬</t>
        </is>
      </c>
      <c r="E316" s="28" t="inlineStr">
        <is>
          <t>완전탐색 / 시뮬레이션</t>
        </is>
      </c>
      <c r="F316" s="28" t="n"/>
      <c r="G316" s="28" t="n"/>
      <c r="H316" s="28" t="n"/>
      <c r="I316" s="28" t="n"/>
      <c r="J316" s="54">
        <f>IF(OR(ISNUMBER(SEARCH("보류",K316)),ISNUMBER(SEARCH("미룸",K316)),ISNUMBER(SEARCH("나중에",K316)),ISNUMBER(SEARCH("보류",L316)),ISNUMBER(SEARCH("미룸",L316)),ISNUMBER(SEARCH("나중에",L316))),"보류(나중에 풀기)",IF(AND(F316="",G316="",H316="",I316=""),"미완료",IF(I316&lt;&gt;"","복습3(마스터)",IF(H316&lt;&gt;"","복습2",IF(G316&lt;&gt;"","복습1",IF(ISNUMBER(SEARCH("제미나이",K316)),"복습대기(AI도움)",IF(ISNUMBER(SEARCH("간당간당",K316)),"복습대기(간당간당)",IF(OR(ISNUMBER(SEARCH("아이디어",K316)),ISNUMBER(SEARCH("시간초과",K316)),ISNUMBER(SEARCH("자료구조",K316)),ISNUMBER(SEARCH("경계값",K316)),ISNUMBER(SEARCH("다른 풀이",K316)),ISNUMBER(SEARCH("또풀기",K316))),"복습대기",IF(OR(ISNUMBER(SEARCH("복습필요없음",K316)),ISNUMBER(SEARCH("자력완벽",K316))),"품(복습불필요)",IF(F316&lt;&gt;"","품","미완료"))))))))))</f>
        <v/>
      </c>
      <c r="K316" s="32" t="inlineStr">
        <is>
          <t>-</t>
        </is>
      </c>
      <c r="L316" s="32" t="n"/>
      <c r="M316" s="28">
        <f>IF(OR(LEFT(J316,2)="보류", LEFT(J316,4)="복습대기", LEFT(J316,3)="복습1", LEFT(J316,3)="복습2"), MAX($M$3:M315)+1, "")</f>
        <v/>
      </c>
      <c r="N316" s="28" t="inlineStr">
        <is>
          <t>W10</t>
        </is>
      </c>
      <c r="O316" s="36" t="n">
        <v>46322</v>
      </c>
      <c r="P316" s="30">
        <f>IF(F316&lt;&gt;"","✅ 완료",IF(O316="","-",IF(TODAY()&gt;O316,"🚨 지연","⏳ 예정")))</f>
        <v/>
      </c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 ht="21.75" customHeight="1" s="209">
      <c r="A317" s="28" t="n">
        <v>314</v>
      </c>
      <c r="B317" s="28" t="inlineStr">
        <is>
          <t>22039</t>
        </is>
      </c>
      <c r="C317" s="30" t="inlineStr">
        <is>
          <t>D3</t>
        </is>
      </c>
      <c r="D317" s="32" t="inlineStr">
        <is>
          <t>피보나치 수 분배</t>
        </is>
      </c>
      <c r="E317" s="28" t="inlineStr">
        <is>
          <t>동적계획법 (DP)</t>
        </is>
      </c>
      <c r="F317" s="28" t="n"/>
      <c r="G317" s="28" t="n"/>
      <c r="H317" s="28" t="n"/>
      <c r="I317" s="28" t="n"/>
      <c r="J317" s="54">
        <f>IF(OR(ISNUMBER(SEARCH("보류",K317)),ISNUMBER(SEARCH("미룸",K317)),ISNUMBER(SEARCH("나중에",K317)),ISNUMBER(SEARCH("보류",L317)),ISNUMBER(SEARCH("미룸",L317)),ISNUMBER(SEARCH("나중에",L317))),"보류(나중에 풀기)",IF(AND(F317="",G317="",H317="",I317=""),"미완료",IF(I317&lt;&gt;"","복습3(마스터)",IF(H317&lt;&gt;"","복습2",IF(G317&lt;&gt;"","복습1",IF(ISNUMBER(SEARCH("제미나이",K317)),"복습대기(AI도움)",IF(ISNUMBER(SEARCH("간당간당",K317)),"복습대기(간당간당)",IF(OR(ISNUMBER(SEARCH("아이디어",K317)),ISNUMBER(SEARCH("시간초과",K317)),ISNUMBER(SEARCH("자료구조",K317)),ISNUMBER(SEARCH("경계값",K317)),ISNUMBER(SEARCH("다른 풀이",K317)),ISNUMBER(SEARCH("또풀기",K317))),"복습대기",IF(OR(ISNUMBER(SEARCH("복습필요없음",K317)),ISNUMBER(SEARCH("자력완벽",K317))),"품(복습불필요)",IF(F317&lt;&gt;"","품","미완료"))))))))))</f>
        <v/>
      </c>
      <c r="K317" s="32" t="inlineStr">
        <is>
          <t>-</t>
        </is>
      </c>
      <c r="L317" s="32" t="n"/>
      <c r="M317" s="28">
        <f>IF(OR(LEFT(J317,2)="보류", LEFT(J317,4)="복습대기", LEFT(J317,3)="복습1", LEFT(J317,3)="복습2"), MAX($M$3:M316)+1, "")</f>
        <v/>
      </c>
      <c r="N317" s="28" t="inlineStr">
        <is>
          <t>W10</t>
        </is>
      </c>
      <c r="O317" s="36" t="n">
        <v>46322</v>
      </c>
      <c r="P317" s="30">
        <f>IF(F317&lt;&gt;"","✅ 완료",IF(O317="","-",IF(TODAY()&gt;O317,"🚨 지연","⏳ 예정")))</f>
        <v/>
      </c>
      <c r="Q317" s="7" t="n"/>
      <c r="R317" s="7" t="n"/>
      <c r="S317" s="7" t="n"/>
      <c r="T317" s="7" t="n"/>
      <c r="U317" s="7" t="n"/>
      <c r="V317" s="7" t="n"/>
      <c r="W317" s="7" t="n"/>
      <c r="X317" s="7" t="n"/>
    </row>
    <row r="318" ht="21.75" customHeight="1" s="209">
      <c r="A318" s="28" t="n">
        <v>315</v>
      </c>
      <c r="B318" s="28" t="inlineStr">
        <is>
          <t>22574</t>
        </is>
      </c>
      <c r="C318" s="30" t="inlineStr">
        <is>
          <t>D3</t>
        </is>
      </c>
      <c r="D318" s="32" t="inlineStr">
        <is>
          <t>높은 곳으로</t>
        </is>
      </c>
      <c r="E318" s="28" t="inlineStr">
        <is>
          <t>완전탐색 / 시뮬레이션</t>
        </is>
      </c>
      <c r="F318" s="28" t="n"/>
      <c r="G318" s="28" t="n"/>
      <c r="H318" s="28" t="n"/>
      <c r="I318" s="28" t="n"/>
      <c r="J318" s="54">
        <f>IF(OR(ISNUMBER(SEARCH("보류",K318)),ISNUMBER(SEARCH("미룸",K318)),ISNUMBER(SEARCH("나중에",K318)),ISNUMBER(SEARCH("보류",L318)),ISNUMBER(SEARCH("미룸",L318)),ISNUMBER(SEARCH("나중에",L318))),"보류(나중에 풀기)",IF(AND(F318="",G318="",H318="",I318=""),"미완료",IF(I318&lt;&gt;"","복습3(마스터)",IF(H318&lt;&gt;"","복습2",IF(G318&lt;&gt;"","복습1",IF(ISNUMBER(SEARCH("제미나이",K318)),"복습대기(AI도움)",IF(ISNUMBER(SEARCH("간당간당",K318)),"복습대기(간당간당)",IF(OR(ISNUMBER(SEARCH("아이디어",K318)),ISNUMBER(SEARCH("시간초과",K318)),ISNUMBER(SEARCH("자료구조",K318)),ISNUMBER(SEARCH("경계값",K318)),ISNUMBER(SEARCH("다른 풀이",K318)),ISNUMBER(SEARCH("또풀기",K318))),"복습대기",IF(OR(ISNUMBER(SEARCH("복습필요없음",K318)),ISNUMBER(SEARCH("자력완벽",K318))),"품(복습불필요)",IF(F318&lt;&gt;"","품","미완료"))))))))))</f>
        <v/>
      </c>
      <c r="K318" s="32" t="inlineStr">
        <is>
          <t>-</t>
        </is>
      </c>
      <c r="L318" s="32" t="n"/>
      <c r="M318" s="28">
        <f>IF(OR(LEFT(J318,2)="보류", LEFT(J318,4)="복습대기", LEFT(J318,3)="복습1", LEFT(J318,3)="복습2"), MAX($M$3:M317)+1, "")</f>
        <v/>
      </c>
      <c r="N318" s="28" t="inlineStr">
        <is>
          <t>W10</t>
        </is>
      </c>
      <c r="O318" s="36" t="n">
        <v>46323</v>
      </c>
      <c r="P318" s="30">
        <f>IF(F318&lt;&gt;"","✅ 완료",IF(O318="","-",IF(TODAY()&gt;O318,"🚨 지연","⏳ 예정")))</f>
        <v/>
      </c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 ht="21.75" customHeight="1" s="209">
      <c r="A319" s="28" t="n">
        <v>316</v>
      </c>
      <c r="B319" s="28" t="inlineStr">
        <is>
          <t>22759</t>
        </is>
      </c>
      <c r="C319" s="30" t="inlineStr">
        <is>
          <t>D3</t>
        </is>
      </c>
      <c r="D319" s="32" t="inlineStr">
        <is>
          <t>묶음 판매</t>
        </is>
      </c>
      <c r="E319" s="28" t="inlineStr">
        <is>
          <t>완전탐색 / 시뮬레이션</t>
        </is>
      </c>
      <c r="F319" s="28" t="n"/>
      <c r="G319" s="28" t="n"/>
      <c r="H319" s="28" t="n"/>
      <c r="I319" s="28" t="n"/>
      <c r="J319" s="54">
        <f>IF(OR(ISNUMBER(SEARCH("보류",K319)),ISNUMBER(SEARCH("미룸",K319)),ISNUMBER(SEARCH("나중에",K319)),ISNUMBER(SEARCH("보류",L319)),ISNUMBER(SEARCH("미룸",L319)),ISNUMBER(SEARCH("나중에",L319))),"보류(나중에 풀기)",IF(AND(F319="",G319="",H319="",I319=""),"미완료",IF(I319&lt;&gt;"","복습3(마스터)",IF(H319&lt;&gt;"","복습2",IF(G319&lt;&gt;"","복습1",IF(ISNUMBER(SEARCH("제미나이",K319)),"복습대기(AI도움)",IF(ISNUMBER(SEARCH("간당간당",K319)),"복습대기(간당간당)",IF(OR(ISNUMBER(SEARCH("아이디어",K319)),ISNUMBER(SEARCH("시간초과",K319)),ISNUMBER(SEARCH("자료구조",K319)),ISNUMBER(SEARCH("경계값",K319)),ISNUMBER(SEARCH("다른 풀이",K319)),ISNUMBER(SEARCH("또풀기",K319))),"복습대기",IF(OR(ISNUMBER(SEARCH("복습필요없음",K319)),ISNUMBER(SEARCH("자력완벽",K319))),"품(복습불필요)",IF(F319&lt;&gt;"","품","미완료"))))))))))</f>
        <v/>
      </c>
      <c r="K319" s="32" t="inlineStr">
        <is>
          <t>-</t>
        </is>
      </c>
      <c r="L319" s="32" t="n"/>
      <c r="M319" s="28">
        <f>IF(OR(LEFT(J319,2)="보류", LEFT(J319,4)="복습대기", LEFT(J319,3)="복습1", LEFT(J319,3)="복습2"), MAX($M$3:M318)+1, "")</f>
        <v/>
      </c>
      <c r="N319" s="28" t="inlineStr">
        <is>
          <t>W10</t>
        </is>
      </c>
      <c r="O319" s="36" t="n">
        <v>46323</v>
      </c>
      <c r="P319" s="30">
        <f>IF(F319&lt;&gt;"","✅ 완료",IF(O319="","-",IF(TODAY()&gt;O319,"🚨 지연","⏳ 예정")))</f>
        <v/>
      </c>
      <c r="Q319" s="7" t="n"/>
      <c r="R319" s="7" t="n"/>
      <c r="S319" s="7" t="n"/>
      <c r="T319" s="7" t="n"/>
      <c r="U319" s="7" t="n"/>
      <c r="V319" s="7" t="n"/>
      <c r="W319" s="7" t="n"/>
      <c r="X319" s="7" t="n"/>
    </row>
    <row r="320" ht="21.75" customHeight="1" s="209">
      <c r="A320" s="28" t="n">
        <v>317</v>
      </c>
      <c r="B320" s="28" t="inlineStr">
        <is>
          <t>22795</t>
        </is>
      </c>
      <c r="C320" s="30" t="inlineStr">
        <is>
          <t>D3</t>
        </is>
      </c>
      <c r="D320" s="32" t="inlineStr">
        <is>
          <t>일곱 부하의 평균</t>
        </is>
      </c>
      <c r="E320" s="28" t="inlineStr">
        <is>
          <t>수학 / 정수론</t>
        </is>
      </c>
      <c r="F320" s="28" t="n"/>
      <c r="G320" s="28" t="n"/>
      <c r="H320" s="28" t="n"/>
      <c r="I320" s="28" t="n"/>
      <c r="J320" s="54">
        <f>IF(OR(ISNUMBER(SEARCH("보류",K320)),ISNUMBER(SEARCH("미룸",K320)),ISNUMBER(SEARCH("나중에",K320)),ISNUMBER(SEARCH("보류",L320)),ISNUMBER(SEARCH("미룸",L320)),ISNUMBER(SEARCH("나중에",L320))),"보류(나중에 풀기)",IF(AND(F320="",G320="",H320="",I320=""),"미완료",IF(I320&lt;&gt;"","복습3(마스터)",IF(H320&lt;&gt;"","복습2",IF(G320&lt;&gt;"","복습1",IF(ISNUMBER(SEARCH("제미나이",K320)),"복습대기(AI도움)",IF(ISNUMBER(SEARCH("간당간당",K320)),"복습대기(간당간당)",IF(OR(ISNUMBER(SEARCH("아이디어",K320)),ISNUMBER(SEARCH("시간초과",K320)),ISNUMBER(SEARCH("자료구조",K320)),ISNUMBER(SEARCH("경계값",K320)),ISNUMBER(SEARCH("다른 풀이",K320)),ISNUMBER(SEARCH("또풀기",K320))),"복습대기",IF(OR(ISNUMBER(SEARCH("복습필요없음",K320)),ISNUMBER(SEARCH("자력완벽",K320))),"품(복습불필요)",IF(F320&lt;&gt;"","품","미완료"))))))))))</f>
        <v/>
      </c>
      <c r="K320" s="32" t="inlineStr">
        <is>
          <t>-</t>
        </is>
      </c>
      <c r="L320" s="32" t="n"/>
      <c r="M320" s="28">
        <f>IF(OR(LEFT(J320,2)="보류", LEFT(J320,4)="복습대기", LEFT(J320,3)="복습1", LEFT(J320,3)="복습2"), MAX($M$3:M319)+1, "")</f>
        <v/>
      </c>
      <c r="N320" s="28" t="inlineStr">
        <is>
          <t>W10</t>
        </is>
      </c>
      <c r="O320" s="36" t="n">
        <v>46323</v>
      </c>
      <c r="P320" s="30">
        <f>IF(F320&lt;&gt;"","✅ 완료",IF(O320="","-",IF(TODAY()&gt;O320,"🚨 지연","⏳ 예정")))</f>
        <v/>
      </c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 ht="21.75" customHeight="1" s="209">
      <c r="A321" s="28" t="n">
        <v>318</v>
      </c>
      <c r="B321" s="28" t="inlineStr">
        <is>
          <t>22979</t>
        </is>
      </c>
      <c r="C321" s="30" t="inlineStr">
        <is>
          <t>D3</t>
        </is>
      </c>
      <c r="D321" s="32" t="inlineStr">
        <is>
          <t>문자열 옮기기</t>
        </is>
      </c>
      <c r="E321" s="28" t="inlineStr">
        <is>
          <t>문자열 / 파싱</t>
        </is>
      </c>
      <c r="F321" s="28" t="n"/>
      <c r="G321" s="28" t="n"/>
      <c r="H321" s="28" t="n"/>
      <c r="I321" s="28" t="n"/>
      <c r="J321" s="54">
        <f>IF(OR(ISNUMBER(SEARCH("보류",K321)),ISNUMBER(SEARCH("미룸",K321)),ISNUMBER(SEARCH("나중에",K321)),ISNUMBER(SEARCH("보류",L321)),ISNUMBER(SEARCH("미룸",L321)),ISNUMBER(SEARCH("나중에",L321))),"보류(나중에 풀기)",IF(AND(F321="",G321="",H321="",I321=""),"미완료",IF(I321&lt;&gt;"","복습3(마스터)",IF(H321&lt;&gt;"","복습2",IF(G321&lt;&gt;"","복습1",IF(ISNUMBER(SEARCH("제미나이",K321)),"복습대기(AI도움)",IF(ISNUMBER(SEARCH("간당간당",K321)),"복습대기(간당간당)",IF(OR(ISNUMBER(SEARCH("아이디어",K321)),ISNUMBER(SEARCH("시간초과",K321)),ISNUMBER(SEARCH("자료구조",K321)),ISNUMBER(SEARCH("경계값",K321)),ISNUMBER(SEARCH("다른 풀이",K321)),ISNUMBER(SEARCH("또풀기",K321))),"복습대기",IF(OR(ISNUMBER(SEARCH("복습필요없음",K321)),ISNUMBER(SEARCH("자력완벽",K321))),"품(복습불필요)",IF(F321&lt;&gt;"","품","미완료"))))))))))</f>
        <v/>
      </c>
      <c r="K321" s="32" t="inlineStr">
        <is>
          <t>-</t>
        </is>
      </c>
      <c r="L321" s="32" t="n"/>
      <c r="M321" s="28">
        <f>IF(OR(LEFT(J321,2)="보류", LEFT(J321,4)="복습대기", LEFT(J321,3)="복습1", LEFT(J321,3)="복습2"), MAX($M$3:M320)+1, "")</f>
        <v/>
      </c>
      <c r="N321" s="28" t="inlineStr">
        <is>
          <t>W10</t>
        </is>
      </c>
      <c r="O321" s="36" t="n">
        <v>46323</v>
      </c>
      <c r="P321" s="30">
        <f>IF(F321&lt;&gt;"","✅ 완료",IF(O321="","-",IF(TODAY()&gt;O321,"🚨 지연","⏳ 예정")))</f>
        <v/>
      </c>
      <c r="Q321" s="7" t="n"/>
      <c r="R321" s="7" t="n"/>
      <c r="S321" s="7" t="n"/>
      <c r="T321" s="7" t="n"/>
      <c r="U321" s="7" t="n"/>
      <c r="V321" s="7" t="n"/>
      <c r="W321" s="7" t="n"/>
      <c r="X321" s="7" t="n"/>
    </row>
    <row r="322" ht="21.75" customHeight="1" s="209">
      <c r="A322" s="28" t="n">
        <v>319</v>
      </c>
      <c r="B322" s="28" t="inlineStr">
        <is>
          <t>23003</t>
        </is>
      </c>
      <c r="C322" s="30" t="inlineStr">
        <is>
          <t>D3</t>
        </is>
      </c>
      <c r="D322" s="32" t="inlineStr">
        <is>
          <t>색상환</t>
        </is>
      </c>
      <c r="E322" s="28" t="inlineStr">
        <is>
          <t>완전탐색 / 시뮬레이션</t>
        </is>
      </c>
      <c r="F322" s="28" t="n"/>
      <c r="G322" s="28" t="n"/>
      <c r="H322" s="28" t="n"/>
      <c r="I322" s="28" t="n"/>
      <c r="J322" s="54">
        <f>IF(OR(ISNUMBER(SEARCH("보류",K322)),ISNUMBER(SEARCH("미룸",K322)),ISNUMBER(SEARCH("나중에",K322)),ISNUMBER(SEARCH("보류",L322)),ISNUMBER(SEARCH("미룸",L322)),ISNUMBER(SEARCH("나중에",L322))),"보류(나중에 풀기)",IF(AND(F322="",G322="",H322="",I322=""),"미완료",IF(I322&lt;&gt;"","복습3(마스터)",IF(H322&lt;&gt;"","복습2",IF(G322&lt;&gt;"","복습1",IF(ISNUMBER(SEARCH("제미나이",K322)),"복습대기(AI도움)",IF(ISNUMBER(SEARCH("간당간당",K322)),"복습대기(간당간당)",IF(OR(ISNUMBER(SEARCH("아이디어",K322)),ISNUMBER(SEARCH("시간초과",K322)),ISNUMBER(SEARCH("자료구조",K322)),ISNUMBER(SEARCH("경계값",K322)),ISNUMBER(SEARCH("다른 풀이",K322)),ISNUMBER(SEARCH("또풀기",K322))),"복습대기",IF(OR(ISNUMBER(SEARCH("복습필요없음",K322)),ISNUMBER(SEARCH("자력완벽",K322))),"품(복습불필요)",IF(F322&lt;&gt;"","품","미완료"))))))))))</f>
        <v/>
      </c>
      <c r="K322" s="32" t="inlineStr">
        <is>
          <t>-</t>
        </is>
      </c>
      <c r="L322" s="32" t="n"/>
      <c r="M322" s="28">
        <f>IF(OR(LEFT(J322,2)="보류", LEFT(J322,4)="복습대기", LEFT(J322,3)="복습1", LEFT(J322,3)="복습2"), MAX($M$3:M321)+1, "")</f>
        <v/>
      </c>
      <c r="N322" s="28" t="inlineStr">
        <is>
          <t>W10</t>
        </is>
      </c>
      <c r="O322" s="36" t="n">
        <v>46323</v>
      </c>
      <c r="P322" s="30">
        <f>IF(F322&lt;&gt;"","✅ 완료",IF(O322="","-",IF(TODAY()&gt;O322,"🚨 지연","⏳ 예정")))</f>
        <v/>
      </c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 ht="21.75" customHeight="1" s="209">
      <c r="A323" s="28" t="n">
        <v>320</v>
      </c>
      <c r="B323" s="28" t="inlineStr">
        <is>
          <t>23791</t>
        </is>
      </c>
      <c r="C323" s="30" t="inlineStr">
        <is>
          <t>D3</t>
        </is>
      </c>
      <c r="D323" s="32" t="inlineStr">
        <is>
          <t>지명 선수</t>
        </is>
      </c>
      <c r="E323" s="28" t="inlineStr">
        <is>
          <t>완전탐색 / 시뮬레이션</t>
        </is>
      </c>
      <c r="F323" s="28" t="n"/>
      <c r="G323" s="28" t="n"/>
      <c r="H323" s="28" t="n"/>
      <c r="I323" s="28" t="n"/>
      <c r="J323" s="54">
        <f>IF(OR(ISNUMBER(SEARCH("보류",K323)),ISNUMBER(SEARCH("미룸",K323)),ISNUMBER(SEARCH("나중에",K323)),ISNUMBER(SEARCH("보류",L323)),ISNUMBER(SEARCH("미룸",L323)),ISNUMBER(SEARCH("나중에",L323))),"보류(나중에 풀기)",IF(AND(F323="",G323="",H323="",I323=""),"미완료",IF(I323&lt;&gt;"","복습3(마스터)",IF(H323&lt;&gt;"","복습2",IF(G323&lt;&gt;"","복습1",IF(ISNUMBER(SEARCH("제미나이",K323)),"복습대기(AI도움)",IF(ISNUMBER(SEARCH("간당간당",K323)),"복습대기(간당간당)",IF(OR(ISNUMBER(SEARCH("아이디어",K323)),ISNUMBER(SEARCH("시간초과",K323)),ISNUMBER(SEARCH("자료구조",K323)),ISNUMBER(SEARCH("경계값",K323)),ISNUMBER(SEARCH("다른 풀이",K323)),ISNUMBER(SEARCH("또풀기",K323))),"복습대기",IF(OR(ISNUMBER(SEARCH("복습필요없음",K323)),ISNUMBER(SEARCH("자력완벽",K323))),"품(복습불필요)",IF(F323&lt;&gt;"","품","미완료"))))))))))</f>
        <v/>
      </c>
      <c r="K323" s="32" t="inlineStr">
        <is>
          <t>-</t>
        </is>
      </c>
      <c r="L323" s="32" t="n"/>
      <c r="M323" s="28">
        <f>IF(OR(LEFT(J323,2)="보류", LEFT(J323,4)="복습대기", LEFT(J323,3)="복습1", LEFT(J323,3)="복습2"), MAX($M$3:M322)+1, "")</f>
        <v/>
      </c>
      <c r="N323" s="28" t="inlineStr">
        <is>
          <t>W10</t>
        </is>
      </c>
      <c r="O323" s="36" t="n">
        <v>46323</v>
      </c>
      <c r="P323" s="30">
        <f>IF(F323&lt;&gt;"","✅ 완료",IF(O323="","-",IF(TODAY()&gt;O323,"🚨 지연","⏳ 예정")))</f>
        <v/>
      </c>
      <c r="Q323" s="7" t="n"/>
      <c r="R323" s="7" t="n"/>
      <c r="S323" s="7" t="n"/>
      <c r="T323" s="7" t="n"/>
      <c r="U323" s="7" t="n"/>
      <c r="V323" s="7" t="n"/>
      <c r="W323" s="7" t="n"/>
      <c r="X323" s="7" t="n"/>
    </row>
    <row r="324" ht="21.75" customHeight="1" s="209">
      <c r="A324" s="28" t="n">
        <v>321</v>
      </c>
      <c r="B324" s="28" t="inlineStr">
        <is>
          <t>24001</t>
        </is>
      </c>
      <c r="C324" s="30" t="inlineStr">
        <is>
          <t>D3</t>
        </is>
      </c>
      <c r="D324" s="32" t="inlineStr">
        <is>
          <t>로봇 언어</t>
        </is>
      </c>
      <c r="E324" s="28" t="inlineStr">
        <is>
          <t>시뮬레이션 / 구현</t>
        </is>
      </c>
      <c r="F324" s="28" t="n"/>
      <c r="G324" s="28" t="n"/>
      <c r="H324" s="28" t="n"/>
      <c r="I324" s="28" t="n"/>
      <c r="J324" s="54">
        <f>IF(OR(ISNUMBER(SEARCH("보류",K324)),ISNUMBER(SEARCH("미룸",K324)),ISNUMBER(SEARCH("나중에",K324)),ISNUMBER(SEARCH("보류",L324)),ISNUMBER(SEARCH("미룸",L324)),ISNUMBER(SEARCH("나중에",L324))),"보류(나중에 풀기)",IF(AND(F324="",G324="",H324="",I324=""),"미완료",IF(I324&lt;&gt;"","복습3(마스터)",IF(H324&lt;&gt;"","복습2",IF(G324&lt;&gt;"","복습1",IF(ISNUMBER(SEARCH("제미나이",K324)),"복습대기(AI도움)",IF(ISNUMBER(SEARCH("간당간당",K324)),"복습대기(간당간당)",IF(OR(ISNUMBER(SEARCH("아이디어",K324)),ISNUMBER(SEARCH("시간초과",K324)),ISNUMBER(SEARCH("자료구조",K324)),ISNUMBER(SEARCH("경계값",K324)),ISNUMBER(SEARCH("다른 풀이",K324)),ISNUMBER(SEARCH("또풀기",K324))),"복습대기",IF(OR(ISNUMBER(SEARCH("복습필요없음",K324)),ISNUMBER(SEARCH("자력완벽",K324))),"품(복습불필요)",IF(F324&lt;&gt;"","품","미완료"))))))))))</f>
        <v/>
      </c>
      <c r="K324" s="32" t="inlineStr">
        <is>
          <t>-</t>
        </is>
      </c>
      <c r="L324" s="32" t="n"/>
      <c r="M324" s="28">
        <f>IF(OR(LEFT(J324,2)="보류", LEFT(J324,4)="복습대기", LEFT(J324,3)="복습1", LEFT(J324,3)="복습2"), MAX($M$3:M323)+1, "")</f>
        <v/>
      </c>
      <c r="N324" s="28" t="inlineStr">
        <is>
          <t>W10</t>
        </is>
      </c>
      <c r="O324" s="36" t="n">
        <v>46323</v>
      </c>
      <c r="P324" s="30">
        <f>IF(F324&lt;&gt;"","✅ 완료",IF(O324="","-",IF(TODAY()&gt;O324,"🚨 지연","⏳ 예정")))</f>
        <v/>
      </c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 ht="21.75" customHeight="1" s="209">
      <c r="A325" s="28" t="n">
        <v>322</v>
      </c>
      <c r="B325" s="28" t="inlineStr">
        <is>
          <t>24396</t>
        </is>
      </c>
      <c r="C325" s="30" t="inlineStr">
        <is>
          <t>D3</t>
        </is>
      </c>
      <c r="D325" s="32" t="inlineStr">
        <is>
          <t>공과 상자</t>
        </is>
      </c>
      <c r="E325" s="28" t="inlineStr">
        <is>
          <t>완전탐색 / 시뮬레이션</t>
        </is>
      </c>
      <c r="F325" s="28" t="n"/>
      <c r="G325" s="28" t="n"/>
      <c r="H325" s="28" t="n"/>
      <c r="I325" s="28" t="n"/>
      <c r="J325" s="54">
        <f>IF(OR(ISNUMBER(SEARCH("보류",K325)),ISNUMBER(SEARCH("미룸",K325)),ISNUMBER(SEARCH("나중에",K325)),ISNUMBER(SEARCH("보류",L325)),ISNUMBER(SEARCH("미룸",L325)),ISNUMBER(SEARCH("나중에",L325))),"보류(나중에 풀기)",IF(AND(F325="",G325="",H325="",I325=""),"미완료",IF(I325&lt;&gt;"","복습3(마스터)",IF(H325&lt;&gt;"","복습2",IF(G325&lt;&gt;"","복습1",IF(ISNUMBER(SEARCH("제미나이",K325)),"복습대기(AI도움)",IF(ISNUMBER(SEARCH("간당간당",K325)),"복습대기(간당간당)",IF(OR(ISNUMBER(SEARCH("아이디어",K325)),ISNUMBER(SEARCH("시간초과",K325)),ISNUMBER(SEARCH("자료구조",K325)),ISNUMBER(SEARCH("경계값",K325)),ISNUMBER(SEARCH("다른 풀이",K325)),ISNUMBER(SEARCH("또풀기",K325))),"복습대기",IF(OR(ISNUMBER(SEARCH("복습필요없음",K325)),ISNUMBER(SEARCH("자력완벽",K325))),"품(복습불필요)",IF(F325&lt;&gt;"","품","미완료"))))))))))</f>
        <v/>
      </c>
      <c r="K325" s="32" t="inlineStr">
        <is>
          <t>-</t>
        </is>
      </c>
      <c r="L325" s="32" t="n"/>
      <c r="M325" s="28">
        <f>IF(OR(LEFT(J325,2)="보류", LEFT(J325,4)="복습대기", LEFT(J325,3)="복습1", LEFT(J325,3)="복습2"), MAX($M$3:M324)+1, "")</f>
        <v/>
      </c>
      <c r="N325" s="28" t="inlineStr">
        <is>
          <t>W10</t>
        </is>
      </c>
      <c r="O325" s="36" t="n">
        <v>46323</v>
      </c>
      <c r="P325" s="30">
        <f>IF(F325&lt;&gt;"","✅ 완료",IF(O325="","-",IF(TODAY()&gt;O325,"🚨 지연","⏳ 예정")))</f>
        <v/>
      </c>
      <c r="Q325" s="7" t="n"/>
      <c r="R325" s="7" t="n"/>
      <c r="S325" s="7" t="n"/>
      <c r="T325" s="7" t="n"/>
      <c r="U325" s="7" t="n"/>
      <c r="V325" s="7" t="n"/>
      <c r="W325" s="7" t="n"/>
      <c r="X325" s="7" t="n"/>
    </row>
    <row r="326" ht="21.75" customHeight="1" s="209">
      <c r="A326" s="28" t="n">
        <v>323</v>
      </c>
      <c r="B326" s="28" t="inlineStr">
        <is>
          <t>24420</t>
        </is>
      </c>
      <c r="C326" s="30" t="inlineStr">
        <is>
          <t>D3</t>
        </is>
      </c>
      <c r="D326" s="32" t="inlineStr">
        <is>
          <t>집합 비교</t>
        </is>
      </c>
      <c r="E326" s="28" t="inlineStr">
        <is>
          <t>수학 / 정수론</t>
        </is>
      </c>
      <c r="F326" s="28" t="n"/>
      <c r="G326" s="28" t="n"/>
      <c r="H326" s="28" t="n"/>
      <c r="I326" s="28" t="n"/>
      <c r="J326" s="54">
        <f>IF(OR(ISNUMBER(SEARCH("보류",K326)),ISNUMBER(SEARCH("미룸",K326)),ISNUMBER(SEARCH("나중에",K326)),ISNUMBER(SEARCH("보류",L326)),ISNUMBER(SEARCH("미룸",L326)),ISNUMBER(SEARCH("나중에",L326))),"보류(나중에 풀기)",IF(AND(F326="",G326="",H326="",I326=""),"미완료",IF(I326&lt;&gt;"","복습3(마스터)",IF(H326&lt;&gt;"","복습2",IF(G326&lt;&gt;"","복습1",IF(ISNUMBER(SEARCH("제미나이",K326)),"복습대기(AI도움)",IF(ISNUMBER(SEARCH("간당간당",K326)),"복습대기(간당간당)",IF(OR(ISNUMBER(SEARCH("아이디어",K326)),ISNUMBER(SEARCH("시간초과",K326)),ISNUMBER(SEARCH("자료구조",K326)),ISNUMBER(SEARCH("경계값",K326)),ISNUMBER(SEARCH("다른 풀이",K326)),ISNUMBER(SEARCH("또풀기",K326))),"복습대기",IF(OR(ISNUMBER(SEARCH("복습필요없음",K326)),ISNUMBER(SEARCH("자력완벽",K326))),"품(복습불필요)",IF(F326&lt;&gt;"","품","미완료"))))))))))</f>
        <v/>
      </c>
      <c r="K326" s="32" t="inlineStr">
        <is>
          <t>-</t>
        </is>
      </c>
      <c r="L326" s="32" t="n"/>
      <c r="M326" s="28">
        <f>IF(OR(LEFT(J326,2)="보류", LEFT(J326,4)="복습대기", LEFT(J326,3)="복습1", LEFT(J326,3)="복습2"), MAX($M$3:M325)+1, "")</f>
        <v/>
      </c>
      <c r="N326" s="28" t="inlineStr">
        <is>
          <t>W10</t>
        </is>
      </c>
      <c r="O326" s="36" t="n">
        <v>46324</v>
      </c>
      <c r="P326" s="30">
        <f>IF(F326&lt;&gt;"","✅ 완료",IF(O326="","-",IF(TODAY()&gt;O326,"🚨 지연","⏳ 예정")))</f>
        <v/>
      </c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 ht="21.75" customHeight="1" s="209">
      <c r="A327" s="28" t="n">
        <v>324</v>
      </c>
      <c r="B327" s="28" t="inlineStr">
        <is>
          <t>24524</t>
        </is>
      </c>
      <c r="C327" s="30" t="inlineStr">
        <is>
          <t>D3</t>
        </is>
      </c>
      <c r="D327" s="32" t="inlineStr">
        <is>
          <t>레벨업</t>
        </is>
      </c>
      <c r="E327" s="28" t="inlineStr">
        <is>
          <t>완전탐색 / 시뮬레이션</t>
        </is>
      </c>
      <c r="F327" s="28" t="n"/>
      <c r="G327" s="28" t="n"/>
      <c r="H327" s="28" t="n"/>
      <c r="I327" s="28" t="n"/>
      <c r="J327" s="54">
        <f>IF(OR(ISNUMBER(SEARCH("보류",K327)),ISNUMBER(SEARCH("미룸",K327)),ISNUMBER(SEARCH("나중에",K327)),ISNUMBER(SEARCH("보류",L327)),ISNUMBER(SEARCH("미룸",L327)),ISNUMBER(SEARCH("나중에",L327))),"보류(나중에 풀기)",IF(AND(F327="",G327="",H327="",I327=""),"미완료",IF(I327&lt;&gt;"","복습3(마스터)",IF(H327&lt;&gt;"","복습2",IF(G327&lt;&gt;"","복습1",IF(ISNUMBER(SEARCH("제미나이",K327)),"복습대기(AI도움)",IF(ISNUMBER(SEARCH("간당간당",K327)),"복습대기(간당간당)",IF(OR(ISNUMBER(SEARCH("아이디어",K327)),ISNUMBER(SEARCH("시간초과",K327)),ISNUMBER(SEARCH("자료구조",K327)),ISNUMBER(SEARCH("경계값",K327)),ISNUMBER(SEARCH("다른 풀이",K327)),ISNUMBER(SEARCH("또풀기",K327))),"복습대기",IF(OR(ISNUMBER(SEARCH("복습필요없음",K327)),ISNUMBER(SEARCH("자력완벽",K327))),"품(복습불필요)",IF(F327&lt;&gt;"","품","미완료"))))))))))</f>
        <v/>
      </c>
      <c r="K327" s="32" t="inlineStr">
        <is>
          <t>-</t>
        </is>
      </c>
      <c r="L327" s="32" t="n"/>
      <c r="M327" s="28">
        <f>IF(OR(LEFT(J327,2)="보류", LEFT(J327,4)="복습대기", LEFT(J327,3)="복습1", LEFT(J327,3)="복습2"), MAX($M$3:M326)+1, "")</f>
        <v/>
      </c>
      <c r="N327" s="28" t="inlineStr">
        <is>
          <t>W10</t>
        </is>
      </c>
      <c r="O327" s="36" t="n">
        <v>46324</v>
      </c>
      <c r="P327" s="30">
        <f>IF(F327&lt;&gt;"","✅ 완료",IF(O327="","-",IF(TODAY()&gt;O327,"🚨 지연","⏳ 예정")))</f>
        <v/>
      </c>
      <c r="Q327" s="7" t="n"/>
      <c r="R327" s="7" t="n"/>
      <c r="S327" s="7" t="n"/>
      <c r="T327" s="7" t="n"/>
      <c r="U327" s="7" t="n"/>
      <c r="V327" s="7" t="n"/>
      <c r="W327" s="7" t="n"/>
      <c r="X327" s="7" t="n"/>
    </row>
    <row r="328" ht="21.75" customHeight="1" s="209">
      <c r="A328" s="28" t="n">
        <v>325</v>
      </c>
      <c r="B328" s="28" t="inlineStr">
        <is>
          <t>24696</t>
        </is>
      </c>
      <c r="C328" s="30" t="inlineStr">
        <is>
          <t>D3</t>
        </is>
      </c>
      <c r="D328" s="32" t="inlineStr">
        <is>
          <t>직육면체 자르기</t>
        </is>
      </c>
      <c r="E328" s="28" t="inlineStr">
        <is>
          <t>완전탐색 / 시뮬레이션</t>
        </is>
      </c>
      <c r="F328" s="28" t="n"/>
      <c r="G328" s="28" t="n"/>
      <c r="H328" s="28" t="n"/>
      <c r="I328" s="28" t="n"/>
      <c r="J328" s="54">
        <f>IF(OR(ISNUMBER(SEARCH("보류",K328)),ISNUMBER(SEARCH("미룸",K328)),ISNUMBER(SEARCH("나중에",K328)),ISNUMBER(SEARCH("보류",L328)),ISNUMBER(SEARCH("미룸",L328)),ISNUMBER(SEARCH("나중에",L328))),"보류(나중에 풀기)",IF(AND(F328="",G328="",H328="",I328=""),"미완료",IF(I328&lt;&gt;"","복습3(마스터)",IF(H328&lt;&gt;"","복습2",IF(G328&lt;&gt;"","복습1",IF(ISNUMBER(SEARCH("제미나이",K328)),"복습대기(AI도움)",IF(ISNUMBER(SEARCH("간당간당",K328)),"복습대기(간당간당)",IF(OR(ISNUMBER(SEARCH("아이디어",K328)),ISNUMBER(SEARCH("시간초과",K328)),ISNUMBER(SEARCH("자료구조",K328)),ISNUMBER(SEARCH("경계값",K328)),ISNUMBER(SEARCH("다른 풀이",K328)),ISNUMBER(SEARCH("또풀기",K328))),"복습대기",IF(OR(ISNUMBER(SEARCH("복습필요없음",K328)),ISNUMBER(SEARCH("자력완벽",K328))),"품(복습불필요)",IF(F328&lt;&gt;"","품","미완료"))))))))))</f>
        <v/>
      </c>
      <c r="K328" s="32" t="inlineStr">
        <is>
          <t>-</t>
        </is>
      </c>
      <c r="L328" s="32" t="n"/>
      <c r="M328" s="28">
        <f>IF(OR(LEFT(J328,2)="보류", LEFT(J328,4)="복습대기", LEFT(J328,3)="복습1", LEFT(J328,3)="복습2"), MAX($M$3:M327)+1, "")</f>
        <v/>
      </c>
      <c r="N328" s="28" t="inlineStr">
        <is>
          <t>W10</t>
        </is>
      </c>
      <c r="O328" s="36" t="n">
        <v>46324</v>
      </c>
      <c r="P328" s="30">
        <f>IF(F328&lt;&gt;"","✅ 완료",IF(O328="","-",IF(TODAY()&gt;O328,"🚨 지연","⏳ 예정")))</f>
        <v/>
      </c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 ht="21.75" customHeight="1" s="209">
      <c r="A329" s="28" t="n">
        <v>326</v>
      </c>
      <c r="B329" s="28" t="inlineStr">
        <is>
          <t>25330</t>
        </is>
      </c>
      <c r="C329" s="30" t="inlineStr">
        <is>
          <t>D3</t>
        </is>
      </c>
      <c r="D329" s="32" t="inlineStr">
        <is>
          <t>거리 문자열</t>
        </is>
      </c>
      <c r="E329" s="28" t="inlineStr">
        <is>
          <t>문자열 / 파싱</t>
        </is>
      </c>
      <c r="F329" s="28" t="n"/>
      <c r="G329" s="28" t="n"/>
      <c r="H329" s="28" t="n"/>
      <c r="I329" s="28" t="n"/>
      <c r="J329" s="54">
        <f>IF(OR(ISNUMBER(SEARCH("보류",K329)),ISNUMBER(SEARCH("미룸",K329)),ISNUMBER(SEARCH("나중에",K329)),ISNUMBER(SEARCH("보류",L329)),ISNUMBER(SEARCH("미룸",L329)),ISNUMBER(SEARCH("나중에",L329))),"보류(나중에 풀기)",IF(AND(F329="",G329="",H329="",I329=""),"미완료",IF(I329&lt;&gt;"","복습3(마스터)",IF(H329&lt;&gt;"","복습2",IF(G329&lt;&gt;"","복습1",IF(ISNUMBER(SEARCH("제미나이",K329)),"복습대기(AI도움)",IF(ISNUMBER(SEARCH("간당간당",K329)),"복습대기(간당간당)",IF(OR(ISNUMBER(SEARCH("아이디어",K329)),ISNUMBER(SEARCH("시간초과",K329)),ISNUMBER(SEARCH("자료구조",K329)),ISNUMBER(SEARCH("경계값",K329)),ISNUMBER(SEARCH("다른 풀이",K329)),ISNUMBER(SEARCH("또풀기",K329))),"복습대기",IF(OR(ISNUMBER(SEARCH("복습필요없음",K329)),ISNUMBER(SEARCH("자력완벽",K329))),"품(복습불필요)",IF(F329&lt;&gt;"","품","미완료"))))))))))</f>
        <v/>
      </c>
      <c r="K329" s="32" t="inlineStr">
        <is>
          <t>-</t>
        </is>
      </c>
      <c r="L329" s="32" t="n"/>
      <c r="M329" s="28">
        <f>IF(OR(LEFT(J329,2)="보류", LEFT(J329,4)="복습대기", LEFT(J329,3)="복습1", LEFT(J329,3)="복습2"), MAX($M$3:M328)+1, "")</f>
        <v/>
      </c>
      <c r="N329" s="28" t="inlineStr">
        <is>
          <t>W10</t>
        </is>
      </c>
      <c r="O329" s="36" t="n">
        <v>46324</v>
      </c>
      <c r="P329" s="30">
        <f>IF(F329&lt;&gt;"","✅ 완료",IF(O329="","-",IF(TODAY()&gt;O329,"🚨 지연","⏳ 예정")))</f>
        <v/>
      </c>
      <c r="Q329" s="7" t="n"/>
      <c r="R329" s="7" t="n"/>
      <c r="S329" s="7" t="n"/>
      <c r="T329" s="7" t="n"/>
      <c r="U329" s="7" t="n"/>
      <c r="V329" s="7" t="n"/>
      <c r="W329" s="7" t="n"/>
      <c r="X329" s="7" t="n"/>
    </row>
    <row r="330" ht="21.75" customHeight="1" s="209">
      <c r="A330" s="28" t="n">
        <v>327</v>
      </c>
      <c r="B330" s="28" t="inlineStr">
        <is>
          <t>25469</t>
        </is>
      </c>
      <c r="C330" s="30" t="inlineStr">
        <is>
          <t>D3</t>
        </is>
      </c>
      <c r="D330" s="32" t="inlineStr">
        <is>
          <t>페인트칠</t>
        </is>
      </c>
      <c r="E330" s="28" t="inlineStr">
        <is>
          <t>완전탐색 / 시뮬레이션</t>
        </is>
      </c>
      <c r="F330" s="28" t="n"/>
      <c r="G330" s="28" t="n"/>
      <c r="H330" s="28" t="n"/>
      <c r="I330" s="28" t="n"/>
      <c r="J330" s="54">
        <f>IF(OR(ISNUMBER(SEARCH("보류",K330)),ISNUMBER(SEARCH("미룸",K330)),ISNUMBER(SEARCH("나중에",K330)),ISNUMBER(SEARCH("보류",L330)),ISNUMBER(SEARCH("미룸",L330)),ISNUMBER(SEARCH("나중에",L330))),"보류(나중에 풀기)",IF(AND(F330="",G330="",H330="",I330=""),"미완료",IF(I330&lt;&gt;"","복습3(마스터)",IF(H330&lt;&gt;"","복습2",IF(G330&lt;&gt;"","복습1",IF(ISNUMBER(SEARCH("제미나이",K330)),"복습대기(AI도움)",IF(ISNUMBER(SEARCH("간당간당",K330)),"복습대기(간당간당)",IF(OR(ISNUMBER(SEARCH("아이디어",K330)),ISNUMBER(SEARCH("시간초과",K330)),ISNUMBER(SEARCH("자료구조",K330)),ISNUMBER(SEARCH("경계값",K330)),ISNUMBER(SEARCH("다른 풀이",K330)),ISNUMBER(SEARCH("또풀기",K330))),"복습대기",IF(OR(ISNUMBER(SEARCH("복습필요없음",K330)),ISNUMBER(SEARCH("자력완벽",K330))),"품(복습불필요)",IF(F330&lt;&gt;"","품","미완료"))))))))))</f>
        <v/>
      </c>
      <c r="K330" s="32" t="inlineStr">
        <is>
          <t>-</t>
        </is>
      </c>
      <c r="L330" s="32" t="n"/>
      <c r="M330" s="28">
        <f>IF(OR(LEFT(J330,2)="보류", LEFT(J330,4)="복습대기", LEFT(J330,3)="복습1", LEFT(J330,3)="복습2"), MAX($M$3:M329)+1, "")</f>
        <v/>
      </c>
      <c r="N330" s="28" t="inlineStr">
        <is>
          <t>W10</t>
        </is>
      </c>
      <c r="O330" s="36" t="n">
        <v>46324</v>
      </c>
      <c r="P330" s="30">
        <f>IF(F330&lt;&gt;"","✅ 완료",IF(O330="","-",IF(TODAY()&gt;O330,"🚨 지연","⏳ 예정")))</f>
        <v/>
      </c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 ht="21.75" customHeight="1" s="209">
      <c r="A331" s="28" t="n">
        <v>328</v>
      </c>
      <c r="B331" s="28" t="inlineStr">
        <is>
          <t>25655</t>
        </is>
      </c>
      <c r="C331" s="30" t="inlineStr">
        <is>
          <t>D3</t>
        </is>
      </c>
      <c r="D331" s="32" t="inlineStr">
        <is>
          <t>유치원생은 쉽게 푸는 문제</t>
        </is>
      </c>
      <c r="E331" s="28" t="inlineStr">
        <is>
          <t>완전탐색 / 시뮬레이션</t>
        </is>
      </c>
      <c r="F331" s="28" t="n"/>
      <c r="G331" s="28" t="n"/>
      <c r="H331" s="28" t="n"/>
      <c r="I331" s="28" t="n"/>
      <c r="J331" s="54">
        <f>IF(OR(ISNUMBER(SEARCH("보류",K331)),ISNUMBER(SEARCH("미룸",K331)),ISNUMBER(SEARCH("나중에",K331)),ISNUMBER(SEARCH("보류",L331)),ISNUMBER(SEARCH("미룸",L331)),ISNUMBER(SEARCH("나중에",L331))),"보류(나중에 풀기)",IF(AND(F331="",G331="",H331="",I331=""),"미완료",IF(I331&lt;&gt;"","복습3(마스터)",IF(H331&lt;&gt;"","복습2",IF(G331&lt;&gt;"","복습1",IF(ISNUMBER(SEARCH("제미나이",K331)),"복습대기(AI도움)",IF(ISNUMBER(SEARCH("간당간당",K331)),"복습대기(간당간당)",IF(OR(ISNUMBER(SEARCH("아이디어",K331)),ISNUMBER(SEARCH("시간초과",K331)),ISNUMBER(SEARCH("자료구조",K331)),ISNUMBER(SEARCH("경계값",K331)),ISNUMBER(SEARCH("다른 풀이",K331)),ISNUMBER(SEARCH("또풀기",K331))),"복습대기",IF(OR(ISNUMBER(SEARCH("복습필요없음",K331)),ISNUMBER(SEARCH("자력완벽",K331))),"품(복습불필요)",IF(F331&lt;&gt;"","품","미완료"))))))))))</f>
        <v/>
      </c>
      <c r="K331" s="32" t="inlineStr">
        <is>
          <t>-</t>
        </is>
      </c>
      <c r="L331" s="32" t="n"/>
      <c r="M331" s="28">
        <f>IF(OR(LEFT(J331,2)="보류", LEFT(J331,4)="복습대기", LEFT(J331,3)="복습1", LEFT(J331,3)="복습2"), MAX($M$3:M330)+1, "")</f>
        <v/>
      </c>
      <c r="N331" s="28" t="inlineStr">
        <is>
          <t>W10</t>
        </is>
      </c>
      <c r="O331" s="36" t="n">
        <v>46324</v>
      </c>
      <c r="P331" s="30">
        <f>IF(F331&lt;&gt;"","✅ 완료",IF(O331="","-",IF(TODAY()&gt;O331,"🚨 지연","⏳ 예정")))</f>
        <v/>
      </c>
      <c r="Q331" s="7" t="n"/>
      <c r="R331" s="7" t="n"/>
      <c r="S331" s="7" t="n"/>
      <c r="T331" s="7" t="n"/>
      <c r="U331" s="7" t="n"/>
      <c r="V331" s="7" t="n"/>
      <c r="W331" s="7" t="n"/>
      <c r="X331" s="7" t="n"/>
    </row>
    <row r="332" ht="21.75" customHeight="1" s="209">
      <c r="A332" s="28" t="n">
        <v>329</v>
      </c>
      <c r="B332" s="28" t="inlineStr">
        <is>
          <t>25695</t>
        </is>
      </c>
      <c r="C332" s="30" t="inlineStr">
        <is>
          <t>D3</t>
        </is>
      </c>
      <c r="D332" s="32" t="inlineStr">
        <is>
          <t>세 정수</t>
        </is>
      </c>
      <c r="E332" s="28" t="inlineStr">
        <is>
          <t>수학 / 정수론</t>
        </is>
      </c>
      <c r="F332" s="28" t="n"/>
      <c r="G332" s="28" t="n"/>
      <c r="H332" s="28" t="n"/>
      <c r="I332" s="28" t="n"/>
      <c r="J332" s="54">
        <f>IF(OR(ISNUMBER(SEARCH("보류",K332)),ISNUMBER(SEARCH("미룸",K332)),ISNUMBER(SEARCH("나중에",K332)),ISNUMBER(SEARCH("보류",L332)),ISNUMBER(SEARCH("미룸",L332)),ISNUMBER(SEARCH("나중에",L332))),"보류(나중에 풀기)",IF(AND(F332="",G332="",H332="",I332=""),"미완료",IF(I332&lt;&gt;"","복습3(마스터)",IF(H332&lt;&gt;"","복습2",IF(G332&lt;&gt;"","복습1",IF(ISNUMBER(SEARCH("제미나이",K332)),"복습대기(AI도움)",IF(ISNUMBER(SEARCH("간당간당",K332)),"복습대기(간당간당)",IF(OR(ISNUMBER(SEARCH("아이디어",K332)),ISNUMBER(SEARCH("시간초과",K332)),ISNUMBER(SEARCH("자료구조",K332)),ISNUMBER(SEARCH("경계값",K332)),ISNUMBER(SEARCH("다른 풀이",K332)),ISNUMBER(SEARCH("또풀기",K332))),"복습대기",IF(OR(ISNUMBER(SEARCH("복습필요없음",K332)),ISNUMBER(SEARCH("자력완벽",K332))),"품(복습불필요)",IF(F332&lt;&gt;"","품","미완료"))))))))))</f>
        <v/>
      </c>
      <c r="K332" s="32" t="inlineStr">
        <is>
          <t>-</t>
        </is>
      </c>
      <c r="L332" s="32" t="n"/>
      <c r="M332" s="28">
        <f>IF(OR(LEFT(J332,2)="보류", LEFT(J332,4)="복습대기", LEFT(J332,3)="복습1", LEFT(J332,3)="복습2"), MAX($M$3:M331)+1, "")</f>
        <v/>
      </c>
      <c r="N332" s="28" t="inlineStr">
        <is>
          <t>W10</t>
        </is>
      </c>
      <c r="O332" s="36" t="n">
        <v>46324</v>
      </c>
      <c r="P332" s="30">
        <f>IF(F332&lt;&gt;"","✅ 완료",IF(O332="","-",IF(TODAY()&gt;O332,"🚨 지연","⏳ 예정")))</f>
        <v/>
      </c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 ht="21.75" customHeight="1" s="209">
      <c r="A333" s="28" t="n">
        <v>330</v>
      </c>
      <c r="B333" s="28" t="inlineStr">
        <is>
          <t>25837</t>
        </is>
      </c>
      <c r="C333" s="30" t="inlineStr">
        <is>
          <t>D3</t>
        </is>
      </c>
      <c r="D333" s="32" t="inlineStr">
        <is>
          <t>합과 곱</t>
        </is>
      </c>
      <c r="E333" s="28" t="inlineStr">
        <is>
          <t>수학 / 정수론</t>
        </is>
      </c>
      <c r="F333" s="28" t="n"/>
      <c r="G333" s="28" t="n"/>
      <c r="H333" s="28" t="n"/>
      <c r="I333" s="28" t="n"/>
      <c r="J333" s="54">
        <f>IF(OR(ISNUMBER(SEARCH("보류",K333)),ISNUMBER(SEARCH("미룸",K333)),ISNUMBER(SEARCH("나중에",K333)),ISNUMBER(SEARCH("보류",L333)),ISNUMBER(SEARCH("미룸",L333)),ISNUMBER(SEARCH("나중에",L333))),"보류(나중에 풀기)",IF(AND(F333="",G333="",H333="",I333=""),"미완료",IF(I333&lt;&gt;"","복습3(마스터)",IF(H333&lt;&gt;"","복습2",IF(G333&lt;&gt;"","복습1",IF(ISNUMBER(SEARCH("제미나이",K333)),"복습대기(AI도움)",IF(ISNUMBER(SEARCH("간당간당",K333)),"복습대기(간당간당)",IF(OR(ISNUMBER(SEARCH("아이디어",K333)),ISNUMBER(SEARCH("시간초과",K333)),ISNUMBER(SEARCH("자료구조",K333)),ISNUMBER(SEARCH("경계값",K333)),ISNUMBER(SEARCH("다른 풀이",K333)),ISNUMBER(SEARCH("또풀기",K333))),"복습대기",IF(OR(ISNUMBER(SEARCH("복습필요없음",K333)),ISNUMBER(SEARCH("자력완벽",K333))),"품(복습불필요)",IF(F333&lt;&gt;"","품","미완료"))))))))))</f>
        <v/>
      </c>
      <c r="K333" s="32" t="inlineStr">
        <is>
          <t>-</t>
        </is>
      </c>
      <c r="L333" s="32" t="n"/>
      <c r="M333" s="28">
        <f>IF(OR(LEFT(J333,2)="보류", LEFT(J333,4)="복습대기", LEFT(J333,3)="복습1", LEFT(J333,3)="복습2"), MAX($M$3:M332)+1, "")</f>
        <v/>
      </c>
      <c r="N333" s="28" t="inlineStr">
        <is>
          <t>W10</t>
        </is>
      </c>
      <c r="O333" s="36" t="n">
        <v>46325</v>
      </c>
      <c r="P333" s="30">
        <f>IF(F333&lt;&gt;"","✅ 완료",IF(O333="","-",IF(TODAY()&gt;O333,"🚨 지연","⏳ 예정")))</f>
        <v/>
      </c>
      <c r="Q333" s="7" t="n"/>
      <c r="R333" s="7" t="n"/>
      <c r="S333" s="7" t="n"/>
      <c r="T333" s="7" t="n"/>
      <c r="U333" s="7" t="n"/>
      <c r="V333" s="7" t="n"/>
      <c r="W333" s="7" t="n"/>
      <c r="X333" s="7" t="n"/>
    </row>
    <row r="334" ht="21.75" customHeight="1" s="209">
      <c r="A334" s="28" t="n">
        <v>331</v>
      </c>
      <c r="B334" s="28" t="inlineStr">
        <is>
          <t>26009</t>
        </is>
      </c>
      <c r="C334" s="30" t="inlineStr">
        <is>
          <t>D3</t>
        </is>
      </c>
      <c r="D334" s="32" t="inlineStr">
        <is>
          <t>곱의 합</t>
        </is>
      </c>
      <c r="E334" s="28" t="inlineStr">
        <is>
          <t>수학 / 정수론</t>
        </is>
      </c>
      <c r="F334" s="28" t="n"/>
      <c r="G334" s="28" t="n"/>
      <c r="H334" s="28" t="n"/>
      <c r="I334" s="28" t="n"/>
      <c r="J334" s="54">
        <f>IF(OR(ISNUMBER(SEARCH("보류",K334)),ISNUMBER(SEARCH("미룸",K334)),ISNUMBER(SEARCH("나중에",K334)),ISNUMBER(SEARCH("보류",L334)),ISNUMBER(SEARCH("미룸",L334)),ISNUMBER(SEARCH("나중에",L334))),"보류(나중에 풀기)",IF(AND(F334="",G334="",H334="",I334=""),"미완료",IF(I334&lt;&gt;"","복습3(마스터)",IF(H334&lt;&gt;"","복습2",IF(G334&lt;&gt;"","복습1",IF(ISNUMBER(SEARCH("제미나이",K334)),"복습대기(AI도움)",IF(ISNUMBER(SEARCH("간당간당",K334)),"복습대기(간당간당)",IF(OR(ISNUMBER(SEARCH("아이디어",K334)),ISNUMBER(SEARCH("시간초과",K334)),ISNUMBER(SEARCH("자료구조",K334)),ISNUMBER(SEARCH("경계값",K334)),ISNUMBER(SEARCH("다른 풀이",K334)),ISNUMBER(SEARCH("또풀기",K334))),"복습대기",IF(OR(ISNUMBER(SEARCH("복습필요없음",K334)),ISNUMBER(SEARCH("자력완벽",K334))),"품(복습불필요)",IF(F334&lt;&gt;"","품","미완료"))))))))))</f>
        <v/>
      </c>
      <c r="K334" s="32" t="inlineStr">
        <is>
          <t>-</t>
        </is>
      </c>
      <c r="L334" s="32" t="n"/>
      <c r="M334" s="28">
        <f>IF(OR(LEFT(J334,2)="보류", LEFT(J334,4)="복습대기", LEFT(J334,3)="복습1", LEFT(J334,3)="복습2"), MAX($M$3:M333)+1, "")</f>
        <v/>
      </c>
      <c r="N334" s="28" t="inlineStr">
        <is>
          <t>W10</t>
        </is>
      </c>
      <c r="O334" s="36" t="n">
        <v>46325</v>
      </c>
      <c r="P334" s="30">
        <f>IF(F334&lt;&gt;"","✅ 완료",IF(O334="","-",IF(TODAY()&gt;O334,"🚨 지연","⏳ 예정")))</f>
        <v/>
      </c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 ht="21.75" customHeight="1" s="209">
      <c r="A335" s="28" t="n">
        <v>332</v>
      </c>
      <c r="B335" s="28" t="inlineStr">
        <is>
          <t>26389</t>
        </is>
      </c>
      <c r="C335" s="30" t="inlineStr">
        <is>
          <t>D3</t>
        </is>
      </c>
      <c r="D335" s="32" t="inlineStr">
        <is>
          <t>여행</t>
        </is>
      </c>
      <c r="E335" s="28" t="inlineStr">
        <is>
          <t>완전탐색 / 시뮬레이션</t>
        </is>
      </c>
      <c r="F335" s="28" t="n"/>
      <c r="G335" s="28" t="n"/>
      <c r="H335" s="28" t="n"/>
      <c r="I335" s="28" t="n"/>
      <c r="J335" s="54">
        <f>IF(OR(ISNUMBER(SEARCH("보류",K335)),ISNUMBER(SEARCH("미룸",K335)),ISNUMBER(SEARCH("나중에",K335)),ISNUMBER(SEARCH("보류",L335)),ISNUMBER(SEARCH("미룸",L335)),ISNUMBER(SEARCH("나중에",L335))),"보류(나중에 풀기)",IF(AND(F335="",G335="",H335="",I335=""),"미완료",IF(I335&lt;&gt;"","복습3(마스터)",IF(H335&lt;&gt;"","복습2",IF(G335&lt;&gt;"","복습1",IF(ISNUMBER(SEARCH("제미나이",K335)),"복습대기(AI도움)",IF(ISNUMBER(SEARCH("간당간당",K335)),"복습대기(간당간당)",IF(OR(ISNUMBER(SEARCH("아이디어",K335)),ISNUMBER(SEARCH("시간초과",K335)),ISNUMBER(SEARCH("자료구조",K335)),ISNUMBER(SEARCH("경계값",K335)),ISNUMBER(SEARCH("다른 풀이",K335)),ISNUMBER(SEARCH("또풀기",K335))),"복습대기",IF(OR(ISNUMBER(SEARCH("복습필요없음",K335)),ISNUMBER(SEARCH("자력완벽",K335))),"품(복습불필요)",IF(F335&lt;&gt;"","품","미완료"))))))))))</f>
        <v/>
      </c>
      <c r="K335" s="32" t="inlineStr">
        <is>
          <t>-</t>
        </is>
      </c>
      <c r="L335" s="32" t="n"/>
      <c r="M335" s="28">
        <f>IF(OR(LEFT(J335,2)="보류", LEFT(J335,4)="복습대기", LEFT(J335,3)="복습1", LEFT(J335,3)="복습2"), MAX($M$3:M334)+1, "")</f>
        <v/>
      </c>
      <c r="N335" s="28" t="inlineStr">
        <is>
          <t>W10</t>
        </is>
      </c>
      <c r="O335" s="36" t="n">
        <v>46325</v>
      </c>
      <c r="P335" s="30">
        <f>IF(F335&lt;&gt;"","✅ 완료",IF(O335="","-",IF(TODAY()&gt;O335,"🚨 지연","⏳ 예정")))</f>
        <v/>
      </c>
      <c r="Q335" s="7" t="n"/>
      <c r="R335" s="7" t="n"/>
      <c r="S335" s="7" t="n"/>
      <c r="T335" s="7" t="n"/>
      <c r="U335" s="7" t="n"/>
      <c r="V335" s="7" t="n"/>
      <c r="W335" s="7" t="n"/>
      <c r="X335" s="7" t="n"/>
    </row>
    <row r="336" ht="21.75" customHeight="1" s="209">
      <c r="A336" s="28" t="n">
        <v>333</v>
      </c>
      <c r="B336" s="28" t="inlineStr">
        <is>
          <t>26502</t>
        </is>
      </c>
      <c r="C336" s="30" t="inlineStr">
        <is>
          <t>D3</t>
        </is>
      </c>
      <c r="D336" s="32" t="inlineStr">
        <is>
          <t>쉬운 삼각형</t>
        </is>
      </c>
      <c r="E336" s="28" t="inlineStr">
        <is>
          <t>완전탐색 / 시뮬레이션</t>
        </is>
      </c>
      <c r="F336" s="28" t="n"/>
      <c r="G336" s="28" t="n"/>
      <c r="H336" s="28" t="n"/>
      <c r="I336" s="28" t="n"/>
      <c r="J336" s="54">
        <f>IF(OR(ISNUMBER(SEARCH("보류",K336)),ISNUMBER(SEARCH("미룸",K336)),ISNUMBER(SEARCH("나중에",K336)),ISNUMBER(SEARCH("보류",L336)),ISNUMBER(SEARCH("미룸",L336)),ISNUMBER(SEARCH("나중에",L336))),"보류(나중에 풀기)",IF(AND(F336="",G336="",H336="",I336=""),"미완료",IF(I336&lt;&gt;"","복습3(마스터)",IF(H336&lt;&gt;"","복습2",IF(G336&lt;&gt;"","복습1",IF(ISNUMBER(SEARCH("제미나이",K336)),"복습대기(AI도움)",IF(ISNUMBER(SEARCH("간당간당",K336)),"복습대기(간당간당)",IF(OR(ISNUMBER(SEARCH("아이디어",K336)),ISNUMBER(SEARCH("시간초과",K336)),ISNUMBER(SEARCH("자료구조",K336)),ISNUMBER(SEARCH("경계값",K336)),ISNUMBER(SEARCH("다른 풀이",K336)),ISNUMBER(SEARCH("또풀기",K336))),"복습대기",IF(OR(ISNUMBER(SEARCH("복습필요없음",K336)),ISNUMBER(SEARCH("자력완벽",K336))),"품(복습불필요)",IF(F336&lt;&gt;"","품","미완료"))))))))))</f>
        <v/>
      </c>
      <c r="K336" s="32" t="inlineStr">
        <is>
          <t>-</t>
        </is>
      </c>
      <c r="L336" s="32" t="n"/>
      <c r="M336" s="28">
        <f>IF(OR(LEFT(J336,2)="보류", LEFT(J336,4)="복습대기", LEFT(J336,3)="복습1", LEFT(J336,3)="복습2"), MAX($M$3:M335)+1, "")</f>
        <v/>
      </c>
      <c r="N336" s="28" t="inlineStr">
        <is>
          <t>W10</t>
        </is>
      </c>
      <c r="O336" s="36" t="n">
        <v>46325</v>
      </c>
      <c r="P336" s="30">
        <f>IF(F336&lt;&gt;"","✅ 완료",IF(O336="","-",IF(TODAY()&gt;O336,"🚨 지연","⏳ 예정")))</f>
        <v/>
      </c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 ht="21.75" customHeight="1" s="209">
      <c r="A337" s="28" t="n">
        <v>334</v>
      </c>
      <c r="B337" s="28" t="inlineStr">
        <is>
          <t>26792</t>
        </is>
      </c>
      <c r="C337" s="30" t="inlineStr">
        <is>
          <t>D3</t>
        </is>
      </c>
      <c r="D337" s="32" t="inlineStr">
        <is>
          <t>덧셈과 뺄셈</t>
        </is>
      </c>
      <c r="E337" s="28" t="inlineStr">
        <is>
          <t>완전탐색 / 시뮬레이션</t>
        </is>
      </c>
      <c r="F337" s="28" t="n"/>
      <c r="G337" s="28" t="n"/>
      <c r="H337" s="28" t="n"/>
      <c r="I337" s="28" t="n"/>
      <c r="J337" s="54">
        <f>IF(OR(ISNUMBER(SEARCH("보류",K337)),ISNUMBER(SEARCH("미룸",K337)),ISNUMBER(SEARCH("나중에",K337)),ISNUMBER(SEARCH("보류",L337)),ISNUMBER(SEARCH("미룸",L337)),ISNUMBER(SEARCH("나중에",L337))),"보류(나중에 풀기)",IF(AND(F337="",G337="",H337="",I337=""),"미완료",IF(I337&lt;&gt;"","복습3(마스터)",IF(H337&lt;&gt;"","복습2",IF(G337&lt;&gt;"","복습1",IF(ISNUMBER(SEARCH("제미나이",K337)),"복습대기(AI도움)",IF(ISNUMBER(SEARCH("간당간당",K337)),"복습대기(간당간당)",IF(OR(ISNUMBER(SEARCH("아이디어",K337)),ISNUMBER(SEARCH("시간초과",K337)),ISNUMBER(SEARCH("자료구조",K337)),ISNUMBER(SEARCH("경계값",K337)),ISNUMBER(SEARCH("다른 풀이",K337)),ISNUMBER(SEARCH("또풀기",K337))),"복습대기",IF(OR(ISNUMBER(SEARCH("복습필요없음",K337)),ISNUMBER(SEARCH("자력완벽",K337))),"품(복습불필요)",IF(F337&lt;&gt;"","품","미완료"))))))))))</f>
        <v/>
      </c>
      <c r="K337" s="32" t="inlineStr">
        <is>
          <t>-</t>
        </is>
      </c>
      <c r="L337" s="32" t="n"/>
      <c r="M337" s="28">
        <f>IF(OR(LEFT(J337,2)="보류", LEFT(J337,4)="복습대기", LEFT(J337,3)="복습1", LEFT(J337,3)="복습2"), MAX($M$3:M336)+1, "")</f>
        <v/>
      </c>
      <c r="N337" s="28" t="inlineStr">
        <is>
          <t>W10</t>
        </is>
      </c>
      <c r="O337" s="36" t="n">
        <v>46325</v>
      </c>
      <c r="P337" s="30">
        <f>IF(F337&lt;&gt;"","✅ 완료",IF(O337="","-",IF(TODAY()&gt;O337,"🚨 지연","⏳ 예정")))</f>
        <v/>
      </c>
      <c r="Q337" s="7" t="n"/>
      <c r="R337" s="7" t="n"/>
      <c r="S337" s="7" t="n"/>
      <c r="T337" s="7" t="n"/>
      <c r="U337" s="7" t="n"/>
      <c r="V337" s="7" t="n"/>
      <c r="W337" s="7" t="n"/>
      <c r="X337" s="7" t="n"/>
    </row>
    <row r="338" ht="21.75" customHeight="1" s="209">
      <c r="A338" s="28" t="n">
        <v>335</v>
      </c>
      <c r="B338" s="28" t="inlineStr">
        <is>
          <t>26837</t>
        </is>
      </c>
      <c r="C338" s="30" t="inlineStr">
        <is>
          <t>D3</t>
        </is>
      </c>
      <c r="D338" s="32" t="inlineStr">
        <is>
          <t>DNA 수열</t>
        </is>
      </c>
      <c r="E338" s="28" t="inlineStr">
        <is>
          <t>동적계획법 (DP)</t>
        </is>
      </c>
      <c r="F338" s="28" t="n"/>
      <c r="G338" s="28" t="n"/>
      <c r="H338" s="28" t="n"/>
      <c r="I338" s="28" t="n"/>
      <c r="J338" s="54">
        <f>IF(OR(ISNUMBER(SEARCH("보류",K338)),ISNUMBER(SEARCH("미룸",K338)),ISNUMBER(SEARCH("나중에",K338)),ISNUMBER(SEARCH("보류",L338)),ISNUMBER(SEARCH("미룸",L338)),ISNUMBER(SEARCH("나중에",L338))),"보류(나중에 풀기)",IF(AND(F338="",G338="",H338="",I338=""),"미완료",IF(I338&lt;&gt;"","복습3(마스터)",IF(H338&lt;&gt;"","복습2",IF(G338&lt;&gt;"","복습1",IF(ISNUMBER(SEARCH("제미나이",K338)),"복습대기(AI도움)",IF(ISNUMBER(SEARCH("간당간당",K338)),"복습대기(간당간당)",IF(OR(ISNUMBER(SEARCH("아이디어",K338)),ISNUMBER(SEARCH("시간초과",K338)),ISNUMBER(SEARCH("자료구조",K338)),ISNUMBER(SEARCH("경계값",K338)),ISNUMBER(SEARCH("다른 풀이",K338)),ISNUMBER(SEARCH("또풀기",K338))),"복습대기",IF(OR(ISNUMBER(SEARCH("복습필요없음",K338)),ISNUMBER(SEARCH("자력완벽",K338))),"품(복습불필요)",IF(F338&lt;&gt;"","품","미완료"))))))))))</f>
        <v/>
      </c>
      <c r="K338" s="32" t="inlineStr">
        <is>
          <t>-</t>
        </is>
      </c>
      <c r="L338" s="32" t="n"/>
      <c r="M338" s="28">
        <f>IF(OR(LEFT(J338,2)="보류", LEFT(J338,4)="복습대기", LEFT(J338,3)="복습1", LEFT(J338,3)="복습2"), MAX($M$3:M337)+1, "")</f>
        <v/>
      </c>
      <c r="N338" s="28" t="inlineStr">
        <is>
          <t>W10</t>
        </is>
      </c>
      <c r="O338" s="36" t="n">
        <v>46325</v>
      </c>
      <c r="P338" s="30">
        <f>IF(F338&lt;&gt;"","✅ 완료",IF(O338="","-",IF(TODAY()&gt;O338,"🚨 지연","⏳ 예정")))</f>
        <v/>
      </c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 ht="21.75" customHeight="1" s="209">
      <c r="A339" s="28" t="n">
        <v>336</v>
      </c>
      <c r="B339" s="28" t="inlineStr">
        <is>
          <t>27005</t>
        </is>
      </c>
      <c r="C339" s="30" t="inlineStr">
        <is>
          <t>D3</t>
        </is>
      </c>
      <c r="D339" s="32" t="inlineStr">
        <is>
          <t>산불 수열</t>
        </is>
      </c>
      <c r="E339" s="28" t="inlineStr">
        <is>
          <t>동적계획법 (DP)</t>
        </is>
      </c>
      <c r="F339" s="28" t="n"/>
      <c r="G339" s="28" t="n"/>
      <c r="H339" s="28" t="n"/>
      <c r="I339" s="28" t="n"/>
      <c r="J339" s="54">
        <f>IF(OR(ISNUMBER(SEARCH("보류",K339)),ISNUMBER(SEARCH("미룸",K339)),ISNUMBER(SEARCH("나중에",K339)),ISNUMBER(SEARCH("보류",L339)),ISNUMBER(SEARCH("미룸",L339)),ISNUMBER(SEARCH("나중에",L339))),"보류(나중에 풀기)",IF(AND(F339="",G339="",H339="",I339=""),"미완료",IF(I339&lt;&gt;"","복습3(마스터)",IF(H339&lt;&gt;"","복습2",IF(G339&lt;&gt;"","복습1",IF(ISNUMBER(SEARCH("제미나이",K339)),"복습대기(AI도움)",IF(ISNUMBER(SEARCH("간당간당",K339)),"복습대기(간당간당)",IF(OR(ISNUMBER(SEARCH("아이디어",K339)),ISNUMBER(SEARCH("시간초과",K339)),ISNUMBER(SEARCH("자료구조",K339)),ISNUMBER(SEARCH("경계값",K339)),ISNUMBER(SEARCH("다른 풀이",K339)),ISNUMBER(SEARCH("또풀기",K339))),"복습대기",IF(OR(ISNUMBER(SEARCH("복습필요없음",K339)),ISNUMBER(SEARCH("자력완벽",K339))),"품(복습불필요)",IF(F339&lt;&gt;"","품","미완료"))))))))))</f>
        <v/>
      </c>
      <c r="K339" s="32" t="inlineStr">
        <is>
          <t>-</t>
        </is>
      </c>
      <c r="L339" s="32" t="n"/>
      <c r="M339" s="28">
        <f>IF(OR(LEFT(J339,2)="보류", LEFT(J339,4)="복습대기", LEFT(J339,3)="복습1", LEFT(J339,3)="복습2"), MAX($M$3:M338)+1, "")</f>
        <v/>
      </c>
      <c r="N339" s="28" t="inlineStr">
        <is>
          <t>W10</t>
        </is>
      </c>
      <c r="O339" s="36" t="n">
        <v>46325</v>
      </c>
      <c r="P339" s="30">
        <f>IF(F339&lt;&gt;"","✅ 완료",IF(O339="","-",IF(TODAY()&gt;O339,"🚨 지연","⏳ 예정")))</f>
        <v/>
      </c>
      <c r="Q339" s="7" t="n"/>
      <c r="R339" s="7" t="n"/>
      <c r="S339" s="7" t="n"/>
      <c r="T339" s="7" t="n"/>
      <c r="U339" s="7" t="n"/>
      <c r="V339" s="7" t="n"/>
      <c r="W339" s="7" t="n"/>
      <c r="X339" s="7" t="n"/>
    </row>
    <row r="340" ht="21.75" customHeight="1" s="209">
      <c r="A340" s="28" t="n">
        <v>337</v>
      </c>
      <c r="B340" s="28" t="inlineStr">
        <is>
          <t>1949</t>
        </is>
      </c>
      <c r="C340" s="30" t="inlineStr">
        <is>
          <t>모의역량</t>
        </is>
      </c>
      <c r="D340" s="32" t="inlineStr">
        <is>
          <t>등산로 조성</t>
        </is>
      </c>
      <c r="E340" s="28" t="inlineStr">
        <is>
          <t>DFS / 백트래킹</t>
        </is>
      </c>
      <c r="F340" s="28" t="n"/>
      <c r="G340" s="28" t="n"/>
      <c r="H340" s="28" t="n"/>
      <c r="I340" s="28" t="n"/>
      <c r="J340" s="54">
        <f>IF(OR(ISNUMBER(SEARCH("보류",K340)),ISNUMBER(SEARCH("미룸",K340)),ISNUMBER(SEARCH("나중에",K340)),ISNUMBER(SEARCH("보류",L340)),ISNUMBER(SEARCH("미룸",L340)),ISNUMBER(SEARCH("나중에",L340))),"보류(나중에 풀기)",IF(AND(F340="",G340="",H340="",I340=""),"미완료",IF(I340&lt;&gt;"","복습3(마스터)",IF(H340&lt;&gt;"","복습2",IF(G340&lt;&gt;"","복습1",IF(ISNUMBER(SEARCH("제미나이",K340)),"복습대기(AI도움)",IF(ISNUMBER(SEARCH("간당간당",K340)),"복습대기(간당간당)",IF(OR(ISNUMBER(SEARCH("아이디어",K340)),ISNUMBER(SEARCH("시간초과",K340)),ISNUMBER(SEARCH("자료구조",K340)),ISNUMBER(SEARCH("경계값",K340)),ISNUMBER(SEARCH("다른 풀이",K340)),ISNUMBER(SEARCH("또풀기",K340))),"복습대기",IF(OR(ISNUMBER(SEARCH("복습필요없음",K340)),ISNUMBER(SEARCH("자력완벽",K340))),"품(복습불필요)",IF(F340&lt;&gt;"","품","미완료"))))))))))</f>
        <v/>
      </c>
      <c r="K340" s="32" t="inlineStr">
        <is>
          <t>-</t>
        </is>
      </c>
      <c r="L340" s="32" t="n"/>
      <c r="M340" s="28">
        <f>IF(OR(LEFT(J340,2)="보류", LEFT(J340,4)="복습대기", LEFT(J340,3)="복습1", LEFT(J340,3)="복습2"), MAX($M$3:M339)+1, "")</f>
        <v/>
      </c>
      <c r="N340" s="28" t="inlineStr">
        <is>
          <t>W10</t>
        </is>
      </c>
      <c r="O340" s="36" t="n">
        <v>46326</v>
      </c>
      <c r="P340" s="30">
        <f>IF(F340&lt;&gt;"","✅ 완료",IF(O340="","-",IF(TODAY()&gt;O340,"🚨 지연","⏳ 예정")))</f>
        <v/>
      </c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 ht="21.75" customHeight="1" s="209">
      <c r="A341" s="28" t="n">
        <v>338</v>
      </c>
      <c r="B341" s="28" t="inlineStr">
        <is>
          <t>1952</t>
        </is>
      </c>
      <c r="C341" s="30" t="inlineStr">
        <is>
          <t>모의역량</t>
        </is>
      </c>
      <c r="D341" s="32" t="inlineStr">
        <is>
          <t>수영장</t>
        </is>
      </c>
      <c r="E341" s="28" t="inlineStr">
        <is>
          <t>동적계획법 (DP) / DFS</t>
        </is>
      </c>
      <c r="F341" s="28" t="n"/>
      <c r="G341" s="28" t="n"/>
      <c r="H341" s="28" t="n"/>
      <c r="I341" s="28" t="n"/>
      <c r="J341" s="54">
        <f>IF(OR(ISNUMBER(SEARCH("보류",K341)),ISNUMBER(SEARCH("미룸",K341)),ISNUMBER(SEARCH("나중에",K341)),ISNUMBER(SEARCH("보류",L341)),ISNUMBER(SEARCH("미룸",L341)),ISNUMBER(SEARCH("나중에",L341))),"보류(나중에 풀기)",IF(AND(F341="",G341="",H341="",I341=""),"미완료",IF(I341&lt;&gt;"","복습3(마스터)",IF(H341&lt;&gt;"","복습2",IF(G341&lt;&gt;"","복습1",IF(ISNUMBER(SEARCH("제미나이",K341)),"복습대기(AI도움)",IF(ISNUMBER(SEARCH("간당간당",K341)),"복습대기(간당간당)",IF(OR(ISNUMBER(SEARCH("아이디어",K341)),ISNUMBER(SEARCH("시간초과",K341)),ISNUMBER(SEARCH("자료구조",K341)),ISNUMBER(SEARCH("경계값",K341)),ISNUMBER(SEARCH("다른 풀이",K341)),ISNUMBER(SEARCH("또풀기",K341))),"복습대기",IF(OR(ISNUMBER(SEARCH("복습필요없음",K341)),ISNUMBER(SEARCH("자력완벽",K341))),"품(복습불필요)",IF(F341&lt;&gt;"","품","미완료"))))))))))</f>
        <v/>
      </c>
      <c r="K341" s="32" t="inlineStr">
        <is>
          <t>-</t>
        </is>
      </c>
      <c r="L341" s="32" t="n"/>
      <c r="M341" s="28">
        <f>IF(OR(LEFT(J341,2)="보류", LEFT(J341,4)="복습대기", LEFT(J341,3)="복습1", LEFT(J341,3)="복습2"), MAX($M$3:M340)+1, "")</f>
        <v/>
      </c>
      <c r="N341" s="28" t="inlineStr">
        <is>
          <t>W10</t>
        </is>
      </c>
      <c r="O341" s="36" t="n">
        <v>46326</v>
      </c>
      <c r="P341" s="30">
        <f>IF(F341&lt;&gt;"","✅ 완료",IF(O341="","-",IF(TODAY()&gt;O341,"🚨 지연","⏳ 예정")))</f>
        <v/>
      </c>
      <c r="Q341" s="7" t="n"/>
      <c r="R341" s="7" t="n"/>
      <c r="S341" s="7" t="n"/>
      <c r="T341" s="7" t="n"/>
      <c r="U341" s="7" t="n"/>
      <c r="V341" s="7" t="n"/>
      <c r="W341" s="7" t="n"/>
      <c r="X341" s="7" t="n"/>
    </row>
    <row r="342" ht="21.75" customHeight="1" s="209">
      <c r="A342" s="28" t="n">
        <v>339</v>
      </c>
      <c r="B342" s="28" t="inlineStr">
        <is>
          <t>1953</t>
        </is>
      </c>
      <c r="C342" s="30" t="inlineStr">
        <is>
          <t>모의역량</t>
        </is>
      </c>
      <c r="D342" s="32" t="inlineStr">
        <is>
          <t>탈주범 검거</t>
        </is>
      </c>
      <c r="E342" s="28" t="inlineStr">
        <is>
          <t>BFS (너비우선탐색)</t>
        </is>
      </c>
      <c r="F342" s="28" t="n"/>
      <c r="G342" s="28" t="n"/>
      <c r="H342" s="28" t="n"/>
      <c r="I342" s="28" t="n"/>
      <c r="J342" s="54">
        <f>IF(OR(ISNUMBER(SEARCH("보류",K342)),ISNUMBER(SEARCH("미룸",K342)),ISNUMBER(SEARCH("나중에",K342)),ISNUMBER(SEARCH("보류",L342)),ISNUMBER(SEARCH("미룸",L342)),ISNUMBER(SEARCH("나중에",L342))),"보류(나중에 풀기)",IF(AND(F342="",G342="",H342="",I342=""),"미완료",IF(I342&lt;&gt;"","복습3(마스터)",IF(H342&lt;&gt;"","복습2",IF(G342&lt;&gt;"","복습1",IF(ISNUMBER(SEARCH("제미나이",K342)),"복습대기(AI도움)",IF(ISNUMBER(SEARCH("간당간당",K342)),"복습대기(간당간당)",IF(OR(ISNUMBER(SEARCH("아이디어",K342)),ISNUMBER(SEARCH("시간초과",K342)),ISNUMBER(SEARCH("자료구조",K342)),ISNUMBER(SEARCH("경계값",K342)),ISNUMBER(SEARCH("다른 풀이",K342)),ISNUMBER(SEARCH("또풀기",K342))),"복습대기",IF(OR(ISNUMBER(SEARCH("복습필요없음",K342)),ISNUMBER(SEARCH("자력완벽",K342))),"품(복습불필요)",IF(F342&lt;&gt;"","품","미완료"))))))))))</f>
        <v/>
      </c>
      <c r="K342" s="32" t="inlineStr">
        <is>
          <t>-</t>
        </is>
      </c>
      <c r="L342" s="32" t="n"/>
      <c r="M342" s="28">
        <f>IF(OR(LEFT(J342,2)="보류", LEFT(J342,4)="복습대기", LEFT(J342,3)="복습1", LEFT(J342,3)="복습2"), MAX($M$3:M341)+1, "")</f>
        <v/>
      </c>
      <c r="N342" s="28" t="inlineStr">
        <is>
          <t>W10</t>
        </is>
      </c>
      <c r="O342" s="36" t="n">
        <v>46326</v>
      </c>
      <c r="P342" s="30">
        <f>IF(F342&lt;&gt;"","✅ 완료",IF(O342="","-",IF(TODAY()&gt;O342,"🚨 지연","⏳ 예정")))</f>
        <v/>
      </c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 ht="21.75" customHeight="1" s="209">
      <c r="A343" s="28" t="n">
        <v>340</v>
      </c>
      <c r="B343" s="28" t="inlineStr">
        <is>
          <t>2105</t>
        </is>
      </c>
      <c r="C343" s="30" t="inlineStr">
        <is>
          <t>모의역량</t>
        </is>
      </c>
      <c r="D343" s="32" t="inlineStr">
        <is>
          <t>디저트 카페</t>
        </is>
      </c>
      <c r="E343" s="28" t="inlineStr">
        <is>
          <t>DFS / 백트래킹</t>
        </is>
      </c>
      <c r="F343" s="28" t="n"/>
      <c r="G343" s="28" t="n"/>
      <c r="H343" s="28" t="n"/>
      <c r="I343" s="28" t="n"/>
      <c r="J343" s="54">
        <f>IF(OR(ISNUMBER(SEARCH("보류",K343)),ISNUMBER(SEARCH("미룸",K343)),ISNUMBER(SEARCH("나중에",K343)),ISNUMBER(SEARCH("보류",L343)),ISNUMBER(SEARCH("미룸",L343)),ISNUMBER(SEARCH("나중에",L343))),"보류(나중에 풀기)",IF(AND(F343="",G343="",H343="",I343=""),"미완료",IF(I343&lt;&gt;"","복습3(마스터)",IF(H343&lt;&gt;"","복습2",IF(G343&lt;&gt;"","복습1",IF(ISNUMBER(SEARCH("제미나이",K343)),"복습대기(AI도움)",IF(ISNUMBER(SEARCH("간당간당",K343)),"복습대기(간당간당)",IF(OR(ISNUMBER(SEARCH("아이디어",K343)),ISNUMBER(SEARCH("시간초과",K343)),ISNUMBER(SEARCH("자료구조",K343)),ISNUMBER(SEARCH("경계값",K343)),ISNUMBER(SEARCH("다른 풀이",K343)),ISNUMBER(SEARCH("또풀기",K343))),"복습대기",IF(OR(ISNUMBER(SEARCH("복습필요없음",K343)),ISNUMBER(SEARCH("자력완벽",K343))),"품(복습불필요)",IF(F343&lt;&gt;"","품","미완료"))))))))))</f>
        <v/>
      </c>
      <c r="K343" s="32" t="inlineStr">
        <is>
          <t>-</t>
        </is>
      </c>
      <c r="L343" s="32" t="n"/>
      <c r="M343" s="28">
        <f>IF(OR(LEFT(J343,2)="보류", LEFT(J343,4)="복습대기", LEFT(J343,3)="복습1", LEFT(J343,3)="복습2"), MAX($M$3:M342)+1, "")</f>
        <v/>
      </c>
      <c r="N343" s="28" t="inlineStr">
        <is>
          <t>W10</t>
        </is>
      </c>
      <c r="O343" s="36" t="n">
        <v>46326</v>
      </c>
      <c r="P343" s="30">
        <f>IF(F343&lt;&gt;"","✅ 완료",IF(O343="","-",IF(TODAY()&gt;O343,"🚨 지연","⏳ 예정")))</f>
        <v/>
      </c>
      <c r="Q343" s="7" t="n"/>
      <c r="R343" s="7" t="n"/>
      <c r="S343" s="7" t="n"/>
      <c r="T343" s="7" t="n"/>
      <c r="U343" s="7" t="n"/>
      <c r="V343" s="7" t="n"/>
      <c r="W343" s="7" t="n"/>
      <c r="X343" s="7" t="n"/>
    </row>
    <row r="344" ht="21.75" customHeight="1" s="209">
      <c r="A344" s="28" t="n">
        <v>341</v>
      </c>
      <c r="B344" s="28" t="inlineStr">
        <is>
          <t>2112</t>
        </is>
      </c>
      <c r="C344" s="30" t="inlineStr">
        <is>
          <t>모의역량</t>
        </is>
      </c>
      <c r="D344" s="32" t="inlineStr">
        <is>
          <t>보호 필름</t>
        </is>
      </c>
      <c r="E344" s="28" t="inlineStr">
        <is>
          <t>완전탐색 / 조합</t>
        </is>
      </c>
      <c r="F344" s="28" t="n"/>
      <c r="G344" s="28" t="n"/>
      <c r="H344" s="28" t="n"/>
      <c r="I344" s="28" t="n"/>
      <c r="J344" s="54">
        <f>IF(OR(ISNUMBER(SEARCH("보류",K344)),ISNUMBER(SEARCH("미룸",K344)),ISNUMBER(SEARCH("나중에",K344)),ISNUMBER(SEARCH("보류",L344)),ISNUMBER(SEARCH("미룸",L344)),ISNUMBER(SEARCH("나중에",L344))),"보류(나중에 풀기)",IF(AND(F344="",G344="",H344="",I344=""),"미완료",IF(I344&lt;&gt;"","복습3(마스터)",IF(H344&lt;&gt;"","복습2",IF(G344&lt;&gt;"","복습1",IF(ISNUMBER(SEARCH("제미나이",K344)),"복습대기(AI도움)",IF(ISNUMBER(SEARCH("간당간당",K344)),"복습대기(간당간당)",IF(OR(ISNUMBER(SEARCH("아이디어",K344)),ISNUMBER(SEARCH("시간초과",K344)),ISNUMBER(SEARCH("자료구조",K344)),ISNUMBER(SEARCH("경계값",K344)),ISNUMBER(SEARCH("다른 풀이",K344)),ISNUMBER(SEARCH("또풀기",K344))),"복습대기",IF(OR(ISNUMBER(SEARCH("복습필요없음",K344)),ISNUMBER(SEARCH("자력완벽",K344))),"품(복습불필요)",IF(F344&lt;&gt;"","품","미완료"))))))))))</f>
        <v/>
      </c>
      <c r="K344" s="32" t="inlineStr">
        <is>
          <t>-</t>
        </is>
      </c>
      <c r="L344" s="32" t="n"/>
      <c r="M344" s="28">
        <f>IF(OR(LEFT(J344,2)="보류", LEFT(J344,4)="복습대기", LEFT(J344,3)="복습1", LEFT(J344,3)="복습2"), MAX($M$3:M343)+1, "")</f>
        <v/>
      </c>
      <c r="N344" s="28" t="inlineStr">
        <is>
          <t>W10</t>
        </is>
      </c>
      <c r="O344" s="36" t="n">
        <v>46326</v>
      </c>
      <c r="P344" s="30">
        <f>IF(F344&lt;&gt;"","✅ 완료",IF(O344="","-",IF(TODAY()&gt;O344,"🚨 지연","⏳ 예정")))</f>
        <v/>
      </c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 ht="21.75" customHeight="1" s="209">
      <c r="A345" s="28" t="n">
        <v>342</v>
      </c>
      <c r="B345" s="28" t="inlineStr">
        <is>
          <t>2115</t>
        </is>
      </c>
      <c r="C345" s="30" t="inlineStr">
        <is>
          <t>모의역량</t>
        </is>
      </c>
      <c r="D345" s="32" t="inlineStr">
        <is>
          <t>벌꿀채취</t>
        </is>
      </c>
      <c r="E345" s="28" t="inlineStr">
        <is>
          <t>완전탐색 / 조합</t>
        </is>
      </c>
      <c r="F345" s="28" t="n"/>
      <c r="G345" s="28" t="n"/>
      <c r="H345" s="28" t="n"/>
      <c r="I345" s="28" t="n"/>
      <c r="J345" s="54">
        <f>IF(OR(ISNUMBER(SEARCH("보류",K345)),ISNUMBER(SEARCH("미룸",K345)),ISNUMBER(SEARCH("나중에",K345)),ISNUMBER(SEARCH("보류",L345)),ISNUMBER(SEARCH("미룸",L345)),ISNUMBER(SEARCH("나중에",L345))),"보류(나중에 풀기)",IF(AND(F345="",G345="",H345="",I345=""),"미완료",IF(I345&lt;&gt;"","복습3(마스터)",IF(H345&lt;&gt;"","복습2",IF(G345&lt;&gt;"","복습1",IF(ISNUMBER(SEARCH("제미나이",K345)),"복습대기(AI도움)",IF(ISNUMBER(SEARCH("간당간당",K345)),"복습대기(간당간당)",IF(OR(ISNUMBER(SEARCH("아이디어",K345)),ISNUMBER(SEARCH("시간초과",K345)),ISNUMBER(SEARCH("자료구조",K345)),ISNUMBER(SEARCH("경계값",K345)),ISNUMBER(SEARCH("다른 풀이",K345)),ISNUMBER(SEARCH("또풀기",K345))),"복습대기",IF(OR(ISNUMBER(SEARCH("복습필요없음",K345)),ISNUMBER(SEARCH("자력완벽",K345))),"품(복습불필요)",IF(F345&lt;&gt;"","품","미완료"))))))))))</f>
        <v/>
      </c>
      <c r="K345" s="32" t="inlineStr">
        <is>
          <t>-</t>
        </is>
      </c>
      <c r="L345" s="32" t="n"/>
      <c r="M345" s="28">
        <f>IF(OR(LEFT(J345,2)="보류", LEFT(J345,4)="복습대기", LEFT(J345,3)="복습1", LEFT(J345,3)="복습2"), MAX($M$3:M344)+1, "")</f>
        <v/>
      </c>
      <c r="N345" s="28" t="inlineStr">
        <is>
          <t>W10</t>
        </is>
      </c>
      <c r="O345" s="36" t="n">
        <v>46326</v>
      </c>
      <c r="P345" s="30">
        <f>IF(F345&lt;&gt;"","✅ 완료",IF(O345="","-",IF(TODAY()&gt;O345,"🚨 지연","⏳ 예정")))</f>
        <v/>
      </c>
      <c r="Q345" s="7" t="n"/>
      <c r="R345" s="7" t="n"/>
      <c r="S345" s="7" t="n"/>
      <c r="T345" s="7" t="n"/>
      <c r="U345" s="7" t="n"/>
      <c r="V345" s="7" t="n"/>
      <c r="W345" s="7" t="n"/>
      <c r="X345" s="7" t="n"/>
    </row>
    <row r="346" ht="21.75" customHeight="1" s="209">
      <c r="A346" s="28" t="n">
        <v>343</v>
      </c>
      <c r="B346" s="28" t="inlineStr">
        <is>
          <t>2117</t>
        </is>
      </c>
      <c r="C346" s="30" t="inlineStr">
        <is>
          <t>모의역량</t>
        </is>
      </c>
      <c r="D346" s="32" t="inlineStr">
        <is>
          <t>홈 방범 서비스</t>
        </is>
      </c>
      <c r="E346" s="28" t="inlineStr">
        <is>
          <t>시뮬레이션 / 완전탐색</t>
        </is>
      </c>
      <c r="F346" s="28" t="n"/>
      <c r="G346" s="28" t="n"/>
      <c r="H346" s="28" t="n"/>
      <c r="I346" s="28" t="n"/>
      <c r="J346" s="54">
        <f>IF(OR(ISNUMBER(SEARCH("보류",K346)),ISNUMBER(SEARCH("미룸",K346)),ISNUMBER(SEARCH("나중에",K346)),ISNUMBER(SEARCH("보류",L346)),ISNUMBER(SEARCH("미룸",L346)),ISNUMBER(SEARCH("나중에",L346))),"보류(나중에 풀기)",IF(AND(F346="",G346="",H346="",I346=""),"미완료",IF(I346&lt;&gt;"","복습3(마스터)",IF(H346&lt;&gt;"","복습2",IF(G346&lt;&gt;"","복습1",IF(ISNUMBER(SEARCH("제미나이",K346)),"복습대기(AI도움)",IF(ISNUMBER(SEARCH("간당간당",K346)),"복습대기(간당간당)",IF(OR(ISNUMBER(SEARCH("아이디어",K346)),ISNUMBER(SEARCH("시간초과",K346)),ISNUMBER(SEARCH("자료구조",K346)),ISNUMBER(SEARCH("경계값",K346)),ISNUMBER(SEARCH("다른 풀이",K346)),ISNUMBER(SEARCH("또풀기",K346))),"복습대기",IF(OR(ISNUMBER(SEARCH("복습필요없음",K346)),ISNUMBER(SEARCH("자력완벽",K346))),"품(복습불필요)",IF(F346&lt;&gt;"","품","미완료"))))))))))</f>
        <v/>
      </c>
      <c r="K346" s="32" t="inlineStr">
        <is>
          <t>-</t>
        </is>
      </c>
      <c r="L346" s="32" t="n"/>
      <c r="M346" s="28">
        <f>IF(OR(LEFT(J346,2)="보류", LEFT(J346,4)="복습대기", LEFT(J346,3)="복습1", LEFT(J346,3)="복습2"), MAX($M$3:M345)+1, "")</f>
        <v/>
      </c>
      <c r="N346" s="28" t="inlineStr">
        <is>
          <t>W10</t>
        </is>
      </c>
      <c r="O346" s="36" t="n">
        <v>46326</v>
      </c>
      <c r="P346" s="30">
        <f>IF(F346&lt;&gt;"","✅ 완료",IF(O346="","-",IF(TODAY()&gt;O346,"🚨 지연","⏳ 예정")))</f>
        <v/>
      </c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 ht="21.75" customHeight="1" s="209">
      <c r="A347" s="28" t="n">
        <v>344</v>
      </c>
      <c r="B347" s="28" t="inlineStr">
        <is>
          <t>2382</t>
        </is>
      </c>
      <c r="C347" s="30" t="inlineStr">
        <is>
          <t>모의역량</t>
        </is>
      </c>
      <c r="D347" s="32" t="inlineStr">
        <is>
          <t>미생물 격리</t>
        </is>
      </c>
      <c r="E347" s="28" t="inlineStr">
        <is>
          <t>시뮬레이션 / 격자</t>
        </is>
      </c>
      <c r="F347" s="28" t="n"/>
      <c r="G347" s="28" t="n"/>
      <c r="H347" s="28" t="n"/>
      <c r="I347" s="28" t="n"/>
      <c r="J347" s="54">
        <f>IF(OR(ISNUMBER(SEARCH("보류",K347)),ISNUMBER(SEARCH("미룸",K347)),ISNUMBER(SEARCH("나중에",K347)),ISNUMBER(SEARCH("보류",L347)),ISNUMBER(SEARCH("미룸",L347)),ISNUMBER(SEARCH("나중에",L347))),"보류(나중에 풀기)",IF(AND(F347="",G347="",H347="",I347=""),"미완료",IF(I347&lt;&gt;"","복습3(마스터)",IF(H347&lt;&gt;"","복습2",IF(G347&lt;&gt;"","복습1",IF(ISNUMBER(SEARCH("제미나이",K347)),"복습대기(AI도움)",IF(ISNUMBER(SEARCH("간당간당",K347)),"복습대기(간당간당)",IF(OR(ISNUMBER(SEARCH("아이디어",K347)),ISNUMBER(SEARCH("시간초과",K347)),ISNUMBER(SEARCH("자료구조",K347)),ISNUMBER(SEARCH("경계값",K347)),ISNUMBER(SEARCH("다른 풀이",K347)),ISNUMBER(SEARCH("또풀기",K347))),"복습대기",IF(OR(ISNUMBER(SEARCH("복습필요없음",K347)),ISNUMBER(SEARCH("자력완벽",K347))),"품(복습불필요)",IF(F347&lt;&gt;"","품","미완료"))))))))))</f>
        <v/>
      </c>
      <c r="K347" s="32" t="inlineStr">
        <is>
          <t>-</t>
        </is>
      </c>
      <c r="L347" s="32" t="n"/>
      <c r="M347" s="28">
        <f>IF(OR(LEFT(J347,2)="보류", LEFT(J347,4)="복습대기", LEFT(J347,3)="복습1", LEFT(J347,3)="복습2"), MAX($M$3:M346)+1, "")</f>
        <v/>
      </c>
      <c r="N347" s="28" t="inlineStr">
        <is>
          <t>W10</t>
        </is>
      </c>
      <c r="O347" s="36" t="n">
        <v>46327</v>
      </c>
      <c r="P347" s="30">
        <f>IF(F347&lt;&gt;"","✅ 완료",IF(O347="","-",IF(TODAY()&gt;O347,"🚨 지연","⏳ 예정")))</f>
        <v/>
      </c>
      <c r="Q347" s="7" t="n"/>
      <c r="R347" s="7" t="n"/>
      <c r="S347" s="7" t="n"/>
      <c r="T347" s="7" t="n"/>
      <c r="U347" s="7" t="n"/>
      <c r="V347" s="7" t="n"/>
      <c r="W347" s="7" t="n"/>
      <c r="X347" s="7" t="n"/>
    </row>
    <row r="348" ht="21.75" customHeight="1" s="209">
      <c r="A348" s="28" t="n">
        <v>345</v>
      </c>
      <c r="B348" s="28" t="inlineStr">
        <is>
          <t>2383</t>
        </is>
      </c>
      <c r="C348" s="30" t="inlineStr">
        <is>
          <t>모의역량</t>
        </is>
      </c>
      <c r="D348" s="32" t="inlineStr">
        <is>
          <t>점심 식사시간</t>
        </is>
      </c>
      <c r="E348" s="28" t="inlineStr">
        <is>
          <t>시뮬레이션 / 완전탐색</t>
        </is>
      </c>
      <c r="F348" s="28" t="n"/>
      <c r="G348" s="28" t="n"/>
      <c r="H348" s="28" t="n"/>
      <c r="I348" s="28" t="n"/>
      <c r="J348" s="54">
        <f>IF(OR(ISNUMBER(SEARCH("보류",K348)),ISNUMBER(SEARCH("미룸",K348)),ISNUMBER(SEARCH("나중에",K348)),ISNUMBER(SEARCH("보류",L348)),ISNUMBER(SEARCH("미룸",L348)),ISNUMBER(SEARCH("나중에",L348))),"보류(나중에 풀기)",IF(AND(F348="",G348="",H348="",I348=""),"미완료",IF(I348&lt;&gt;"","복습3(마스터)",IF(H348&lt;&gt;"","복습2",IF(G348&lt;&gt;"","복습1",IF(ISNUMBER(SEARCH("제미나이",K348)),"복습대기(AI도움)",IF(ISNUMBER(SEARCH("간당간당",K348)),"복습대기(간당간당)",IF(OR(ISNUMBER(SEARCH("아이디어",K348)),ISNUMBER(SEARCH("시간초과",K348)),ISNUMBER(SEARCH("자료구조",K348)),ISNUMBER(SEARCH("경계값",K348)),ISNUMBER(SEARCH("다른 풀이",K348)),ISNUMBER(SEARCH("또풀기",K348))),"복습대기",IF(OR(ISNUMBER(SEARCH("복습필요없음",K348)),ISNUMBER(SEARCH("자력완벽",K348))),"품(복습불필요)",IF(F348&lt;&gt;"","품","미완료"))))))))))</f>
        <v/>
      </c>
      <c r="K348" s="32" t="inlineStr">
        <is>
          <t>-</t>
        </is>
      </c>
      <c r="L348" s="32" t="n"/>
      <c r="M348" s="28">
        <f>IF(OR(LEFT(J348,2)="보류", LEFT(J348,4)="복습대기", LEFT(J348,3)="복습1", LEFT(J348,3)="복습2"), MAX($M$3:M347)+1, "")</f>
        <v/>
      </c>
      <c r="N348" s="28" t="inlineStr">
        <is>
          <t>W10</t>
        </is>
      </c>
      <c r="O348" s="36" t="n">
        <v>46327</v>
      </c>
      <c r="P348" s="30">
        <f>IF(F348&lt;&gt;"","✅ 완료",IF(O348="","-",IF(TODAY()&gt;O348,"🚨 지연","⏳ 예정")))</f>
        <v/>
      </c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 ht="21.75" customHeight="1" s="209">
      <c r="A349" s="28" t="n">
        <v>346</v>
      </c>
      <c r="B349" s="28" t="inlineStr">
        <is>
          <t>2477</t>
        </is>
      </c>
      <c r="C349" s="30" t="inlineStr">
        <is>
          <t>모의역량</t>
        </is>
      </c>
      <c r="D349" s="32" t="inlineStr">
        <is>
          <t>차량 정비소</t>
        </is>
      </c>
      <c r="E349" s="28" t="inlineStr">
        <is>
          <t>시뮬레이션 / 큐 (Queue)</t>
        </is>
      </c>
      <c r="F349" s="28" t="n"/>
      <c r="G349" s="28" t="n"/>
      <c r="H349" s="28" t="n"/>
      <c r="I349" s="28" t="n"/>
      <c r="J349" s="54">
        <f>IF(OR(ISNUMBER(SEARCH("보류",K349)),ISNUMBER(SEARCH("미룸",K349)),ISNUMBER(SEARCH("나중에",K349)),ISNUMBER(SEARCH("보류",L349)),ISNUMBER(SEARCH("미룸",L349)),ISNUMBER(SEARCH("나중에",L349))),"보류(나중에 풀기)",IF(AND(F349="",G349="",H349="",I349=""),"미완료",IF(I349&lt;&gt;"","복습3(마스터)",IF(H349&lt;&gt;"","복습2",IF(G349&lt;&gt;"","복습1",IF(ISNUMBER(SEARCH("제미나이",K349)),"복습대기(AI도움)",IF(ISNUMBER(SEARCH("간당간당",K349)),"복습대기(간당간당)",IF(OR(ISNUMBER(SEARCH("아이디어",K349)),ISNUMBER(SEARCH("시간초과",K349)),ISNUMBER(SEARCH("자료구조",K349)),ISNUMBER(SEARCH("경계값",K349)),ISNUMBER(SEARCH("다른 풀이",K349)),ISNUMBER(SEARCH("또풀기",K349))),"복습대기",IF(OR(ISNUMBER(SEARCH("복습필요없음",K349)),ISNUMBER(SEARCH("자력완벽",K349))),"품(복습불필요)",IF(F349&lt;&gt;"","품","미완료"))))))))))</f>
        <v/>
      </c>
      <c r="K349" s="32" t="inlineStr">
        <is>
          <t>-</t>
        </is>
      </c>
      <c r="L349" s="32" t="n"/>
      <c r="M349" s="28">
        <f>IF(OR(LEFT(J349,2)="보류", LEFT(J349,4)="복습대기", LEFT(J349,3)="복습1", LEFT(J349,3)="복습2"), MAX($M$3:M348)+1, "")</f>
        <v/>
      </c>
      <c r="N349" s="28" t="inlineStr">
        <is>
          <t>W10</t>
        </is>
      </c>
      <c r="O349" s="36" t="n">
        <v>46327</v>
      </c>
      <c r="P349" s="30">
        <f>IF(F349&lt;&gt;"","✅ 완료",IF(O349="","-",IF(TODAY()&gt;O349,"🚨 지연","⏳ 예정")))</f>
        <v/>
      </c>
      <c r="Q349" s="7" t="n"/>
      <c r="R349" s="7" t="n"/>
      <c r="S349" s="7" t="n"/>
      <c r="T349" s="7" t="n"/>
      <c r="U349" s="7" t="n"/>
      <c r="V349" s="7" t="n"/>
      <c r="W349" s="7" t="n"/>
      <c r="X349" s="7" t="n"/>
    </row>
    <row r="350" ht="21.75" customHeight="1" s="209">
      <c r="A350" s="28" t="n">
        <v>347</v>
      </c>
      <c r="B350" s="28" t="inlineStr">
        <is>
          <t>4008</t>
        </is>
      </c>
      <c r="C350" s="30" t="inlineStr">
        <is>
          <t>모의역량</t>
        </is>
      </c>
      <c r="D350" s="32" t="inlineStr">
        <is>
          <t>숫자 만들기</t>
        </is>
      </c>
      <c r="E350" s="28" t="inlineStr">
        <is>
          <t>DFS / 백트래킹</t>
        </is>
      </c>
      <c r="F350" s="28" t="n"/>
      <c r="G350" s="28" t="n"/>
      <c r="H350" s="28" t="n"/>
      <c r="I350" s="28" t="n"/>
      <c r="J350" s="54">
        <f>IF(OR(ISNUMBER(SEARCH("보류",K350)),ISNUMBER(SEARCH("미룸",K350)),ISNUMBER(SEARCH("나중에",K350)),ISNUMBER(SEARCH("보류",L350)),ISNUMBER(SEARCH("미룸",L350)),ISNUMBER(SEARCH("나중에",L350))),"보류(나중에 풀기)",IF(AND(F350="",G350="",H350="",I350=""),"미완료",IF(I350&lt;&gt;"","복습3(마스터)",IF(H350&lt;&gt;"","복습2",IF(G350&lt;&gt;"","복습1",IF(ISNUMBER(SEARCH("제미나이",K350)),"복습대기(AI도움)",IF(ISNUMBER(SEARCH("간당간당",K350)),"복습대기(간당간당)",IF(OR(ISNUMBER(SEARCH("아이디어",K350)),ISNUMBER(SEARCH("시간초과",K350)),ISNUMBER(SEARCH("자료구조",K350)),ISNUMBER(SEARCH("경계값",K350)),ISNUMBER(SEARCH("다른 풀이",K350)),ISNUMBER(SEARCH("또풀기",K350))),"복습대기",IF(OR(ISNUMBER(SEARCH("복습필요없음",K350)),ISNUMBER(SEARCH("자력완벽",K350))),"품(복습불필요)",IF(F350&lt;&gt;"","품","미완료"))))))))))</f>
        <v/>
      </c>
      <c r="K350" s="32" t="inlineStr">
        <is>
          <t>-</t>
        </is>
      </c>
      <c r="L350" s="32" t="n"/>
      <c r="M350" s="28">
        <f>IF(OR(LEFT(J350,2)="보류", LEFT(J350,4)="복습대기", LEFT(J350,3)="복습1", LEFT(J350,3)="복습2"), MAX($M$3:M349)+1, "")</f>
        <v/>
      </c>
      <c r="N350" s="28" t="inlineStr">
        <is>
          <t>W10</t>
        </is>
      </c>
      <c r="O350" s="36" t="n">
        <v>46327</v>
      </c>
      <c r="P350" s="30">
        <f>IF(F350&lt;&gt;"","✅ 완료",IF(O350="","-",IF(TODAY()&gt;O350,"🚨 지연","⏳ 예정")))</f>
        <v/>
      </c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 ht="21.75" customHeight="1" s="209">
      <c r="A351" s="28" t="n">
        <v>348</v>
      </c>
      <c r="B351" s="28" t="inlineStr">
        <is>
          <t>4012</t>
        </is>
      </c>
      <c r="C351" s="30" t="inlineStr">
        <is>
          <t>모의역량</t>
        </is>
      </c>
      <c r="D351" s="32" t="inlineStr">
        <is>
          <t>요리사</t>
        </is>
      </c>
      <c r="E351" s="28" t="inlineStr">
        <is>
          <t>완전탐색 / 조합</t>
        </is>
      </c>
      <c r="F351" s="28" t="n"/>
      <c r="G351" s="28" t="n"/>
      <c r="H351" s="28" t="n"/>
      <c r="I351" s="28" t="n"/>
      <c r="J351" s="54">
        <f>IF(OR(ISNUMBER(SEARCH("보류",K351)),ISNUMBER(SEARCH("미룸",K351)),ISNUMBER(SEARCH("나중에",K351)),ISNUMBER(SEARCH("보류",L351)),ISNUMBER(SEARCH("미룸",L351)),ISNUMBER(SEARCH("나중에",L351))),"보류(나중에 풀기)",IF(AND(F351="",G351="",H351="",I351=""),"미완료",IF(I351&lt;&gt;"","복습3(마스터)",IF(H351&lt;&gt;"","복습2",IF(G351&lt;&gt;"","복습1",IF(ISNUMBER(SEARCH("제미나이",K351)),"복습대기(AI도움)",IF(ISNUMBER(SEARCH("간당간당",K351)),"복습대기(간당간당)",IF(OR(ISNUMBER(SEARCH("아이디어",K351)),ISNUMBER(SEARCH("시간초과",K351)),ISNUMBER(SEARCH("자료구조",K351)),ISNUMBER(SEARCH("경계값",K351)),ISNUMBER(SEARCH("다른 풀이",K351)),ISNUMBER(SEARCH("또풀기",K351))),"복습대기",IF(OR(ISNUMBER(SEARCH("복습필요없음",K351)),ISNUMBER(SEARCH("자력완벽",K351))),"품(복습불필요)",IF(F351&lt;&gt;"","품","미완료"))))))))))</f>
        <v/>
      </c>
      <c r="K351" s="32" t="inlineStr">
        <is>
          <t>-</t>
        </is>
      </c>
      <c r="L351" s="32" t="n"/>
      <c r="M351" s="28">
        <f>IF(OR(LEFT(J351,2)="보류", LEFT(J351,4)="복습대기", LEFT(J351,3)="복습1", LEFT(J351,3)="복습2"), MAX($M$3:M350)+1, "")</f>
        <v/>
      </c>
      <c r="N351" s="28" t="inlineStr">
        <is>
          <t>W10</t>
        </is>
      </c>
      <c r="O351" s="36" t="n">
        <v>46327</v>
      </c>
      <c r="P351" s="30">
        <f>IF(F351&lt;&gt;"","✅ 완료",IF(O351="","-",IF(TODAY()&gt;O351,"🚨 지연","⏳ 예정")))</f>
        <v/>
      </c>
      <c r="Q351" s="7" t="n"/>
      <c r="R351" s="7" t="n"/>
      <c r="S351" s="7" t="n"/>
      <c r="T351" s="7" t="n"/>
      <c r="U351" s="7" t="n"/>
      <c r="V351" s="7" t="n"/>
      <c r="W351" s="7" t="n"/>
      <c r="X351" s="7" t="n"/>
    </row>
    <row r="352" ht="21.75" customHeight="1" s="209">
      <c r="A352" s="28" t="n">
        <v>349</v>
      </c>
      <c r="B352" s="28" t="inlineStr">
        <is>
          <t>4013</t>
        </is>
      </c>
      <c r="C352" s="30" t="inlineStr">
        <is>
          <t>모의역량</t>
        </is>
      </c>
      <c r="D352" s="32" t="inlineStr">
        <is>
          <t>특이한 자석</t>
        </is>
      </c>
      <c r="E352" s="28" t="inlineStr">
        <is>
          <t>시뮬레이션 / 비트</t>
        </is>
      </c>
      <c r="F352" s="28" t="n"/>
      <c r="G352" s="28" t="n"/>
      <c r="H352" s="28" t="n"/>
      <c r="I352" s="28" t="n"/>
      <c r="J352" s="54">
        <f>IF(OR(ISNUMBER(SEARCH("보류",K352)),ISNUMBER(SEARCH("미룸",K352)),ISNUMBER(SEARCH("나중에",K352)),ISNUMBER(SEARCH("보류",L352)),ISNUMBER(SEARCH("미룸",L352)),ISNUMBER(SEARCH("나중에",L352))),"보류(나중에 풀기)",IF(AND(F352="",G352="",H352="",I352=""),"미완료",IF(I352&lt;&gt;"","복습3(마스터)",IF(H352&lt;&gt;"","복습2",IF(G352&lt;&gt;"","복습1",IF(ISNUMBER(SEARCH("제미나이",K352)),"복습대기(AI도움)",IF(ISNUMBER(SEARCH("간당간당",K352)),"복습대기(간당간당)",IF(OR(ISNUMBER(SEARCH("아이디어",K352)),ISNUMBER(SEARCH("시간초과",K352)),ISNUMBER(SEARCH("자료구조",K352)),ISNUMBER(SEARCH("경계값",K352)),ISNUMBER(SEARCH("다른 풀이",K352)),ISNUMBER(SEARCH("또풀기",K352))),"복습대기",IF(OR(ISNUMBER(SEARCH("복습필요없음",K352)),ISNUMBER(SEARCH("자력완벽",K352))),"품(복습불필요)",IF(F352&lt;&gt;"","품","미완료"))))))))))</f>
        <v/>
      </c>
      <c r="K352" s="32" t="inlineStr">
        <is>
          <t>-</t>
        </is>
      </c>
      <c r="L352" s="32" t="n"/>
      <c r="M352" s="28">
        <f>IF(OR(LEFT(J352,2)="보류", LEFT(J352,4)="복습대기", LEFT(J352,3)="복습1", LEFT(J352,3)="복습2"), MAX($M$3:M351)+1, "")</f>
        <v/>
      </c>
      <c r="N352" s="28" t="inlineStr">
        <is>
          <t>W10</t>
        </is>
      </c>
      <c r="O352" s="36" t="n">
        <v>46327</v>
      </c>
      <c r="P352" s="30">
        <f>IF(F352&lt;&gt;"","✅ 완료",IF(O352="","-",IF(TODAY()&gt;O352,"🚨 지연","⏳ 예정")))</f>
        <v/>
      </c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 ht="21.75" customHeight="1" s="209">
      <c r="A353" s="28" t="n">
        <v>350</v>
      </c>
      <c r="B353" s="28" t="inlineStr">
        <is>
          <t>4014</t>
        </is>
      </c>
      <c r="C353" s="30" t="inlineStr">
        <is>
          <t>모의역량</t>
        </is>
      </c>
      <c r="D353" s="32" t="inlineStr">
        <is>
          <t>활주로 건설</t>
        </is>
      </c>
      <c r="E353" s="28" t="inlineStr">
        <is>
          <t>시뮬레이션 / 구현</t>
        </is>
      </c>
      <c r="F353" s="28" t="n"/>
      <c r="G353" s="28" t="n"/>
      <c r="H353" s="28" t="n"/>
      <c r="I353" s="28" t="n"/>
      <c r="J353" s="54">
        <f>IF(OR(ISNUMBER(SEARCH("보류",K353)),ISNUMBER(SEARCH("미룸",K353)),ISNUMBER(SEARCH("나중에",K353)),ISNUMBER(SEARCH("보류",L353)),ISNUMBER(SEARCH("미룸",L353)),ISNUMBER(SEARCH("나중에",L353))),"보류(나중에 풀기)",IF(AND(F353="",G353="",H353="",I353=""),"미완료",IF(I353&lt;&gt;"","복습3(마스터)",IF(H353&lt;&gt;"","복습2",IF(G353&lt;&gt;"","복습1",IF(ISNUMBER(SEARCH("제미나이",K353)),"복습대기(AI도움)",IF(ISNUMBER(SEARCH("간당간당",K353)),"복습대기(간당간당)",IF(OR(ISNUMBER(SEARCH("아이디어",K353)),ISNUMBER(SEARCH("시간초과",K353)),ISNUMBER(SEARCH("자료구조",K353)),ISNUMBER(SEARCH("경계값",K353)),ISNUMBER(SEARCH("다른 풀이",K353)),ISNUMBER(SEARCH("또풀기",K353))),"복습대기",IF(OR(ISNUMBER(SEARCH("복습필요없음",K353)),ISNUMBER(SEARCH("자력완벽",K353))),"품(복습불필요)",IF(F353&lt;&gt;"","품","미완료"))))))))))</f>
        <v/>
      </c>
      <c r="K353" s="32" t="inlineStr">
        <is>
          <t>-</t>
        </is>
      </c>
      <c r="L353" s="32" t="n"/>
      <c r="M353" s="28">
        <f>IF(OR(LEFT(J353,2)="보류", LEFT(J353,4)="복습대기", LEFT(J353,3)="복습1", LEFT(J353,3)="복습2"), MAX($M$3:M352)+1, "")</f>
        <v/>
      </c>
      <c r="N353" s="28" t="inlineStr">
        <is>
          <t>W10</t>
        </is>
      </c>
      <c r="O353" s="36" t="n">
        <v>46327</v>
      </c>
      <c r="P353" s="30">
        <f>IF(F353&lt;&gt;"","✅ 완료",IF(O353="","-",IF(TODAY()&gt;O353,"🚨 지연","⏳ 예정")))</f>
        <v/>
      </c>
      <c r="Q353" s="7" t="n"/>
      <c r="R353" s="7" t="n"/>
      <c r="S353" s="7" t="n"/>
      <c r="T353" s="7" t="n"/>
      <c r="U353" s="7" t="n"/>
      <c r="V353" s="7" t="n"/>
      <c r="W353" s="7" t="n"/>
      <c r="X353" s="7" t="n"/>
    </row>
    <row r="354" ht="21.75" customHeight="1" s="209">
      <c r="A354" s="28" t="n">
        <v>351</v>
      </c>
      <c r="B354" s="28" t="inlineStr">
        <is>
          <t>4123</t>
        </is>
      </c>
      <c r="C354" s="30" t="inlineStr">
        <is>
          <t>모의역량</t>
        </is>
      </c>
      <c r="D354" s="32" t="inlineStr">
        <is>
          <t>숫자 만들기</t>
        </is>
      </c>
      <c r="E354" s="28" t="inlineStr">
        <is>
          <t>DFS / 백트래킹</t>
        </is>
      </c>
      <c r="F354" s="28" t="n"/>
      <c r="G354" s="28" t="n"/>
      <c r="H354" s="28" t="n"/>
      <c r="I354" s="28" t="n"/>
      <c r="J354" s="54">
        <f>IF(OR(ISNUMBER(SEARCH("보류",K354)),ISNUMBER(SEARCH("미룸",K354)),ISNUMBER(SEARCH("나중에",K354)),ISNUMBER(SEARCH("보류",L354)),ISNUMBER(SEARCH("미룸",L354)),ISNUMBER(SEARCH("나중에",L354))),"보류(나중에 풀기)",IF(AND(F354="",G354="",H354="",I354=""),"미완료",IF(I354&lt;&gt;"","복습3(마스터)",IF(H354&lt;&gt;"","복습2",IF(G354&lt;&gt;"","복습1",IF(ISNUMBER(SEARCH("제미나이",K354)),"복습대기(AI도움)",IF(ISNUMBER(SEARCH("간당간당",K354)),"복습대기(간당간당)",IF(OR(ISNUMBER(SEARCH("아이디어",K354)),ISNUMBER(SEARCH("시간초과",K354)),ISNUMBER(SEARCH("자료구조",K354)),ISNUMBER(SEARCH("경계값",K354)),ISNUMBER(SEARCH("다른 풀이",K354)),ISNUMBER(SEARCH("또풀기",K354))),"복습대기",IF(OR(ISNUMBER(SEARCH("복습필요없음",K354)),ISNUMBER(SEARCH("자력완벽",K354))),"품(복습불필요)",IF(F354&lt;&gt;"","품","미완료"))))))))))</f>
        <v/>
      </c>
      <c r="K354" s="32" t="inlineStr">
        <is>
          <t>-</t>
        </is>
      </c>
      <c r="L354" s="32" t="n"/>
      <c r="M354" s="28">
        <f>IF(OR(LEFT(J354,2)="보류", LEFT(J354,4)="복습대기", LEFT(J354,3)="복습1", LEFT(J354,3)="복습2"), MAX($M$3:M353)+1, "")</f>
        <v/>
      </c>
      <c r="N354" s="28" t="inlineStr">
        <is>
          <t>W11</t>
        </is>
      </c>
      <c r="O354" s="36" t="n">
        <v>46328</v>
      </c>
      <c r="P354" s="30">
        <f>IF(F354&lt;&gt;"","✅ 완료",IF(O354="","-",IF(TODAY()&gt;O354,"🚨 지연","⏳ 예정")))</f>
        <v/>
      </c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 ht="21.75" customHeight="1" s="209">
      <c r="A355" s="28" t="n">
        <v>352</v>
      </c>
      <c r="B355" s="28" t="inlineStr">
        <is>
          <t>4128</t>
        </is>
      </c>
      <c r="C355" s="30" t="inlineStr">
        <is>
          <t>모의역량</t>
        </is>
      </c>
      <c r="D355" s="32" t="inlineStr">
        <is>
          <t>요리사</t>
        </is>
      </c>
      <c r="E355" s="28" t="inlineStr">
        <is>
          <t>완전탐색 / 조합</t>
        </is>
      </c>
      <c r="F355" s="28" t="n"/>
      <c r="G355" s="28" t="n"/>
      <c r="H355" s="28" t="n"/>
      <c r="I355" s="28" t="n"/>
      <c r="J355" s="54">
        <f>IF(OR(ISNUMBER(SEARCH("보류",K355)),ISNUMBER(SEARCH("미룸",K355)),ISNUMBER(SEARCH("나중에",K355)),ISNUMBER(SEARCH("보류",L355)),ISNUMBER(SEARCH("미룸",L355)),ISNUMBER(SEARCH("나중에",L355))),"보류(나중에 풀기)",IF(AND(F355="",G355="",H355="",I355=""),"미완료",IF(I355&lt;&gt;"","복습3(마스터)",IF(H355&lt;&gt;"","복습2",IF(G355&lt;&gt;"","복습1",IF(ISNUMBER(SEARCH("제미나이",K355)),"복습대기(AI도움)",IF(ISNUMBER(SEARCH("간당간당",K355)),"복습대기(간당간당)",IF(OR(ISNUMBER(SEARCH("아이디어",K355)),ISNUMBER(SEARCH("시간초과",K355)),ISNUMBER(SEARCH("자료구조",K355)),ISNUMBER(SEARCH("경계값",K355)),ISNUMBER(SEARCH("다른 풀이",K355)),ISNUMBER(SEARCH("또풀기",K355))),"복습대기",IF(OR(ISNUMBER(SEARCH("복습필요없음",K355)),ISNUMBER(SEARCH("자력완벽",K355))),"품(복습불필요)",IF(F355&lt;&gt;"","품","미완료"))))))))))</f>
        <v/>
      </c>
      <c r="K355" s="32" t="inlineStr">
        <is>
          <t>-</t>
        </is>
      </c>
      <c r="L355" s="32" t="n"/>
      <c r="M355" s="28">
        <f>IF(OR(LEFT(J355,2)="보류", LEFT(J355,4)="복습대기", LEFT(J355,3)="복습1", LEFT(J355,3)="복습2"), MAX($M$3:M354)+1, "")</f>
        <v/>
      </c>
      <c r="N355" s="28" t="inlineStr">
        <is>
          <t>W11</t>
        </is>
      </c>
      <c r="O355" s="36" t="n">
        <v>46328</v>
      </c>
      <c r="P355" s="30">
        <f>IF(F355&lt;&gt;"","✅ 완료",IF(O355="","-",IF(TODAY()&gt;O355,"🚨 지연","⏳ 예정")))</f>
        <v/>
      </c>
      <c r="Q355" s="7" t="n"/>
      <c r="R355" s="7" t="n"/>
      <c r="S355" s="7" t="n"/>
      <c r="T355" s="7" t="n"/>
      <c r="U355" s="7" t="n"/>
      <c r="V355" s="7" t="n"/>
      <c r="W355" s="7" t="n"/>
      <c r="X355" s="7" t="n"/>
    </row>
    <row r="356" ht="21.75" customHeight="1" s="209">
      <c r="A356" s="28" t="n">
        <v>353</v>
      </c>
      <c r="B356" s="28" t="inlineStr">
        <is>
          <t>4130</t>
        </is>
      </c>
      <c r="C356" s="30" t="inlineStr">
        <is>
          <t>모의역량</t>
        </is>
      </c>
      <c r="D356" s="32" t="inlineStr">
        <is>
          <t>특이한 자석</t>
        </is>
      </c>
      <c r="E356" s="28" t="inlineStr">
        <is>
          <t>시뮬레이션 / 비트</t>
        </is>
      </c>
      <c r="F356" s="28" t="n"/>
      <c r="G356" s="28" t="n"/>
      <c r="H356" s="28" t="n"/>
      <c r="I356" s="28" t="n"/>
      <c r="J356" s="54">
        <f>IF(OR(ISNUMBER(SEARCH("보류",K356)),ISNUMBER(SEARCH("미룸",K356)),ISNUMBER(SEARCH("나중에",K356)),ISNUMBER(SEARCH("보류",L356)),ISNUMBER(SEARCH("미룸",L356)),ISNUMBER(SEARCH("나중에",L356))),"보류(나중에 풀기)",IF(AND(F356="",G356="",H356="",I356=""),"미완료",IF(I356&lt;&gt;"","복습3(마스터)",IF(H356&lt;&gt;"","복습2",IF(G356&lt;&gt;"","복습1",IF(ISNUMBER(SEARCH("제미나이",K356)),"복습대기(AI도움)",IF(ISNUMBER(SEARCH("간당간당",K356)),"복습대기(간당간당)",IF(OR(ISNUMBER(SEARCH("아이디어",K356)),ISNUMBER(SEARCH("시간초과",K356)),ISNUMBER(SEARCH("자료구조",K356)),ISNUMBER(SEARCH("경계값",K356)),ISNUMBER(SEARCH("다른 풀이",K356)),ISNUMBER(SEARCH("또풀기",K356))),"복습대기",IF(OR(ISNUMBER(SEARCH("복습필요없음",K356)),ISNUMBER(SEARCH("자력완벽",K356))),"품(복습불필요)",IF(F356&lt;&gt;"","품","미완료"))))))))))</f>
        <v/>
      </c>
      <c r="K356" s="32" t="inlineStr">
        <is>
          <t>-</t>
        </is>
      </c>
      <c r="L356" s="32" t="n"/>
      <c r="M356" s="28">
        <f>IF(OR(LEFT(J356,2)="보류", LEFT(J356,4)="복습대기", LEFT(J356,3)="복습1", LEFT(J356,3)="복습2"), MAX($M$3:M355)+1, "")</f>
        <v/>
      </c>
      <c r="N356" s="28" t="inlineStr">
        <is>
          <t>W11</t>
        </is>
      </c>
      <c r="O356" s="36" t="n">
        <v>46328</v>
      </c>
      <c r="P356" s="30">
        <f>IF(F356&lt;&gt;"","✅ 완료",IF(O356="","-",IF(TODAY()&gt;O356,"🚨 지연","⏳ 예정")))</f>
        <v/>
      </c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 ht="21.75" customHeight="1" s="209">
      <c r="A357" s="28" t="n">
        <v>354</v>
      </c>
      <c r="B357" s="28" t="inlineStr">
        <is>
          <t>4131</t>
        </is>
      </c>
      <c r="C357" s="30" t="inlineStr">
        <is>
          <t>모의역량</t>
        </is>
      </c>
      <c r="D357" s="32" t="inlineStr">
        <is>
          <t>활주로 건설</t>
        </is>
      </c>
      <c r="E357" s="28" t="inlineStr">
        <is>
          <t>시뮬레이션 / 구현</t>
        </is>
      </c>
      <c r="F357" s="28" t="n"/>
      <c r="G357" s="28" t="n"/>
      <c r="H357" s="28" t="n"/>
      <c r="I357" s="28" t="n"/>
      <c r="J357" s="54">
        <f>IF(OR(ISNUMBER(SEARCH("보류",K357)),ISNUMBER(SEARCH("미룸",K357)),ISNUMBER(SEARCH("나중에",K357)),ISNUMBER(SEARCH("보류",L357)),ISNUMBER(SEARCH("미룸",L357)),ISNUMBER(SEARCH("나중에",L357))),"보류(나중에 풀기)",IF(AND(F357="",G357="",H357="",I357=""),"미완료",IF(I357&lt;&gt;"","복습3(마스터)",IF(H357&lt;&gt;"","복습2",IF(G357&lt;&gt;"","복습1",IF(ISNUMBER(SEARCH("제미나이",K357)),"복습대기(AI도움)",IF(ISNUMBER(SEARCH("간당간당",K357)),"복습대기(간당간당)",IF(OR(ISNUMBER(SEARCH("아이디어",K357)),ISNUMBER(SEARCH("시간초과",K357)),ISNUMBER(SEARCH("자료구조",K357)),ISNUMBER(SEARCH("경계값",K357)),ISNUMBER(SEARCH("다른 풀이",K357)),ISNUMBER(SEARCH("또풀기",K357))),"복습대기",IF(OR(ISNUMBER(SEARCH("복습필요없음",K357)),ISNUMBER(SEARCH("자력완벽",K357))),"품(복습불필요)",IF(F357&lt;&gt;"","품","미완료"))))))))))</f>
        <v/>
      </c>
      <c r="K357" s="32" t="inlineStr">
        <is>
          <t>-</t>
        </is>
      </c>
      <c r="L357" s="32" t="n"/>
      <c r="M357" s="28">
        <f>IF(OR(LEFT(J357,2)="보류", LEFT(J357,4)="복습대기", LEFT(J357,3)="복습1", LEFT(J357,3)="복습2"), MAX($M$3:M356)+1, "")</f>
        <v/>
      </c>
      <c r="N357" s="28" t="inlineStr">
        <is>
          <t>W11</t>
        </is>
      </c>
      <c r="O357" s="36" t="n">
        <v>46328</v>
      </c>
      <c r="P357" s="30">
        <f>IF(F357&lt;&gt;"","✅ 완료",IF(O357="","-",IF(TODAY()&gt;O357,"🚨 지연","⏳ 예정")))</f>
        <v/>
      </c>
      <c r="Q357" s="7" t="n"/>
      <c r="R357" s="7" t="n"/>
      <c r="S357" s="7" t="n"/>
      <c r="T357" s="7" t="n"/>
      <c r="U357" s="7" t="n"/>
      <c r="V357" s="7" t="n"/>
      <c r="W357" s="7" t="n"/>
      <c r="X357" s="7" t="n"/>
    </row>
    <row r="358" ht="21.75" customHeight="1" s="209">
      <c r="A358" s="28" t="n">
        <v>355</v>
      </c>
      <c r="B358" s="28" t="inlineStr">
        <is>
          <t>5644</t>
        </is>
      </c>
      <c r="C358" s="30" t="inlineStr">
        <is>
          <t>모의역량</t>
        </is>
      </c>
      <c r="D358" s="32" t="inlineStr">
        <is>
          <t>무선 충전</t>
        </is>
      </c>
      <c r="E358" s="28" t="inlineStr">
        <is>
          <t>시뮬레이션 / 완전탐색</t>
        </is>
      </c>
      <c r="F358" s="28" t="n"/>
      <c r="G358" s="28" t="n"/>
      <c r="H358" s="28" t="n"/>
      <c r="I358" s="28" t="n"/>
      <c r="J358" s="54">
        <f>IF(OR(ISNUMBER(SEARCH("보류",K358)),ISNUMBER(SEARCH("미룸",K358)),ISNUMBER(SEARCH("나중에",K358)),ISNUMBER(SEARCH("보류",L358)),ISNUMBER(SEARCH("미룸",L358)),ISNUMBER(SEARCH("나중에",L358))),"보류(나중에 풀기)",IF(AND(F358="",G358="",H358="",I358=""),"미완료",IF(I358&lt;&gt;"","복습3(마스터)",IF(H358&lt;&gt;"","복습2",IF(G358&lt;&gt;"","복습1",IF(ISNUMBER(SEARCH("제미나이",K358)),"복습대기(AI도움)",IF(ISNUMBER(SEARCH("간당간당",K358)),"복습대기(간당간당)",IF(OR(ISNUMBER(SEARCH("아이디어",K358)),ISNUMBER(SEARCH("시간초과",K358)),ISNUMBER(SEARCH("자료구조",K358)),ISNUMBER(SEARCH("경계값",K358)),ISNUMBER(SEARCH("다른 풀이",K358)),ISNUMBER(SEARCH("또풀기",K358))),"복습대기",IF(OR(ISNUMBER(SEARCH("복습필요없음",K358)),ISNUMBER(SEARCH("자력완벽",K358))),"품(복습불필요)",IF(F358&lt;&gt;"","품","미완료"))))))))))</f>
        <v/>
      </c>
      <c r="K358" s="32" t="inlineStr">
        <is>
          <t>-</t>
        </is>
      </c>
      <c r="L358" s="32" t="n"/>
      <c r="M358" s="28">
        <f>IF(OR(LEFT(J358,2)="보류", LEFT(J358,4)="복습대기", LEFT(J358,3)="복습1", LEFT(J358,3)="복습2"), MAX($M$3:M357)+1, "")</f>
        <v/>
      </c>
      <c r="N358" s="28" t="inlineStr">
        <is>
          <t>W11</t>
        </is>
      </c>
      <c r="O358" s="36" t="n">
        <v>46328</v>
      </c>
      <c r="P358" s="30">
        <f>IF(F358&lt;&gt;"","✅ 완료",IF(O358="","-",IF(TODAY()&gt;O358,"🚨 지연","⏳ 예정")))</f>
        <v/>
      </c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 ht="21.75" customHeight="1" s="209">
      <c r="A359" s="28" t="n">
        <v>356</v>
      </c>
      <c r="B359" s="28" t="inlineStr">
        <is>
          <t>5648</t>
        </is>
      </c>
      <c r="C359" s="30" t="inlineStr">
        <is>
          <t>모의역량</t>
        </is>
      </c>
      <c r="D359" s="32" t="inlineStr">
        <is>
          <t>원자 소멸 시뮬레이션</t>
        </is>
      </c>
      <c r="E359" s="28" t="inlineStr">
        <is>
          <t>시뮬레이션 (원자 소멸)</t>
        </is>
      </c>
      <c r="F359" s="28" t="n"/>
      <c r="G359" s="28" t="n"/>
      <c r="H359" s="28" t="n"/>
      <c r="I359" s="28" t="n"/>
      <c r="J359" s="54">
        <f>IF(OR(ISNUMBER(SEARCH("보류",K359)),ISNUMBER(SEARCH("미룸",K359)),ISNUMBER(SEARCH("나중에",K359)),ISNUMBER(SEARCH("보류",L359)),ISNUMBER(SEARCH("미룸",L359)),ISNUMBER(SEARCH("나중에",L359))),"보류(나중에 풀기)",IF(AND(F359="",G359="",H359="",I359=""),"미완료",IF(I359&lt;&gt;"","복습3(마스터)",IF(H359&lt;&gt;"","복습2",IF(G359&lt;&gt;"","복습1",IF(ISNUMBER(SEARCH("제미나이",K359)),"복습대기(AI도움)",IF(ISNUMBER(SEARCH("간당간당",K359)),"복습대기(간당간당)",IF(OR(ISNUMBER(SEARCH("아이디어",K359)),ISNUMBER(SEARCH("시간초과",K359)),ISNUMBER(SEARCH("자료구조",K359)),ISNUMBER(SEARCH("경계값",K359)),ISNUMBER(SEARCH("다른 풀이",K359)),ISNUMBER(SEARCH("또풀기",K359))),"복습대기",IF(OR(ISNUMBER(SEARCH("복습필요없음",K359)),ISNUMBER(SEARCH("자력완벽",K359))),"품(복습불필요)",IF(F359&lt;&gt;"","품","미완료"))))))))))</f>
        <v/>
      </c>
      <c r="K359" s="32" t="inlineStr">
        <is>
          <t>-</t>
        </is>
      </c>
      <c r="L359" s="32" t="n"/>
      <c r="M359" s="28">
        <f>IF(OR(LEFT(J359,2)="보류", LEFT(J359,4)="복습대기", LEFT(J359,3)="복습1", LEFT(J359,3)="복습2"), MAX($M$3:M358)+1, "")</f>
        <v/>
      </c>
      <c r="N359" s="28" t="inlineStr">
        <is>
          <t>W11</t>
        </is>
      </c>
      <c r="O359" s="36" t="n">
        <v>46328</v>
      </c>
      <c r="P359" s="30">
        <f>IF(F359&lt;&gt;"","✅ 완료",IF(O359="","-",IF(TODAY()&gt;O359,"🚨 지연","⏳ 예정")))</f>
        <v/>
      </c>
      <c r="Q359" s="7" t="n"/>
      <c r="R359" s="7" t="n"/>
      <c r="S359" s="7" t="n"/>
      <c r="T359" s="7" t="n"/>
      <c r="U359" s="7" t="n"/>
      <c r="V359" s="7" t="n"/>
      <c r="W359" s="7" t="n"/>
      <c r="X359" s="7" t="n"/>
    </row>
    <row r="360" ht="21.75" customHeight="1" s="209">
      <c r="A360" s="28" t="n">
        <v>357</v>
      </c>
      <c r="B360" s="28" t="inlineStr">
        <is>
          <t>5650</t>
        </is>
      </c>
      <c r="C360" s="30" t="inlineStr">
        <is>
          <t>모의역량</t>
        </is>
      </c>
      <c r="D360" s="32" t="inlineStr">
        <is>
          <t>핀볼 게임</t>
        </is>
      </c>
      <c r="E360" s="28" t="inlineStr">
        <is>
          <t>시뮬레이션 (핀볼 게임)</t>
        </is>
      </c>
      <c r="F360" s="28" t="n"/>
      <c r="G360" s="28" t="n"/>
      <c r="H360" s="28" t="n"/>
      <c r="I360" s="28" t="n"/>
      <c r="J360" s="54">
        <f>IF(OR(ISNUMBER(SEARCH("보류",K360)),ISNUMBER(SEARCH("미룸",K360)),ISNUMBER(SEARCH("나중에",K360)),ISNUMBER(SEARCH("보류",L360)),ISNUMBER(SEARCH("미룸",L360)),ISNUMBER(SEARCH("나중에",L360))),"보류(나중에 풀기)",IF(AND(F360="",G360="",H360="",I360=""),"미완료",IF(I360&lt;&gt;"","복습3(마스터)",IF(H360&lt;&gt;"","복습2",IF(G360&lt;&gt;"","복습1",IF(ISNUMBER(SEARCH("제미나이",K360)),"복습대기(AI도움)",IF(ISNUMBER(SEARCH("간당간당",K360)),"복습대기(간당간당)",IF(OR(ISNUMBER(SEARCH("아이디어",K360)),ISNUMBER(SEARCH("시간초과",K360)),ISNUMBER(SEARCH("자료구조",K360)),ISNUMBER(SEARCH("경계값",K360)),ISNUMBER(SEARCH("다른 풀이",K360)),ISNUMBER(SEARCH("또풀기",K360))),"복습대기",IF(OR(ISNUMBER(SEARCH("복습필요없음",K360)),ISNUMBER(SEARCH("자력완벽",K360))),"품(복습불필요)",IF(F360&lt;&gt;"","품","미완료"))))))))))</f>
        <v/>
      </c>
      <c r="K360" s="32" t="inlineStr">
        <is>
          <t>-</t>
        </is>
      </c>
      <c r="L360" s="32" t="n"/>
      <c r="M360" s="28">
        <f>IF(OR(LEFT(J360,2)="보류", LEFT(J360,4)="복습대기", LEFT(J360,3)="복습1", LEFT(J360,3)="복습2"), MAX($M$3:M359)+1, "")</f>
        <v/>
      </c>
      <c r="N360" s="28" t="inlineStr">
        <is>
          <t>W11</t>
        </is>
      </c>
      <c r="O360" s="36" t="n">
        <v>46328</v>
      </c>
      <c r="P360" s="30">
        <f>IF(F360&lt;&gt;"","✅ 완료",IF(O360="","-",IF(TODAY()&gt;O360,"🚨 지연","⏳ 예정")))</f>
        <v/>
      </c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 ht="21.75" customHeight="1" s="209">
      <c r="A361" s="28" t="n">
        <v>358</v>
      </c>
      <c r="B361" s="28" t="inlineStr">
        <is>
          <t>5653</t>
        </is>
      </c>
      <c r="C361" s="30" t="inlineStr">
        <is>
          <t>모의역량</t>
        </is>
      </c>
      <c r="D361" s="32" t="inlineStr">
        <is>
          <t>줄기세포배양</t>
        </is>
      </c>
      <c r="E361" s="28" t="inlineStr">
        <is>
          <t>시뮬레이션 / 우선순위큐</t>
        </is>
      </c>
      <c r="F361" s="28" t="n"/>
      <c r="G361" s="28" t="n"/>
      <c r="H361" s="28" t="n"/>
      <c r="I361" s="28" t="n"/>
      <c r="J361" s="54">
        <f>IF(OR(ISNUMBER(SEARCH("보류",K361)),ISNUMBER(SEARCH("미룸",K361)),ISNUMBER(SEARCH("나중에",K361)),ISNUMBER(SEARCH("보류",L361)),ISNUMBER(SEARCH("미룸",L361)),ISNUMBER(SEARCH("나중에",L361))),"보류(나중에 풀기)",IF(AND(F361="",G361="",H361="",I361=""),"미완료",IF(I361&lt;&gt;"","복습3(마스터)",IF(H361&lt;&gt;"","복습2",IF(G361&lt;&gt;"","복습1",IF(ISNUMBER(SEARCH("제미나이",K361)),"복습대기(AI도움)",IF(ISNUMBER(SEARCH("간당간당",K361)),"복습대기(간당간당)",IF(OR(ISNUMBER(SEARCH("아이디어",K361)),ISNUMBER(SEARCH("시간초과",K361)),ISNUMBER(SEARCH("자료구조",K361)),ISNUMBER(SEARCH("경계값",K361)),ISNUMBER(SEARCH("다른 풀이",K361)),ISNUMBER(SEARCH("또풀기",K361))),"복습대기",IF(OR(ISNUMBER(SEARCH("복습필요없음",K361)),ISNUMBER(SEARCH("자력완벽",K361))),"품(복습불필요)",IF(F361&lt;&gt;"","품","미완료"))))))))))</f>
        <v/>
      </c>
      <c r="K361" s="32" t="inlineStr">
        <is>
          <t>-</t>
        </is>
      </c>
      <c r="L361" s="32" t="n"/>
      <c r="M361" s="28">
        <f>IF(OR(LEFT(J361,2)="보류", LEFT(J361,4)="복습대기", LEFT(J361,3)="복습1", LEFT(J361,3)="복습2"), MAX($M$3:M360)+1, "")</f>
        <v/>
      </c>
      <c r="N361" s="28" t="inlineStr">
        <is>
          <t>W11</t>
        </is>
      </c>
      <c r="O361" s="36" t="n">
        <v>46329</v>
      </c>
      <c r="P361" s="30">
        <f>IF(F361&lt;&gt;"","✅ 완료",IF(O361="","-",IF(TODAY()&gt;O361,"🚨 지연","⏳ 예정")))</f>
        <v/>
      </c>
      <c r="Q361" s="7" t="n"/>
      <c r="R361" s="7" t="n"/>
      <c r="S361" s="7" t="n"/>
      <c r="T361" s="7" t="n"/>
      <c r="U361" s="7" t="n"/>
      <c r="V361" s="7" t="n"/>
      <c r="W361" s="7" t="n"/>
      <c r="X361" s="7" t="n"/>
    </row>
    <row r="362" ht="21.75" customHeight="1" s="209">
      <c r="A362" s="28" t="n">
        <v>359</v>
      </c>
      <c r="B362" s="28" t="inlineStr">
        <is>
          <t>5656</t>
        </is>
      </c>
      <c r="C362" s="30" t="inlineStr">
        <is>
          <t>모의역량</t>
        </is>
      </c>
      <c r="D362" s="32" t="inlineStr">
        <is>
          <t>벽돌 깨기</t>
        </is>
      </c>
      <c r="E362" s="28" t="inlineStr">
        <is>
          <t>DFS / 시뮬레이션</t>
        </is>
      </c>
      <c r="F362" s="28" t="n"/>
      <c r="G362" s="28" t="n"/>
      <c r="H362" s="28" t="n"/>
      <c r="I362" s="28" t="n"/>
      <c r="J362" s="54">
        <f>IF(OR(ISNUMBER(SEARCH("보류",K362)),ISNUMBER(SEARCH("미룸",K362)),ISNUMBER(SEARCH("나중에",K362)),ISNUMBER(SEARCH("보류",L362)),ISNUMBER(SEARCH("미룸",L362)),ISNUMBER(SEARCH("나중에",L362))),"보류(나중에 풀기)",IF(AND(F362="",G362="",H362="",I362=""),"미완료",IF(I362&lt;&gt;"","복습3(마스터)",IF(H362&lt;&gt;"","복습2",IF(G362&lt;&gt;"","복습1",IF(ISNUMBER(SEARCH("제미나이",K362)),"복습대기(AI도움)",IF(ISNUMBER(SEARCH("간당간당",K362)),"복습대기(간당간당)",IF(OR(ISNUMBER(SEARCH("아이디어",K362)),ISNUMBER(SEARCH("시간초과",K362)),ISNUMBER(SEARCH("자료구조",K362)),ISNUMBER(SEARCH("경계값",K362)),ISNUMBER(SEARCH("다른 풀이",K362)),ISNUMBER(SEARCH("또풀기",K362))),"복습대기",IF(OR(ISNUMBER(SEARCH("복습필요없음",K362)),ISNUMBER(SEARCH("자력완벽",K362))),"품(복습불필요)",IF(F362&lt;&gt;"","품","미완료"))))))))))</f>
        <v/>
      </c>
      <c r="K362" s="32" t="inlineStr">
        <is>
          <t>-</t>
        </is>
      </c>
      <c r="L362" s="32" t="n"/>
      <c r="M362" s="28">
        <f>IF(OR(LEFT(J362,2)="보류", LEFT(J362,4)="복습대기", LEFT(J362,3)="복습1", LEFT(J362,3)="복습2"), MAX($M$3:M361)+1, "")</f>
        <v/>
      </c>
      <c r="N362" s="28" t="inlineStr">
        <is>
          <t>W11</t>
        </is>
      </c>
      <c r="O362" s="36" t="n">
        <v>46329</v>
      </c>
      <c r="P362" s="30">
        <f>IF(F362&lt;&gt;"","✅ 완료",IF(O362="","-",IF(TODAY()&gt;O362,"🚨 지연","⏳ 예정")))</f>
        <v/>
      </c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 ht="21.75" customHeight="1" s="209">
      <c r="A363" s="28" t="n">
        <v>360</v>
      </c>
      <c r="B363" s="28" t="inlineStr">
        <is>
          <t>5658</t>
        </is>
      </c>
      <c r="C363" s="30" t="inlineStr">
        <is>
          <t>모의역량</t>
        </is>
      </c>
      <c r="D363" s="32" t="inlineStr">
        <is>
          <t>보물상자 비밀번호</t>
        </is>
      </c>
      <c r="E363" s="28" t="inlineStr">
        <is>
          <t>문자열 / 슬라이딩윈도우</t>
        </is>
      </c>
      <c r="F363" s="28" t="n"/>
      <c r="G363" s="28" t="n"/>
      <c r="H363" s="28" t="n"/>
      <c r="I363" s="28" t="n"/>
      <c r="J363" s="54">
        <f>IF(OR(ISNUMBER(SEARCH("보류",K363)),ISNUMBER(SEARCH("미룸",K363)),ISNUMBER(SEARCH("나중에",K363)),ISNUMBER(SEARCH("보류",L363)),ISNUMBER(SEARCH("미룸",L363)),ISNUMBER(SEARCH("나중에",L363))),"보류(나중에 풀기)",IF(AND(F363="",G363="",H363="",I363=""),"미완료",IF(I363&lt;&gt;"","복습3(마스터)",IF(H363&lt;&gt;"","복습2",IF(G363&lt;&gt;"","복습1",IF(ISNUMBER(SEARCH("제미나이",K363)),"복습대기(AI도움)",IF(ISNUMBER(SEARCH("간당간당",K363)),"복습대기(간당간당)",IF(OR(ISNUMBER(SEARCH("아이디어",K363)),ISNUMBER(SEARCH("시간초과",K363)),ISNUMBER(SEARCH("자료구조",K363)),ISNUMBER(SEARCH("경계값",K363)),ISNUMBER(SEARCH("다른 풀이",K363)),ISNUMBER(SEARCH("또풀기",K363))),"복습대기",IF(OR(ISNUMBER(SEARCH("복습필요없음",K363)),ISNUMBER(SEARCH("자력완벽",K363))),"품(복습불필요)",IF(F363&lt;&gt;"","품","미완료"))))))))))</f>
        <v/>
      </c>
      <c r="K363" s="32" t="inlineStr">
        <is>
          <t>-</t>
        </is>
      </c>
      <c r="L363" s="32" t="n"/>
      <c r="M363" s="28">
        <f>IF(OR(LEFT(J363,2)="보류", LEFT(J363,4)="복습대기", LEFT(J363,3)="복습1", LEFT(J363,3)="복습2"), MAX($M$3:M362)+1, "")</f>
        <v/>
      </c>
      <c r="N363" s="28" t="inlineStr">
        <is>
          <t>W11</t>
        </is>
      </c>
      <c r="O363" s="36" t="n">
        <v>46329</v>
      </c>
      <c r="P363" s="30">
        <f>IF(F363&lt;&gt;"","✅ 완료",IF(O363="","-",IF(TODAY()&gt;O363,"🚨 지연","⏳ 예정")))</f>
        <v/>
      </c>
      <c r="Q363" s="7" t="n"/>
      <c r="R363" s="7" t="n"/>
      <c r="S363" s="7" t="n"/>
      <c r="T363" s="7" t="n"/>
      <c r="U363" s="7" t="n"/>
      <c r="V363" s="7" t="n"/>
      <c r="W363" s="7" t="n"/>
      <c r="X363" s="7" t="n"/>
    </row>
    <row r="364" ht="21.75" customHeight="1" s="209">
      <c r="A364" s="28" t="n">
        <v>361</v>
      </c>
      <c r="B364" s="28" t="inlineStr">
        <is>
          <t>1238</t>
        </is>
      </c>
      <c r="C364" s="30" t="inlineStr">
        <is>
          <t>D4</t>
        </is>
      </c>
      <c r="D364" s="32" t="inlineStr">
        <is>
          <t>Contact</t>
        </is>
      </c>
      <c r="E364" s="28" t="inlineStr">
        <is>
          <t>BFS (너비우선탐색)</t>
        </is>
      </c>
      <c r="F364" s="28" t="n"/>
      <c r="G364" s="28" t="n"/>
      <c r="H364" s="28" t="n"/>
      <c r="I364" s="28" t="n"/>
      <c r="J364" s="54">
        <f>IF(OR(ISNUMBER(SEARCH("보류",K364)),ISNUMBER(SEARCH("미룸",K364)),ISNUMBER(SEARCH("나중에",K364)),ISNUMBER(SEARCH("보류",L364)),ISNUMBER(SEARCH("미룸",L364)),ISNUMBER(SEARCH("나중에",L364))),"보류(나중에 풀기)",IF(AND(F364="",G364="",H364="",I364=""),"미완료",IF(I364&lt;&gt;"","복습3(마스터)",IF(H364&lt;&gt;"","복습2",IF(G364&lt;&gt;"","복습1",IF(ISNUMBER(SEARCH("제미나이",K364)),"복습대기(AI도움)",IF(ISNUMBER(SEARCH("간당간당",K364)),"복습대기(간당간당)",IF(OR(ISNUMBER(SEARCH("아이디어",K364)),ISNUMBER(SEARCH("시간초과",K364)),ISNUMBER(SEARCH("자료구조",K364)),ISNUMBER(SEARCH("경계값",K364)),ISNUMBER(SEARCH("다른 풀이",K364)),ISNUMBER(SEARCH("또풀기",K364))),"복습대기",IF(OR(ISNUMBER(SEARCH("복습필요없음",K364)),ISNUMBER(SEARCH("자력완벽",K364))),"품(복습불필요)",IF(F364&lt;&gt;"","품","미완료"))))))))))</f>
        <v/>
      </c>
      <c r="K364" s="32" t="inlineStr">
        <is>
          <t>-</t>
        </is>
      </c>
      <c r="L364" s="32" t="n"/>
      <c r="M364" s="28">
        <f>IF(OR(LEFT(J364,2)="보류", LEFT(J364,4)="복습대기", LEFT(J364,3)="복습1", LEFT(J364,3)="복습2"), MAX($M$3:M363)+1, "")</f>
        <v/>
      </c>
      <c r="N364" s="28" t="inlineStr">
        <is>
          <t>W11</t>
        </is>
      </c>
      <c r="O364" s="36" t="n">
        <v>46329</v>
      </c>
      <c r="P364" s="30">
        <f>IF(F364&lt;&gt;"","✅ 완료",IF(O364="","-",IF(TODAY()&gt;O364,"🚨 지연","⏳ 예정")))</f>
        <v/>
      </c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 ht="21.75" customHeight="1" s="209">
      <c r="A365" s="28" t="n">
        <v>362</v>
      </c>
      <c r="B365" s="28" t="inlineStr">
        <is>
          <t>1767</t>
        </is>
      </c>
      <c r="C365" s="30" t="inlineStr">
        <is>
          <t>D4</t>
        </is>
      </c>
      <c r="D365" s="32" t="inlineStr">
        <is>
          <t>프로세서 연결하기</t>
        </is>
      </c>
      <c r="E365" s="28" t="inlineStr">
        <is>
          <t>DFS / 백트래킹 (프로세서)</t>
        </is>
      </c>
      <c r="F365" s="28" t="n"/>
      <c r="G365" s="28" t="n"/>
      <c r="H365" s="28" t="n"/>
      <c r="I365" s="28" t="n"/>
      <c r="J365" s="54">
        <f>IF(OR(ISNUMBER(SEARCH("보류",K365)),ISNUMBER(SEARCH("미룸",K365)),ISNUMBER(SEARCH("나중에",K365)),ISNUMBER(SEARCH("보류",L365)),ISNUMBER(SEARCH("미룸",L365)),ISNUMBER(SEARCH("나중에",L365))),"보류(나중에 풀기)",IF(AND(F365="",G365="",H365="",I365=""),"미완료",IF(I365&lt;&gt;"","복습3(마스터)",IF(H365&lt;&gt;"","복습2",IF(G365&lt;&gt;"","복습1",IF(ISNUMBER(SEARCH("제미나이",K365)),"복습대기(AI도움)",IF(ISNUMBER(SEARCH("간당간당",K365)),"복습대기(간당간당)",IF(OR(ISNUMBER(SEARCH("아이디어",K365)),ISNUMBER(SEARCH("시간초과",K365)),ISNUMBER(SEARCH("자료구조",K365)),ISNUMBER(SEARCH("경계값",K365)),ISNUMBER(SEARCH("다른 풀이",K365)),ISNUMBER(SEARCH("또풀기",K365))),"복습대기",IF(OR(ISNUMBER(SEARCH("복습필요없음",K365)),ISNUMBER(SEARCH("자력완벽",K365))),"품(복습불필요)",IF(F365&lt;&gt;"","품","미완료"))))))))))</f>
        <v/>
      </c>
      <c r="K365" s="32" t="inlineStr">
        <is>
          <t>-</t>
        </is>
      </c>
      <c r="L365" s="32" t="n"/>
      <c r="M365" s="28">
        <f>IF(OR(LEFT(J365,2)="보류", LEFT(J365,4)="복습대기", LEFT(J365,3)="복습1", LEFT(J365,3)="복습2"), MAX($M$3:M364)+1, "")</f>
        <v/>
      </c>
      <c r="N365" s="28" t="inlineStr">
        <is>
          <t>W11</t>
        </is>
      </c>
      <c r="O365" s="36" t="n">
        <v>46329</v>
      </c>
      <c r="P365" s="30">
        <f>IF(F365&lt;&gt;"","✅ 완료",IF(O365="","-",IF(TODAY()&gt;O365,"🚨 지연","⏳ 예정")))</f>
        <v/>
      </c>
      <c r="Q365" s="7" t="n"/>
      <c r="R365" s="7" t="n"/>
      <c r="S365" s="7" t="n"/>
      <c r="T365" s="7" t="n"/>
      <c r="U365" s="7" t="n"/>
      <c r="V365" s="7" t="n"/>
      <c r="W365" s="7" t="n"/>
      <c r="X365" s="7" t="n"/>
    </row>
    <row r="366" ht="21.75" customHeight="1" s="209">
      <c r="A366" s="28" t="n">
        <v>363</v>
      </c>
      <c r="B366" s="28" t="inlineStr">
        <is>
          <t>3952</t>
        </is>
      </c>
      <c r="C366" s="30" t="inlineStr">
        <is>
          <t>D4</t>
        </is>
      </c>
      <c r="D366" s="32" t="inlineStr">
        <is>
          <t>줄 세우기</t>
        </is>
      </c>
      <c r="E366" s="28" t="inlineStr">
        <is>
          <t>DFS / BFS / 백트래킹</t>
        </is>
      </c>
      <c r="F366" s="28" t="n"/>
      <c r="G366" s="28" t="n"/>
      <c r="H366" s="28" t="n"/>
      <c r="I366" s="28" t="n"/>
      <c r="J366" s="54">
        <f>IF(OR(ISNUMBER(SEARCH("보류",K366)),ISNUMBER(SEARCH("미룸",K366)),ISNUMBER(SEARCH("나중에",K366)),ISNUMBER(SEARCH("보류",L366)),ISNUMBER(SEARCH("미룸",L366)),ISNUMBER(SEARCH("나중에",L366))),"보류(나중에 풀기)",IF(AND(F366="",G366="",H366="",I366=""),"미완료",IF(I366&lt;&gt;"","복습3(마스터)",IF(H366&lt;&gt;"","복습2",IF(G366&lt;&gt;"","복습1",IF(ISNUMBER(SEARCH("제미나이",K366)),"복습대기(AI도움)",IF(ISNUMBER(SEARCH("간당간당",K366)),"복습대기(간당간당)",IF(OR(ISNUMBER(SEARCH("아이디어",K366)),ISNUMBER(SEARCH("시간초과",K366)),ISNUMBER(SEARCH("자료구조",K366)),ISNUMBER(SEARCH("경계값",K366)),ISNUMBER(SEARCH("다른 풀이",K366)),ISNUMBER(SEARCH("또풀기",K366))),"복습대기",IF(OR(ISNUMBER(SEARCH("복습필요없음",K366)),ISNUMBER(SEARCH("자력완벽",K366))),"품(복습불필요)",IF(F366&lt;&gt;"","품","미완료"))))))))))</f>
        <v/>
      </c>
      <c r="K366" s="32" t="inlineStr">
        <is>
          <t>-</t>
        </is>
      </c>
      <c r="L366" s="32" t="n"/>
      <c r="M366" s="28">
        <f>IF(OR(LEFT(J366,2)="보류", LEFT(J366,4)="복습대기", LEFT(J366,3)="복습1", LEFT(J366,3)="복습2"), MAX($M$3:M365)+1, "")</f>
        <v/>
      </c>
      <c r="N366" s="28" t="inlineStr">
        <is>
          <t>W11</t>
        </is>
      </c>
      <c r="O366" s="36" t="n">
        <v>46329</v>
      </c>
      <c r="P366" s="30">
        <f>IF(F366&lt;&gt;"","✅ 완료",IF(O366="","-",IF(TODAY()&gt;O366,"🚨 지연","⏳ 예정")))</f>
        <v/>
      </c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 ht="21.75" customHeight="1" s="209">
      <c r="A367" s="28" t="n">
        <v>364</v>
      </c>
      <c r="B367" s="28" t="inlineStr">
        <is>
          <t>4613</t>
        </is>
      </c>
      <c r="C367" s="30" t="inlineStr">
        <is>
          <t>D4</t>
        </is>
      </c>
      <c r="D367" s="32" t="inlineStr">
        <is>
          <t>러시아 국기 같은 깃발</t>
        </is>
      </c>
      <c r="E367" s="28" t="inlineStr">
        <is>
          <t>DFS / BFS / 백트래킹</t>
        </is>
      </c>
      <c r="F367" s="28" t="n"/>
      <c r="G367" s="28" t="n"/>
      <c r="H367" s="28" t="n"/>
      <c r="I367" s="28" t="n"/>
      <c r="J367" s="54">
        <f>IF(OR(ISNUMBER(SEARCH("보류",K367)),ISNUMBER(SEARCH("미룸",K367)),ISNUMBER(SEARCH("나중에",K367)),ISNUMBER(SEARCH("보류",L367)),ISNUMBER(SEARCH("미룸",L367)),ISNUMBER(SEARCH("나중에",L367))),"보류(나중에 풀기)",IF(AND(F367="",G367="",H367="",I367=""),"미완료",IF(I367&lt;&gt;"","복습3(마스터)",IF(H367&lt;&gt;"","복습2",IF(G367&lt;&gt;"","복습1",IF(ISNUMBER(SEARCH("제미나이",K367)),"복습대기(AI도움)",IF(ISNUMBER(SEARCH("간당간당",K367)),"복습대기(간당간당)",IF(OR(ISNUMBER(SEARCH("아이디어",K367)),ISNUMBER(SEARCH("시간초과",K367)),ISNUMBER(SEARCH("자료구조",K367)),ISNUMBER(SEARCH("경계값",K367)),ISNUMBER(SEARCH("다른 풀이",K367)),ISNUMBER(SEARCH("또풀기",K367))),"복습대기",IF(OR(ISNUMBER(SEARCH("복습필요없음",K367)),ISNUMBER(SEARCH("자력완벽",K367))),"품(복습불필요)",IF(F367&lt;&gt;"","품","미완료"))))))))))</f>
        <v/>
      </c>
      <c r="K367" s="32" t="inlineStr">
        <is>
          <t>-</t>
        </is>
      </c>
      <c r="L367" s="32" t="n"/>
      <c r="M367" s="28">
        <f>IF(OR(LEFT(J367,2)="보류", LEFT(J367,4)="복습대기", LEFT(J367,3)="복습1", LEFT(J367,3)="복습2"), MAX($M$3:M366)+1, "")</f>
        <v/>
      </c>
      <c r="N367" s="28" t="inlineStr">
        <is>
          <t>W11</t>
        </is>
      </c>
      <c r="O367" s="36" t="n">
        <v>46329</v>
      </c>
      <c r="P367" s="30">
        <f>IF(F367&lt;&gt;"","✅ 완료",IF(O367="","-",IF(TODAY()&gt;O367,"🚨 지연","⏳ 예정")))</f>
        <v/>
      </c>
      <c r="Q367" s="7" t="n"/>
      <c r="R367" s="7" t="n"/>
      <c r="S367" s="7" t="n"/>
      <c r="T367" s="7" t="n"/>
      <c r="U367" s="7" t="n"/>
      <c r="V367" s="7" t="n"/>
      <c r="W367" s="7" t="n"/>
      <c r="X367" s="7" t="n"/>
    </row>
    <row r="368" ht="21.75" customHeight="1" s="209">
      <c r="A368" s="28" t="n">
        <v>365</v>
      </c>
      <c r="B368" s="28" t="inlineStr">
        <is>
          <t>5643</t>
        </is>
      </c>
      <c r="C368" s="30" t="inlineStr">
        <is>
          <t>D4</t>
        </is>
      </c>
      <c r="D368" s="32" t="inlineStr">
        <is>
          <t>키 순서</t>
        </is>
      </c>
      <c r="E368" s="28" t="inlineStr">
        <is>
          <t>그래프 / BFS/DFS (키 순서)</t>
        </is>
      </c>
      <c r="F368" s="28" t="n"/>
      <c r="G368" s="28" t="n"/>
      <c r="H368" s="28" t="n"/>
      <c r="I368" s="28" t="n"/>
      <c r="J368" s="54">
        <f>IF(OR(ISNUMBER(SEARCH("보류",K368)),ISNUMBER(SEARCH("미룸",K368)),ISNUMBER(SEARCH("나중에",K368)),ISNUMBER(SEARCH("보류",L368)),ISNUMBER(SEARCH("미룸",L368)),ISNUMBER(SEARCH("나중에",L368))),"보류(나중에 풀기)",IF(AND(F368="",G368="",H368="",I368=""),"미완료",IF(I368&lt;&gt;"","복습3(마스터)",IF(H368&lt;&gt;"","복습2",IF(G368&lt;&gt;"","복습1",IF(ISNUMBER(SEARCH("제미나이",K368)),"복습대기(AI도움)",IF(ISNUMBER(SEARCH("간당간당",K368)),"복습대기(간당간당)",IF(OR(ISNUMBER(SEARCH("아이디어",K368)),ISNUMBER(SEARCH("시간초과",K368)),ISNUMBER(SEARCH("자료구조",K368)),ISNUMBER(SEARCH("경계값",K368)),ISNUMBER(SEARCH("다른 풀이",K368)),ISNUMBER(SEARCH("또풀기",K368))),"복습대기",IF(OR(ISNUMBER(SEARCH("복습필요없음",K368)),ISNUMBER(SEARCH("자력완벽",K368))),"품(복습불필요)",IF(F368&lt;&gt;"","품","미완료"))))))))))</f>
        <v/>
      </c>
      <c r="K368" s="32" t="inlineStr">
        <is>
          <t>-</t>
        </is>
      </c>
      <c r="L368" s="32" t="n"/>
      <c r="M368" s="28">
        <f>IF(OR(LEFT(J368,2)="보류", LEFT(J368,4)="복습대기", LEFT(J368,3)="복습1", LEFT(J368,3)="복습2"), MAX($M$3:M367)+1, "")</f>
        <v/>
      </c>
      <c r="N368" s="28" t="inlineStr">
        <is>
          <t>W11</t>
        </is>
      </c>
      <c r="O368" s="36" t="n">
        <v>46330</v>
      </c>
      <c r="P368" s="30">
        <f>IF(F368&lt;&gt;"","✅ 완료",IF(O368="","-",IF(TODAY()&gt;O368,"🚨 지연","⏳ 예정")))</f>
        <v/>
      </c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 ht="21.75" customHeight="1" s="209">
      <c r="A369" s="28" t="n">
        <v>366</v>
      </c>
      <c r="B369" s="28" t="inlineStr">
        <is>
          <t>7733</t>
        </is>
      </c>
      <c r="C369" s="30" t="inlineStr">
        <is>
          <t>D4</t>
        </is>
      </c>
      <c r="D369" s="32" t="inlineStr">
        <is>
          <t>치즈 도둑</t>
        </is>
      </c>
      <c r="E369" s="28" t="inlineStr">
        <is>
          <t>DFS / BFS / 백트래킹</t>
        </is>
      </c>
      <c r="F369" s="28" t="n"/>
      <c r="G369" s="28" t="n"/>
      <c r="H369" s="28" t="n"/>
      <c r="I369" s="28" t="n"/>
      <c r="J369" s="54">
        <f>IF(OR(ISNUMBER(SEARCH("보류",K369)),ISNUMBER(SEARCH("미룸",K369)),ISNUMBER(SEARCH("나중에",K369)),ISNUMBER(SEARCH("보류",L369)),ISNUMBER(SEARCH("미룸",L369)),ISNUMBER(SEARCH("나중에",L369))),"보류(나중에 풀기)",IF(AND(F369="",G369="",H369="",I369=""),"미완료",IF(I369&lt;&gt;"","복습3(마스터)",IF(H369&lt;&gt;"","복습2",IF(G369&lt;&gt;"","복습1",IF(ISNUMBER(SEARCH("제미나이",K369)),"복습대기(AI도움)",IF(ISNUMBER(SEARCH("간당간당",K369)),"복습대기(간당간당)",IF(OR(ISNUMBER(SEARCH("아이디어",K369)),ISNUMBER(SEARCH("시간초과",K369)),ISNUMBER(SEARCH("자료구조",K369)),ISNUMBER(SEARCH("경계값",K369)),ISNUMBER(SEARCH("다른 풀이",K369)),ISNUMBER(SEARCH("또풀기",K369))),"복습대기",IF(OR(ISNUMBER(SEARCH("복습필요없음",K369)),ISNUMBER(SEARCH("자력완벽",K369))),"품(복습불필요)",IF(F369&lt;&gt;"","품","미완료"))))))))))</f>
        <v/>
      </c>
      <c r="K369" s="32" t="inlineStr">
        <is>
          <t>-</t>
        </is>
      </c>
      <c r="L369" s="32" t="n"/>
      <c r="M369" s="28">
        <f>IF(OR(LEFT(J369,2)="보류", LEFT(J369,4)="복습대기", LEFT(J369,3)="복습1", LEFT(J369,3)="복습2"), MAX($M$3:M368)+1, "")</f>
        <v/>
      </c>
      <c r="N369" s="28" t="inlineStr">
        <is>
          <t>W11</t>
        </is>
      </c>
      <c r="O369" s="36" t="n">
        <v>46330</v>
      </c>
      <c r="P369" s="30">
        <f>IF(F369&lt;&gt;"","✅ 완료",IF(O369="","-",IF(TODAY()&gt;O369,"🚨 지연","⏳ 예정")))</f>
        <v/>
      </c>
      <c r="Q369" s="7" t="n"/>
      <c r="R369" s="7" t="n"/>
      <c r="S369" s="7" t="n"/>
      <c r="T369" s="7" t="n"/>
      <c r="U369" s="7" t="n"/>
      <c r="V369" s="7" t="n"/>
      <c r="W369" s="7" t="n"/>
      <c r="X369" s="7" t="n"/>
    </row>
    <row r="370" ht="21.75" customHeight="1" s="209">
      <c r="A370" s="28" t="n">
        <v>367</v>
      </c>
      <c r="B370" s="28" t="inlineStr">
        <is>
          <t>8275</t>
        </is>
      </c>
      <c r="C370" s="30" t="inlineStr">
        <is>
          <t>D4</t>
        </is>
      </c>
      <c r="D370" s="32" t="inlineStr">
        <is>
          <t>햄스터</t>
        </is>
      </c>
      <c r="E370" s="28" t="inlineStr">
        <is>
          <t>DFS / BFS / 백트래킹</t>
        </is>
      </c>
      <c r="F370" s="28" t="n"/>
      <c r="G370" s="28" t="n"/>
      <c r="H370" s="28" t="n"/>
      <c r="I370" s="28" t="n"/>
      <c r="J370" s="54">
        <f>IF(OR(ISNUMBER(SEARCH("보류",K370)),ISNUMBER(SEARCH("미룸",K370)),ISNUMBER(SEARCH("나중에",K370)),ISNUMBER(SEARCH("보류",L370)),ISNUMBER(SEARCH("미룸",L370)),ISNUMBER(SEARCH("나중에",L370))),"보류(나중에 풀기)",IF(AND(F370="",G370="",H370="",I370=""),"미완료",IF(I370&lt;&gt;"","복습3(마스터)",IF(H370&lt;&gt;"","복습2",IF(G370&lt;&gt;"","복습1",IF(ISNUMBER(SEARCH("제미나이",K370)),"복습대기(AI도움)",IF(ISNUMBER(SEARCH("간당간당",K370)),"복습대기(간당간당)",IF(OR(ISNUMBER(SEARCH("아이디어",K370)),ISNUMBER(SEARCH("시간초과",K370)),ISNUMBER(SEARCH("자료구조",K370)),ISNUMBER(SEARCH("경계값",K370)),ISNUMBER(SEARCH("다른 풀이",K370)),ISNUMBER(SEARCH("또풀기",K370))),"복습대기",IF(OR(ISNUMBER(SEARCH("복습필요없음",K370)),ISNUMBER(SEARCH("자력완벽",K370))),"품(복습불필요)",IF(F370&lt;&gt;"","품","미완료"))))))))))</f>
        <v/>
      </c>
      <c r="K370" s="32" t="inlineStr">
        <is>
          <t>-</t>
        </is>
      </c>
      <c r="L370" s="32" t="n"/>
      <c r="M370" s="28">
        <f>IF(OR(LEFT(J370,2)="보류", LEFT(J370,4)="복습대기", LEFT(J370,3)="복습1", LEFT(J370,3)="복습2"), MAX($M$3:M369)+1, "")</f>
        <v/>
      </c>
      <c r="N370" s="28" t="inlineStr">
        <is>
          <t>W11</t>
        </is>
      </c>
      <c r="O370" s="36" t="n">
        <v>46330</v>
      </c>
      <c r="P370" s="30">
        <f>IF(F370&lt;&gt;"","✅ 완료",IF(O370="","-",IF(TODAY()&gt;O370,"🚨 지연","⏳ 예정")))</f>
        <v/>
      </c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t="21.75" customHeight="1" s="209">
      <c r="A371" s="28" t="n">
        <v>368</v>
      </c>
      <c r="B371" s="28" t="inlineStr">
        <is>
          <t>26951</t>
        </is>
      </c>
      <c r="C371" s="30" t="inlineStr">
        <is>
          <t>D4</t>
        </is>
      </c>
      <c r="D371" s="32" t="inlineStr">
        <is>
          <t>마을 상수도 배관망 최소 공사비</t>
        </is>
      </c>
      <c r="E371" s="28" t="inlineStr">
        <is>
          <t>DFS / BFS / 백트래킹</t>
        </is>
      </c>
      <c r="F371" s="28" t="n"/>
      <c r="G371" s="28" t="n"/>
      <c r="H371" s="28" t="n"/>
      <c r="I371" s="28" t="n"/>
      <c r="J371" s="54">
        <f>IF(OR(ISNUMBER(SEARCH("보류",K371)),ISNUMBER(SEARCH("미룸",K371)),ISNUMBER(SEARCH("나중에",K371)),ISNUMBER(SEARCH("보류",L371)),ISNUMBER(SEARCH("미룸",L371)),ISNUMBER(SEARCH("나중에",L371))),"보류(나중에 풀기)",IF(AND(F371="",G371="",H371="",I371=""),"미완료",IF(I371&lt;&gt;"","복습3(마스터)",IF(H371&lt;&gt;"","복습2",IF(G371&lt;&gt;"","복습1",IF(ISNUMBER(SEARCH("제미나이",K371)),"복습대기(AI도움)",IF(ISNUMBER(SEARCH("간당간당",K371)),"복습대기(간당간당)",IF(OR(ISNUMBER(SEARCH("아이디어",K371)),ISNUMBER(SEARCH("시간초과",K371)),ISNUMBER(SEARCH("자료구조",K371)),ISNUMBER(SEARCH("경계값",K371)),ISNUMBER(SEARCH("다른 풀이",K371)),ISNUMBER(SEARCH("또풀기",K371))),"복습대기",IF(OR(ISNUMBER(SEARCH("복습필요없음",K371)),ISNUMBER(SEARCH("자력완벽",K371))),"품(복습불필요)",IF(F371&lt;&gt;"","품","미완료"))))))))))</f>
        <v/>
      </c>
      <c r="K371" s="32" t="inlineStr">
        <is>
          <t>-</t>
        </is>
      </c>
      <c r="L371" s="32" t="n"/>
      <c r="M371" s="28">
        <f>IF(OR(LEFT(J371,2)="보류", LEFT(J371,4)="복습대기", LEFT(J371,3)="복습1", LEFT(J371,3)="복습2"), MAX($M$3:M370)+1, "")</f>
        <v/>
      </c>
      <c r="N371" s="28" t="inlineStr">
        <is>
          <t>W11</t>
        </is>
      </c>
      <c r="O371" s="36" t="n">
        <v>46330</v>
      </c>
      <c r="P371" s="30">
        <f>IF(F371&lt;&gt;"","✅ 완료",IF(O371="","-",IF(TODAY()&gt;O371,"🚨 지연","⏳ 예정")))</f>
        <v/>
      </c>
      <c r="Q371" s="7" t="n"/>
      <c r="R371" s="7" t="n"/>
      <c r="S371" s="7" t="n"/>
      <c r="T371" s="7" t="n"/>
      <c r="U371" s="7" t="n"/>
      <c r="V371" s="7" t="n"/>
      <c r="W371" s="7" t="n"/>
      <c r="X371" s="7" t="n"/>
    </row>
    <row r="372" ht="21.75" customHeight="1" s="209">
      <c r="A372" s="28" t="n">
        <v>369</v>
      </c>
      <c r="B372" s="28" t="inlineStr">
        <is>
          <t>26952</t>
        </is>
      </c>
      <c r="C372" s="30" t="inlineStr">
        <is>
          <t>D4</t>
        </is>
      </c>
      <c r="D372" s="32" t="inlineStr">
        <is>
          <t>택배 배달 최소 시간</t>
        </is>
      </c>
      <c r="E372" s="28" t="inlineStr">
        <is>
          <t>DFS / BFS / 백트래킹</t>
        </is>
      </c>
      <c r="F372" s="28" t="n"/>
      <c r="G372" s="28" t="n"/>
      <c r="H372" s="28" t="n"/>
      <c r="I372" s="28" t="n"/>
      <c r="J372" s="54">
        <f>IF(OR(ISNUMBER(SEARCH("보류",K372)),ISNUMBER(SEARCH("미룸",K372)),ISNUMBER(SEARCH("나중에",K372)),ISNUMBER(SEARCH("보류",L372)),ISNUMBER(SEARCH("미룸",L372)),ISNUMBER(SEARCH("나중에",L372))),"보류(나중에 풀기)",IF(AND(F372="",G372="",H372="",I372=""),"미완료",IF(I372&lt;&gt;"","복습3(마스터)",IF(H372&lt;&gt;"","복습2",IF(G372&lt;&gt;"","복습1",IF(ISNUMBER(SEARCH("제미나이",K372)),"복습대기(AI도움)",IF(ISNUMBER(SEARCH("간당간당",K372)),"복습대기(간당간당)",IF(OR(ISNUMBER(SEARCH("아이디어",K372)),ISNUMBER(SEARCH("시간초과",K372)),ISNUMBER(SEARCH("자료구조",K372)),ISNUMBER(SEARCH("경계값",K372)),ISNUMBER(SEARCH("다른 풀이",K372)),ISNUMBER(SEARCH("또풀기",K372))),"복습대기",IF(OR(ISNUMBER(SEARCH("복습필요없음",K372)),ISNUMBER(SEARCH("자력완벽",K372))),"품(복습불필요)",IF(F372&lt;&gt;"","품","미완료"))))))))))</f>
        <v/>
      </c>
      <c r="K372" s="32" t="inlineStr">
        <is>
          <t>-</t>
        </is>
      </c>
      <c r="L372" s="32" t="n"/>
      <c r="M372" s="28">
        <f>IF(OR(LEFT(J372,2)="보류", LEFT(J372,4)="복습대기", LEFT(J372,3)="복습1", LEFT(J372,3)="복습2"), MAX($M$3:M371)+1, "")</f>
        <v/>
      </c>
      <c r="N372" s="28" t="inlineStr">
        <is>
          <t>W11</t>
        </is>
      </c>
      <c r="O372" s="36" t="n">
        <v>46330</v>
      </c>
      <c r="P372" s="30">
        <f>IF(F372&lt;&gt;"","✅ 완료",IF(O372="","-",IF(TODAY()&gt;O372,"🚨 지연","⏳ 예정")))</f>
        <v/>
      </c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 ht="21.75" customHeight="1" s="209">
      <c r="A373" s="28" t="n">
        <v>370</v>
      </c>
      <c r="B373" s="28" t="inlineStr">
        <is>
          <t>26956</t>
        </is>
      </c>
      <c r="C373" s="30" t="inlineStr">
        <is>
          <t>D4</t>
        </is>
      </c>
      <c r="D373" s="32" t="inlineStr">
        <is>
          <t>행운의 구슬 팔찌</t>
        </is>
      </c>
      <c r="E373" s="28" t="inlineStr">
        <is>
          <t>DFS / BFS / 백트래킹</t>
        </is>
      </c>
      <c r="F373" s="28" t="n"/>
      <c r="G373" s="28" t="n"/>
      <c r="H373" s="28" t="n"/>
      <c r="I373" s="28" t="n"/>
      <c r="J373" s="54">
        <f>IF(OR(ISNUMBER(SEARCH("보류",K373)),ISNUMBER(SEARCH("미룸",K373)),ISNUMBER(SEARCH("나중에",K373)),ISNUMBER(SEARCH("보류",L373)),ISNUMBER(SEARCH("미룸",L373)),ISNUMBER(SEARCH("나중에",L373))),"보류(나중에 풀기)",IF(AND(F373="",G373="",H373="",I373=""),"미완료",IF(I373&lt;&gt;"","복습3(마스터)",IF(H373&lt;&gt;"","복습2",IF(G373&lt;&gt;"","복습1",IF(ISNUMBER(SEARCH("제미나이",K373)),"복습대기(AI도움)",IF(ISNUMBER(SEARCH("간당간당",K373)),"복습대기(간당간당)",IF(OR(ISNUMBER(SEARCH("아이디어",K373)),ISNUMBER(SEARCH("시간초과",K373)),ISNUMBER(SEARCH("자료구조",K373)),ISNUMBER(SEARCH("경계값",K373)),ISNUMBER(SEARCH("다른 풀이",K373)),ISNUMBER(SEARCH("또풀기",K373))),"복습대기",IF(OR(ISNUMBER(SEARCH("복습필요없음",K373)),ISNUMBER(SEARCH("자력완벽",K373))),"품(복습불필요)",IF(F373&lt;&gt;"","품","미완료"))))))))))</f>
        <v/>
      </c>
      <c r="K373" s="32" t="inlineStr">
        <is>
          <t>-</t>
        </is>
      </c>
      <c r="L373" s="32" t="n"/>
      <c r="M373" s="28">
        <f>IF(OR(LEFT(J373,2)="보류", LEFT(J373,4)="복습대기", LEFT(J373,3)="복습1", LEFT(J373,3)="복습2"), MAX($M$3:M372)+1, "")</f>
        <v/>
      </c>
      <c r="N373" s="28" t="inlineStr">
        <is>
          <t>W11</t>
        </is>
      </c>
      <c r="O373" s="36" t="n">
        <v>46330</v>
      </c>
      <c r="P373" s="30">
        <f>IF(F373&lt;&gt;"","✅ 완료",IF(O373="","-",IF(TODAY()&gt;O373,"🚨 지연","⏳ 예정")))</f>
        <v/>
      </c>
      <c r="Q373" s="7" t="n"/>
      <c r="R373" s="7" t="n"/>
      <c r="S373" s="7" t="n"/>
      <c r="T373" s="7" t="n"/>
      <c r="U373" s="7" t="n"/>
      <c r="V373" s="7" t="n"/>
      <c r="W373" s="7" t="n"/>
      <c r="X373" s="7" t="n"/>
    </row>
    <row r="374" ht="21.75" customHeight="1" s="209">
      <c r="A374" s="28" t="n">
        <v>371</v>
      </c>
      <c r="B374" s="28" t="inlineStr">
        <is>
          <t>26958</t>
        </is>
      </c>
      <c r="C374" s="30" t="inlineStr">
        <is>
          <t>D4</t>
        </is>
      </c>
      <c r="D374" s="32" t="inlineStr">
        <is>
          <t>재생목록 편집</t>
        </is>
      </c>
      <c r="E374" s="28" t="inlineStr">
        <is>
          <t>DFS / BFS / 백트래킹</t>
        </is>
      </c>
      <c r="F374" s="28" t="n"/>
      <c r="G374" s="28" t="n"/>
      <c r="H374" s="28" t="n"/>
      <c r="I374" s="28" t="n"/>
      <c r="J374" s="54">
        <f>IF(OR(ISNUMBER(SEARCH("보류",K374)),ISNUMBER(SEARCH("미룸",K374)),ISNUMBER(SEARCH("나중에",K374)),ISNUMBER(SEARCH("보류",L374)),ISNUMBER(SEARCH("미룸",L374)),ISNUMBER(SEARCH("나중에",L374))),"보류(나중에 풀기)",IF(AND(F374="",G374="",H374="",I374=""),"미완료",IF(I374&lt;&gt;"","복습3(마스터)",IF(H374&lt;&gt;"","복습2",IF(G374&lt;&gt;"","복습1",IF(ISNUMBER(SEARCH("제미나이",K374)),"복습대기(AI도움)",IF(ISNUMBER(SEARCH("간당간당",K374)),"복습대기(간당간당)",IF(OR(ISNUMBER(SEARCH("아이디어",K374)),ISNUMBER(SEARCH("시간초과",K374)),ISNUMBER(SEARCH("자료구조",K374)),ISNUMBER(SEARCH("경계값",K374)),ISNUMBER(SEARCH("다른 풀이",K374)),ISNUMBER(SEARCH("또풀기",K374))),"복습대기",IF(OR(ISNUMBER(SEARCH("복습필요없음",K374)),ISNUMBER(SEARCH("자력완벽",K374))),"품(복습불필요)",IF(F374&lt;&gt;"","품","미완료"))))))))))</f>
        <v/>
      </c>
      <c r="K374" s="32" t="inlineStr">
        <is>
          <t>-</t>
        </is>
      </c>
      <c r="L374" s="32" t="n"/>
      <c r="M374" s="28">
        <f>IF(OR(LEFT(J374,2)="보류", LEFT(J374,4)="복습대기", LEFT(J374,3)="복습1", LEFT(J374,3)="복습2"), MAX($M$3:M373)+1, "")</f>
        <v/>
      </c>
      <c r="N374" s="28" t="inlineStr">
        <is>
          <t>W11</t>
        </is>
      </c>
      <c r="O374" s="36" t="n">
        <v>46330</v>
      </c>
      <c r="P374" s="30">
        <f>IF(F374&lt;&gt;"","✅ 완료",IF(O374="","-",IF(TODAY()&gt;O374,"🚨 지연","⏳ 예정")))</f>
        <v/>
      </c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 ht="21.75" customHeight="1" s="209">
      <c r="A375" s="28" t="n">
        <v>372</v>
      </c>
      <c r="B375" s="28" t="inlineStr">
        <is>
          <t>26070</t>
        </is>
      </c>
      <c r="C375" s="30" t="inlineStr">
        <is>
          <t>D4</t>
        </is>
      </c>
      <c r="D375" s="32" t="inlineStr">
        <is>
          <t>보석 수집 로봇</t>
        </is>
      </c>
      <c r="E375" s="28" t="inlineStr">
        <is>
          <t>시뮬레이션 / 구현</t>
        </is>
      </c>
      <c r="F375" s="28" t="n"/>
      <c r="G375" s="28" t="n"/>
      <c r="H375" s="28" t="n"/>
      <c r="I375" s="28" t="n"/>
      <c r="J375" s="54">
        <f>IF(OR(ISNUMBER(SEARCH("보류",K375)),ISNUMBER(SEARCH("미룸",K375)),ISNUMBER(SEARCH("나중에",K375)),ISNUMBER(SEARCH("보류",L375)),ISNUMBER(SEARCH("미룸",L375)),ISNUMBER(SEARCH("나중에",L375))),"보류(나중에 풀기)",IF(AND(F375="",G375="",H375="",I375=""),"미완료",IF(I375&lt;&gt;"","복습3(마스터)",IF(H375&lt;&gt;"","복습2",IF(G375&lt;&gt;"","복습1",IF(ISNUMBER(SEARCH("제미나이",K375)),"복습대기(AI도움)",IF(ISNUMBER(SEARCH("간당간당",K375)),"복습대기(간당간당)",IF(OR(ISNUMBER(SEARCH("아이디어",K375)),ISNUMBER(SEARCH("시간초과",K375)),ISNUMBER(SEARCH("자료구조",K375)),ISNUMBER(SEARCH("경계값",K375)),ISNUMBER(SEARCH("다른 풀이",K375)),ISNUMBER(SEARCH("또풀기",K375))),"복습대기",IF(OR(ISNUMBER(SEARCH("복습필요없음",K375)),ISNUMBER(SEARCH("자력완벽",K375))),"품(복습불필요)",IF(F375&lt;&gt;"","품","미완료"))))))))))</f>
        <v/>
      </c>
      <c r="K375" s="32" t="inlineStr">
        <is>
          <t>-</t>
        </is>
      </c>
      <c r="L375" s="32" t="n"/>
      <c r="M375" s="28">
        <f>IF(OR(LEFT(J375,2)="보류", LEFT(J375,4)="복습대기", LEFT(J375,3)="복습1", LEFT(J375,3)="복습2"), MAX($M$3:M374)+1, "")</f>
        <v/>
      </c>
      <c r="N375" s="28" t="inlineStr">
        <is>
          <t>W11</t>
        </is>
      </c>
      <c r="O375" s="36" t="n">
        <v>46331</v>
      </c>
      <c r="P375" s="30">
        <f>IF(F375&lt;&gt;"","✅ 완료",IF(O375="","-",IF(TODAY()&gt;O375,"🚨 지연","⏳ 예정")))</f>
        <v/>
      </c>
      <c r="Q375" s="7" t="n"/>
      <c r="R375" s="7" t="n"/>
      <c r="S375" s="7" t="n"/>
      <c r="T375" s="7" t="n"/>
      <c r="U375" s="7" t="n"/>
      <c r="V375" s="7" t="n"/>
      <c r="W375" s="7" t="n"/>
      <c r="X375" s="7" t="n"/>
    </row>
    <row r="376" ht="21.75" customHeight="1" s="209">
      <c r="A376" s="28" t="n">
        <v>373</v>
      </c>
      <c r="B376" s="28" t="inlineStr">
        <is>
          <t>26071</t>
        </is>
      </c>
      <c r="C376" s="30" t="inlineStr">
        <is>
          <t>D4</t>
        </is>
      </c>
      <c r="D376" s="32" t="inlineStr">
        <is>
          <t>블록 제거 게임</t>
        </is>
      </c>
      <c r="E376" s="28" t="inlineStr">
        <is>
          <t>시뮬레이션 / 구현</t>
        </is>
      </c>
      <c r="F376" s="28" t="n"/>
      <c r="G376" s="28" t="n"/>
      <c r="H376" s="28" t="n"/>
      <c r="I376" s="28" t="n"/>
      <c r="J376" s="54">
        <f>IF(OR(ISNUMBER(SEARCH("보류",K376)),ISNUMBER(SEARCH("미룸",K376)),ISNUMBER(SEARCH("나중에",K376)),ISNUMBER(SEARCH("보류",L376)),ISNUMBER(SEARCH("미룸",L376)),ISNUMBER(SEARCH("나중에",L376))),"보류(나중에 풀기)",IF(AND(F376="",G376="",H376="",I376=""),"미완료",IF(I376&lt;&gt;"","복습3(마스터)",IF(H376&lt;&gt;"","복습2",IF(G376&lt;&gt;"","복습1",IF(ISNUMBER(SEARCH("제미나이",K376)),"복습대기(AI도움)",IF(ISNUMBER(SEARCH("간당간당",K376)),"복습대기(간당간당)",IF(OR(ISNUMBER(SEARCH("아이디어",K376)),ISNUMBER(SEARCH("시간초과",K376)),ISNUMBER(SEARCH("자료구조",K376)),ISNUMBER(SEARCH("경계값",K376)),ISNUMBER(SEARCH("다른 풀이",K376)),ISNUMBER(SEARCH("또풀기",K376))),"복습대기",IF(OR(ISNUMBER(SEARCH("복습필요없음",K376)),ISNUMBER(SEARCH("자력완벽",K376))),"품(복습불필요)",IF(F376&lt;&gt;"","품","미완료"))))))))))</f>
        <v/>
      </c>
      <c r="K376" s="32" t="inlineStr">
        <is>
          <t>-</t>
        </is>
      </c>
      <c r="L376" s="32" t="n"/>
      <c r="M376" s="28">
        <f>IF(OR(LEFT(J376,2)="보류", LEFT(J376,4)="복습대기", LEFT(J376,3)="복습1", LEFT(J376,3)="복습2"), MAX($M$3:M375)+1, "")</f>
        <v/>
      </c>
      <c r="N376" s="28" t="inlineStr">
        <is>
          <t>W11</t>
        </is>
      </c>
      <c r="O376" s="36" t="n">
        <v>46331</v>
      </c>
      <c r="P376" s="30">
        <f>IF(F376&lt;&gt;"","✅ 완료",IF(O376="","-",IF(TODAY()&gt;O376,"🚨 지연","⏳ 예정")))</f>
        <v/>
      </c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 ht="21.75" customHeight="1" s="209">
      <c r="A377" s="28" t="n">
        <v>374</v>
      </c>
      <c r="B377" s="28" t="inlineStr">
        <is>
          <t>1211</t>
        </is>
      </c>
      <c r="C377" s="30" t="inlineStr">
        <is>
          <t>D4</t>
        </is>
      </c>
      <c r="D377" s="32" t="inlineStr">
        <is>
          <t>[S/W 문제해결 기본] 2일차 - Ladder2</t>
        </is>
      </c>
      <c r="E377" s="28" t="inlineStr">
        <is>
          <t>DFS / BFS / 백트래킹</t>
        </is>
      </c>
      <c r="F377" s="28" t="n"/>
      <c r="G377" s="28" t="n"/>
      <c r="H377" s="28" t="n"/>
      <c r="I377" s="28" t="n"/>
      <c r="J377" s="54">
        <f>IF(OR(ISNUMBER(SEARCH("보류",K377)),ISNUMBER(SEARCH("미룸",K377)),ISNUMBER(SEARCH("나중에",K377)),ISNUMBER(SEARCH("보류",L377)),ISNUMBER(SEARCH("미룸",L377)),ISNUMBER(SEARCH("나중에",L377))),"보류(나중에 풀기)",IF(AND(F377="",G377="",H377="",I377=""),"미완료",IF(I377&lt;&gt;"","복습3(마스터)",IF(H377&lt;&gt;"","복습2",IF(G377&lt;&gt;"","복습1",IF(ISNUMBER(SEARCH("제미나이",K377)),"복습대기(AI도움)",IF(ISNUMBER(SEARCH("간당간당",K377)),"복습대기(간당간당)",IF(OR(ISNUMBER(SEARCH("아이디어",K377)),ISNUMBER(SEARCH("시간초과",K377)),ISNUMBER(SEARCH("자료구조",K377)),ISNUMBER(SEARCH("경계값",K377)),ISNUMBER(SEARCH("다른 풀이",K377)),ISNUMBER(SEARCH("또풀기",K377))),"복습대기",IF(OR(ISNUMBER(SEARCH("복습필요없음",K377)),ISNUMBER(SEARCH("자력완벽",K377))),"품(복습불필요)",IF(F377&lt;&gt;"","품","미완료"))))))))))</f>
        <v/>
      </c>
      <c r="K377" s="32" t="inlineStr">
        <is>
          <t>-</t>
        </is>
      </c>
      <c r="L377" s="32" t="n"/>
      <c r="M377" s="28">
        <f>IF(OR(LEFT(J377,2)="보류", LEFT(J377,4)="복습대기", LEFT(J377,3)="복습1", LEFT(J377,3)="복습2"), MAX($M$3:M376)+1, "")</f>
        <v/>
      </c>
      <c r="N377" s="28" t="inlineStr">
        <is>
          <t>W11</t>
        </is>
      </c>
      <c r="O377" s="36" t="n">
        <v>46331</v>
      </c>
      <c r="P377" s="30">
        <f>IF(F377&lt;&gt;"","✅ 완료",IF(O377="","-",IF(TODAY()&gt;O377,"🚨 지연","⏳ 예정")))</f>
        <v/>
      </c>
      <c r="Q377" s="7" t="n"/>
      <c r="R377" s="7" t="n"/>
      <c r="S377" s="7" t="n"/>
      <c r="T377" s="7" t="n"/>
      <c r="U377" s="7" t="n"/>
      <c r="V377" s="7" t="n"/>
      <c r="W377" s="7" t="n"/>
      <c r="X377" s="7" t="n"/>
    </row>
    <row r="378" ht="21.75" customHeight="1" s="209">
      <c r="A378" s="28" t="n">
        <v>375</v>
      </c>
      <c r="B378" s="28" t="inlineStr">
        <is>
          <t>1223</t>
        </is>
      </c>
      <c r="C378" s="30" t="inlineStr">
        <is>
          <t>D4</t>
        </is>
      </c>
      <c r="D378" s="32" t="inlineStr">
        <is>
          <t>[S/W 문제해결 기본] 6일차 - 계산기2</t>
        </is>
      </c>
      <c r="E378" s="28" t="inlineStr">
        <is>
          <t>자료구조 (스택/큐/리스트)</t>
        </is>
      </c>
      <c r="F378" s="28" t="n"/>
      <c r="G378" s="28" t="n"/>
      <c r="H378" s="28" t="n"/>
      <c r="I378" s="28" t="n"/>
      <c r="J378" s="54">
        <f>IF(OR(ISNUMBER(SEARCH("보류",K378)),ISNUMBER(SEARCH("미룸",K378)),ISNUMBER(SEARCH("나중에",K378)),ISNUMBER(SEARCH("보류",L378)),ISNUMBER(SEARCH("미룸",L378)),ISNUMBER(SEARCH("나중에",L378))),"보류(나중에 풀기)",IF(AND(F378="",G378="",H378="",I378=""),"미완료",IF(I378&lt;&gt;"","복습3(마스터)",IF(H378&lt;&gt;"","복습2",IF(G378&lt;&gt;"","복습1",IF(ISNUMBER(SEARCH("제미나이",K378)),"복습대기(AI도움)",IF(ISNUMBER(SEARCH("간당간당",K378)),"복습대기(간당간당)",IF(OR(ISNUMBER(SEARCH("아이디어",K378)),ISNUMBER(SEARCH("시간초과",K378)),ISNUMBER(SEARCH("자료구조",K378)),ISNUMBER(SEARCH("경계값",K378)),ISNUMBER(SEARCH("다른 풀이",K378)),ISNUMBER(SEARCH("또풀기",K378))),"복습대기",IF(OR(ISNUMBER(SEARCH("복습필요없음",K378)),ISNUMBER(SEARCH("자력완벽",K378))),"품(복습불필요)",IF(F378&lt;&gt;"","품","미완료"))))))))))</f>
        <v/>
      </c>
      <c r="K378" s="32" t="inlineStr">
        <is>
          <t>-</t>
        </is>
      </c>
      <c r="L378" s="32" t="n"/>
      <c r="M378" s="28">
        <f>IF(OR(LEFT(J378,2)="보류", LEFT(J378,4)="복습대기", LEFT(J378,3)="복습1", LEFT(J378,3)="복습2"), MAX($M$3:M377)+1, "")</f>
        <v/>
      </c>
      <c r="N378" s="28" t="inlineStr">
        <is>
          <t>W11</t>
        </is>
      </c>
      <c r="O378" s="36" t="n">
        <v>46331</v>
      </c>
      <c r="P378" s="30">
        <f>IF(F378&lt;&gt;"","✅ 완료",IF(O378="","-",IF(TODAY()&gt;O378,"🚨 지연","⏳ 예정")))</f>
        <v/>
      </c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 ht="21.75" customHeight="1" s="209">
      <c r="A379" s="28" t="n">
        <v>376</v>
      </c>
      <c r="B379" s="28" t="inlineStr">
        <is>
          <t>1258</t>
        </is>
      </c>
      <c r="C379" s="30" t="inlineStr">
        <is>
          <t>D4</t>
        </is>
      </c>
      <c r="D379" s="32" t="inlineStr">
        <is>
          <t>[S/W 문제해결 응용] 7일차 - 행렬찾기</t>
        </is>
      </c>
      <c r="E379" s="28" t="inlineStr">
        <is>
          <t>DFS / BFS / 백트래킹</t>
        </is>
      </c>
      <c r="F379" s="28" t="n"/>
      <c r="G379" s="28" t="n"/>
      <c r="H379" s="28" t="n"/>
      <c r="I379" s="28" t="n"/>
      <c r="J379" s="54">
        <f>IF(OR(ISNUMBER(SEARCH("보류",K379)),ISNUMBER(SEARCH("미룸",K379)),ISNUMBER(SEARCH("나중에",K379)),ISNUMBER(SEARCH("보류",L379)),ISNUMBER(SEARCH("미룸",L379)),ISNUMBER(SEARCH("나중에",L379))),"보류(나중에 풀기)",IF(AND(F379="",G379="",H379="",I379=""),"미완료",IF(I379&lt;&gt;"","복습3(마스터)",IF(H379&lt;&gt;"","복습2",IF(G379&lt;&gt;"","복습1",IF(ISNUMBER(SEARCH("제미나이",K379)),"복습대기(AI도움)",IF(ISNUMBER(SEARCH("간당간당",K379)),"복습대기(간당간당)",IF(OR(ISNUMBER(SEARCH("아이디어",K379)),ISNUMBER(SEARCH("시간초과",K379)),ISNUMBER(SEARCH("자료구조",K379)),ISNUMBER(SEARCH("경계값",K379)),ISNUMBER(SEARCH("다른 풀이",K379)),ISNUMBER(SEARCH("또풀기",K379))),"복습대기",IF(OR(ISNUMBER(SEARCH("복습필요없음",K379)),ISNUMBER(SEARCH("자력완벽",K379))),"품(복습불필요)",IF(F379&lt;&gt;"","품","미완료"))))))))))</f>
        <v/>
      </c>
      <c r="K379" s="32" t="inlineStr">
        <is>
          <t>-</t>
        </is>
      </c>
      <c r="L379" s="32" t="n"/>
      <c r="M379" s="28">
        <f>IF(OR(LEFT(J379,2)="보류", LEFT(J379,4)="복습대기", LEFT(J379,3)="복습1", LEFT(J379,3)="복습2"), MAX($M$3:M378)+1, "")</f>
        <v/>
      </c>
      <c r="N379" s="28" t="inlineStr">
        <is>
          <t>W11</t>
        </is>
      </c>
      <c r="O379" s="36" t="n">
        <v>46331</v>
      </c>
      <c r="P379" s="30">
        <f>IF(F379&lt;&gt;"","✅ 완료",IF(O379="","-",IF(TODAY()&gt;O379,"🚨 지연","⏳ 예정")))</f>
        <v/>
      </c>
      <c r="Q379" s="7" t="n"/>
      <c r="R379" s="7" t="n"/>
      <c r="S379" s="7" t="n"/>
      <c r="T379" s="7" t="n"/>
      <c r="U379" s="7" t="n"/>
      <c r="V379" s="7" t="n"/>
      <c r="W379" s="7" t="n"/>
      <c r="X379" s="7" t="n"/>
    </row>
    <row r="380" ht="21.75" customHeight="1" s="209">
      <c r="A380" s="28" t="n">
        <v>377</v>
      </c>
      <c r="B380" s="28" t="inlineStr">
        <is>
          <t>1494</t>
        </is>
      </c>
      <c r="C380" s="30" t="inlineStr">
        <is>
          <t>D4</t>
        </is>
      </c>
      <c r="D380" s="32" t="inlineStr">
        <is>
          <t>사랑의 카운슬러</t>
        </is>
      </c>
      <c r="E380" s="28" t="inlineStr">
        <is>
          <t>DFS / BFS / 백트래킹</t>
        </is>
      </c>
      <c r="F380" s="28" t="n"/>
      <c r="G380" s="28" t="n"/>
      <c r="H380" s="28" t="n"/>
      <c r="I380" s="28" t="n"/>
      <c r="J380" s="54">
        <f>IF(OR(ISNUMBER(SEARCH("보류",K380)),ISNUMBER(SEARCH("미룸",K380)),ISNUMBER(SEARCH("나중에",K380)),ISNUMBER(SEARCH("보류",L380)),ISNUMBER(SEARCH("미룸",L380)),ISNUMBER(SEARCH("나중에",L380))),"보류(나중에 풀기)",IF(AND(F380="",G380="",H380="",I380=""),"미완료",IF(I380&lt;&gt;"","복습3(마스터)",IF(H380&lt;&gt;"","복습2",IF(G380&lt;&gt;"","복습1",IF(ISNUMBER(SEARCH("제미나이",K380)),"복습대기(AI도움)",IF(ISNUMBER(SEARCH("간당간당",K380)),"복습대기(간당간당)",IF(OR(ISNUMBER(SEARCH("아이디어",K380)),ISNUMBER(SEARCH("시간초과",K380)),ISNUMBER(SEARCH("자료구조",K380)),ISNUMBER(SEARCH("경계값",K380)),ISNUMBER(SEARCH("다른 풀이",K380)),ISNUMBER(SEARCH("또풀기",K380))),"복습대기",IF(OR(ISNUMBER(SEARCH("복습필요없음",K380)),ISNUMBER(SEARCH("자력완벽",K380))),"품(복습불필요)",IF(F380&lt;&gt;"","품","미완료"))))))))))</f>
        <v/>
      </c>
      <c r="K380" s="32" t="inlineStr">
        <is>
          <t>-</t>
        </is>
      </c>
      <c r="L380" s="32" t="n"/>
      <c r="M380" s="28">
        <f>IF(OR(LEFT(J380,2)="보류", LEFT(J380,4)="복습대기", LEFT(J380,3)="복습1", LEFT(J380,3)="복습2"), MAX($M$3:M379)+1, "")</f>
        <v/>
      </c>
      <c r="N380" s="28" t="inlineStr">
        <is>
          <t>W11</t>
        </is>
      </c>
      <c r="O380" s="36" t="n">
        <v>46331</v>
      </c>
      <c r="P380" s="30">
        <f>IF(F380&lt;&gt;"","✅ 완료",IF(O380="","-",IF(TODAY()&gt;O380,"🚨 지연","⏳ 예정")))</f>
        <v/>
      </c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 ht="21.75" customHeight="1" s="209">
      <c r="A381" s="28" t="n">
        <v>378</v>
      </c>
      <c r="B381" s="28" t="inlineStr">
        <is>
          <t>1803</t>
        </is>
      </c>
      <c r="C381" s="30" t="inlineStr">
        <is>
          <t>D4</t>
        </is>
      </c>
      <c r="D381" s="32" t="inlineStr">
        <is>
          <t>Shortest Path Faster</t>
        </is>
      </c>
      <c r="E381" s="28" t="inlineStr">
        <is>
          <t>DFS / BFS / 백트래킹</t>
        </is>
      </c>
      <c r="F381" s="28" t="n"/>
      <c r="G381" s="28" t="n"/>
      <c r="H381" s="28" t="n"/>
      <c r="I381" s="28" t="n"/>
      <c r="J381" s="54">
        <f>IF(OR(ISNUMBER(SEARCH("보류",K381)),ISNUMBER(SEARCH("미룸",K381)),ISNUMBER(SEARCH("나중에",K381)),ISNUMBER(SEARCH("보류",L381)),ISNUMBER(SEARCH("미룸",L381)),ISNUMBER(SEARCH("나중에",L381))),"보류(나중에 풀기)",IF(AND(F381="",G381="",H381="",I381=""),"미완료",IF(I381&lt;&gt;"","복습3(마스터)",IF(H381&lt;&gt;"","복습2",IF(G381&lt;&gt;"","복습1",IF(ISNUMBER(SEARCH("제미나이",K381)),"복습대기(AI도움)",IF(ISNUMBER(SEARCH("간당간당",K381)),"복습대기(간당간당)",IF(OR(ISNUMBER(SEARCH("아이디어",K381)),ISNUMBER(SEARCH("시간초과",K381)),ISNUMBER(SEARCH("자료구조",K381)),ISNUMBER(SEARCH("경계값",K381)),ISNUMBER(SEARCH("다른 풀이",K381)),ISNUMBER(SEARCH("또풀기",K381))),"복습대기",IF(OR(ISNUMBER(SEARCH("복습필요없음",K381)),ISNUMBER(SEARCH("자력완벽",K381))),"품(복습불필요)",IF(F381&lt;&gt;"","품","미완료"))))))))))</f>
        <v/>
      </c>
      <c r="K381" s="32" t="inlineStr">
        <is>
          <t>-</t>
        </is>
      </c>
      <c r="L381" s="32" t="n"/>
      <c r="M381" s="28">
        <f>IF(OR(LEFT(J381,2)="보류", LEFT(J381,4)="복습대기", LEFT(J381,3)="복습1", LEFT(J381,3)="복습2"), MAX($M$3:M380)+1, "")</f>
        <v/>
      </c>
      <c r="N381" s="28" t="inlineStr">
        <is>
          <t>W11</t>
        </is>
      </c>
      <c r="O381" s="36" t="n">
        <v>46331</v>
      </c>
      <c r="P381" s="30">
        <f>IF(F381&lt;&gt;"","✅ 완료",IF(O381="","-",IF(TODAY()&gt;O381,"🚨 지연","⏳ 예정")))</f>
        <v/>
      </c>
      <c r="Q381" s="7" t="n"/>
      <c r="R381" s="7" t="n"/>
      <c r="S381" s="7" t="n"/>
      <c r="T381" s="7" t="n"/>
      <c r="U381" s="7" t="n"/>
      <c r="V381" s="7" t="n"/>
      <c r="W381" s="7" t="n"/>
      <c r="X381" s="7" t="n"/>
    </row>
    <row r="382" ht="21.75" customHeight="1" s="209">
      <c r="A382" s="28" t="n">
        <v>379</v>
      </c>
      <c r="B382" s="28" t="inlineStr">
        <is>
          <t>1808</t>
        </is>
      </c>
      <c r="C382" s="30" t="inlineStr">
        <is>
          <t>D4</t>
        </is>
      </c>
      <c r="D382" s="32" t="inlineStr">
        <is>
          <t>지희의 고장난 계산기</t>
        </is>
      </c>
      <c r="E382" s="28" t="inlineStr">
        <is>
          <t>자료구조 (스택/큐/리스트)</t>
        </is>
      </c>
      <c r="F382" s="28" t="n"/>
      <c r="G382" s="28" t="n"/>
      <c r="H382" s="28" t="n"/>
      <c r="I382" s="28" t="n"/>
      <c r="J382" s="54">
        <f>IF(OR(ISNUMBER(SEARCH("보류",K382)),ISNUMBER(SEARCH("미룸",K382)),ISNUMBER(SEARCH("나중에",K382)),ISNUMBER(SEARCH("보류",L382)),ISNUMBER(SEARCH("미룸",L382)),ISNUMBER(SEARCH("나중에",L382))),"보류(나중에 풀기)",IF(AND(F382="",G382="",H382="",I382=""),"미완료",IF(I382&lt;&gt;"","복습3(마스터)",IF(H382&lt;&gt;"","복습2",IF(G382&lt;&gt;"","복습1",IF(ISNUMBER(SEARCH("제미나이",K382)),"복습대기(AI도움)",IF(ISNUMBER(SEARCH("간당간당",K382)),"복습대기(간당간당)",IF(OR(ISNUMBER(SEARCH("아이디어",K382)),ISNUMBER(SEARCH("시간초과",K382)),ISNUMBER(SEARCH("자료구조",K382)),ISNUMBER(SEARCH("경계값",K382)),ISNUMBER(SEARCH("다른 풀이",K382)),ISNUMBER(SEARCH("또풀기",K382))),"복습대기",IF(OR(ISNUMBER(SEARCH("복습필요없음",K382)),ISNUMBER(SEARCH("자력완벽",K382))),"품(복습불필요)",IF(F382&lt;&gt;"","품","미완료"))))))))))</f>
        <v/>
      </c>
      <c r="K382" s="32" t="inlineStr">
        <is>
          <t>-</t>
        </is>
      </c>
      <c r="L382" s="32" t="n"/>
      <c r="M382" s="28">
        <f>IF(OR(LEFT(J382,2)="보류", LEFT(J382,4)="복습대기", LEFT(J382,3)="복습1", LEFT(J382,3)="복습2"), MAX($M$3:M381)+1, "")</f>
        <v/>
      </c>
      <c r="N382" s="28" t="inlineStr">
        <is>
          <t>W11</t>
        </is>
      </c>
      <c r="O382" s="36" t="n">
        <v>46331</v>
      </c>
      <c r="P382" s="30">
        <f>IF(F382&lt;&gt;"","✅ 완료",IF(O382="","-",IF(TODAY()&gt;O382,"🚨 지연","⏳ 예정")))</f>
        <v/>
      </c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 ht="21.75" customHeight="1" s="209">
      <c r="A383" s="28" t="n">
        <v>380</v>
      </c>
      <c r="B383" s="28" t="inlineStr">
        <is>
          <t>1824</t>
        </is>
      </c>
      <c r="C383" s="30" t="inlineStr">
        <is>
          <t>D4</t>
        </is>
      </c>
      <c r="D383" s="32" t="inlineStr">
        <is>
          <t>혁진이의 프로그램 검증</t>
        </is>
      </c>
      <c r="E383" s="28" t="inlineStr">
        <is>
          <t>DFS / BFS / 백트래킹</t>
        </is>
      </c>
      <c r="F383" s="28" t="n"/>
      <c r="G383" s="28" t="n"/>
      <c r="H383" s="28" t="n"/>
      <c r="I383" s="28" t="n"/>
      <c r="J383" s="54">
        <f>IF(OR(ISNUMBER(SEARCH("보류",K383)),ISNUMBER(SEARCH("미룸",K383)),ISNUMBER(SEARCH("나중에",K383)),ISNUMBER(SEARCH("보류",L383)),ISNUMBER(SEARCH("미룸",L383)),ISNUMBER(SEARCH("나중에",L383))),"보류(나중에 풀기)",IF(AND(F383="",G383="",H383="",I383=""),"미완료",IF(I383&lt;&gt;"","복습3(마스터)",IF(H383&lt;&gt;"","복습2",IF(G383&lt;&gt;"","복습1",IF(ISNUMBER(SEARCH("제미나이",K383)),"복습대기(AI도움)",IF(ISNUMBER(SEARCH("간당간당",K383)),"복습대기(간당간당)",IF(OR(ISNUMBER(SEARCH("아이디어",K383)),ISNUMBER(SEARCH("시간초과",K383)),ISNUMBER(SEARCH("자료구조",K383)),ISNUMBER(SEARCH("경계값",K383)),ISNUMBER(SEARCH("다른 풀이",K383)),ISNUMBER(SEARCH("또풀기",K383))),"복습대기",IF(OR(ISNUMBER(SEARCH("복습필요없음",K383)),ISNUMBER(SEARCH("자력완벽",K383))),"품(복습불필요)",IF(F383&lt;&gt;"","품","미완료"))))))))))</f>
        <v/>
      </c>
      <c r="K383" s="32" t="inlineStr">
        <is>
          <t>-</t>
        </is>
      </c>
      <c r="L383" s="32" t="n"/>
      <c r="M383" s="28">
        <f>IF(OR(LEFT(J383,2)="보류", LEFT(J383,4)="복습대기", LEFT(J383,3)="복습1", LEFT(J383,3)="복습2"), MAX($M$3:M382)+1, "")</f>
        <v/>
      </c>
      <c r="N383" s="28" t="inlineStr">
        <is>
          <t>W11</t>
        </is>
      </c>
      <c r="O383" s="36" t="n">
        <v>46332</v>
      </c>
      <c r="P383" s="30">
        <f>IF(F383&lt;&gt;"","✅ 완료",IF(O383="","-",IF(TODAY()&gt;O383,"🚨 지연","⏳ 예정")))</f>
        <v/>
      </c>
      <c r="Q383" s="7" t="n"/>
      <c r="R383" s="7" t="n"/>
      <c r="S383" s="7" t="n"/>
      <c r="T383" s="7" t="n"/>
      <c r="U383" s="7" t="n"/>
      <c r="V383" s="7" t="n"/>
      <c r="W383" s="7" t="n"/>
      <c r="X383" s="7" t="n"/>
    </row>
    <row r="384" ht="21.75" customHeight="1" s="209">
      <c r="A384" s="28" t="n">
        <v>381</v>
      </c>
      <c r="B384" s="28" t="inlineStr">
        <is>
          <t>1861</t>
        </is>
      </c>
      <c r="C384" s="30" t="inlineStr">
        <is>
          <t>D4</t>
        </is>
      </c>
      <c r="D384" s="32" t="inlineStr">
        <is>
          <t>정사각형 방</t>
        </is>
      </c>
      <c r="E384" s="28" t="inlineStr">
        <is>
          <t>DFS / BFS / 백트래킹</t>
        </is>
      </c>
      <c r="F384" s="28" t="n"/>
      <c r="G384" s="28" t="n"/>
      <c r="H384" s="28" t="n"/>
      <c r="I384" s="28" t="n"/>
      <c r="J384" s="54">
        <f>IF(OR(ISNUMBER(SEARCH("보류",K384)),ISNUMBER(SEARCH("미룸",K384)),ISNUMBER(SEARCH("나중에",K384)),ISNUMBER(SEARCH("보류",L384)),ISNUMBER(SEARCH("미룸",L384)),ISNUMBER(SEARCH("나중에",L384))),"보류(나중에 풀기)",IF(AND(F384="",G384="",H384="",I384=""),"미완료",IF(I384&lt;&gt;"","복습3(마스터)",IF(H384&lt;&gt;"","복습2",IF(G384&lt;&gt;"","복습1",IF(ISNUMBER(SEARCH("제미나이",K384)),"복습대기(AI도움)",IF(ISNUMBER(SEARCH("간당간당",K384)),"복습대기(간당간당)",IF(OR(ISNUMBER(SEARCH("아이디어",K384)),ISNUMBER(SEARCH("시간초과",K384)),ISNUMBER(SEARCH("자료구조",K384)),ISNUMBER(SEARCH("경계값",K384)),ISNUMBER(SEARCH("다른 풀이",K384)),ISNUMBER(SEARCH("또풀기",K384))),"복습대기",IF(OR(ISNUMBER(SEARCH("복습필요없음",K384)),ISNUMBER(SEARCH("자력완벽",K384))),"품(복습불필요)",IF(F384&lt;&gt;"","품","미완료"))))))))))</f>
        <v/>
      </c>
      <c r="K384" s="32" t="inlineStr">
        <is>
          <t>-</t>
        </is>
      </c>
      <c r="L384" s="32" t="n"/>
      <c r="M384" s="28">
        <f>IF(OR(LEFT(J384,2)="보류", LEFT(J384,4)="복습대기", LEFT(J384,3)="복습1", LEFT(J384,3)="복습2"), MAX($M$3:M383)+1, "")</f>
        <v/>
      </c>
      <c r="N384" s="28" t="inlineStr">
        <is>
          <t>W11</t>
        </is>
      </c>
      <c r="O384" s="36" t="n">
        <v>46332</v>
      </c>
      <c r="P384" s="30">
        <f>IF(F384&lt;&gt;"","✅ 완료",IF(O384="","-",IF(TODAY()&gt;O384,"🚨 지연","⏳ 예정")))</f>
        <v/>
      </c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 ht="21.75" customHeight="1" s="209">
      <c r="A385" s="28" t="n">
        <v>382</v>
      </c>
      <c r="B385" s="28" t="inlineStr">
        <is>
          <t>1865</t>
        </is>
      </c>
      <c r="C385" s="30" t="inlineStr">
        <is>
          <t>D4</t>
        </is>
      </c>
      <c r="D385" s="32" t="inlineStr">
        <is>
          <t>동철이의 일 분배</t>
        </is>
      </c>
      <c r="E385" s="28" t="inlineStr">
        <is>
          <t>DFS / BFS / 백트래킹</t>
        </is>
      </c>
      <c r="F385" s="28" t="n"/>
      <c r="G385" s="28" t="n"/>
      <c r="H385" s="28" t="n"/>
      <c r="I385" s="28" t="n"/>
      <c r="J385" s="54">
        <f>IF(OR(ISNUMBER(SEARCH("보류",K385)),ISNUMBER(SEARCH("미룸",K385)),ISNUMBER(SEARCH("나중에",K385)),ISNUMBER(SEARCH("보류",L385)),ISNUMBER(SEARCH("미룸",L385)),ISNUMBER(SEARCH("나중에",L385))),"보류(나중에 풀기)",IF(AND(F385="",G385="",H385="",I385=""),"미완료",IF(I385&lt;&gt;"","복습3(마스터)",IF(H385&lt;&gt;"","복습2",IF(G385&lt;&gt;"","복습1",IF(ISNUMBER(SEARCH("제미나이",K385)),"복습대기(AI도움)",IF(ISNUMBER(SEARCH("간당간당",K385)),"복습대기(간당간당)",IF(OR(ISNUMBER(SEARCH("아이디어",K385)),ISNUMBER(SEARCH("시간초과",K385)),ISNUMBER(SEARCH("자료구조",K385)),ISNUMBER(SEARCH("경계값",K385)),ISNUMBER(SEARCH("다른 풀이",K385)),ISNUMBER(SEARCH("또풀기",K385))),"복습대기",IF(OR(ISNUMBER(SEARCH("복습필요없음",K385)),ISNUMBER(SEARCH("자력완벽",K385))),"품(복습불필요)",IF(F385&lt;&gt;"","품","미완료"))))))))))</f>
        <v/>
      </c>
      <c r="K385" s="32" t="inlineStr">
        <is>
          <t>-</t>
        </is>
      </c>
      <c r="L385" s="32" t="n"/>
      <c r="M385" s="28">
        <f>IF(OR(LEFT(J385,2)="보류", LEFT(J385,4)="복습대기", LEFT(J385,3)="복습1", LEFT(J385,3)="복습2"), MAX($M$3:M384)+1, "")</f>
        <v/>
      </c>
      <c r="N385" s="28" t="inlineStr">
        <is>
          <t>W11</t>
        </is>
      </c>
      <c r="O385" s="36" t="n">
        <v>46332</v>
      </c>
      <c r="P385" s="30">
        <f>IF(F385&lt;&gt;"","✅ 완료",IF(O385="","-",IF(TODAY()&gt;O385,"🚨 지연","⏳ 예정")))</f>
        <v/>
      </c>
      <c r="Q385" s="7" t="n"/>
      <c r="R385" s="7" t="n"/>
      <c r="S385" s="7" t="n"/>
      <c r="T385" s="7" t="n"/>
      <c r="U385" s="7" t="n"/>
      <c r="V385" s="7" t="n"/>
      <c r="W385" s="7" t="n"/>
      <c r="X385" s="7" t="n"/>
    </row>
    <row r="386" ht="21.75" customHeight="1" s="209">
      <c r="A386" s="28" t="n">
        <v>383</v>
      </c>
      <c r="B386" s="28" t="inlineStr">
        <is>
          <t>2983</t>
        </is>
      </c>
      <c r="C386" s="30" t="inlineStr">
        <is>
          <t>D4</t>
        </is>
      </c>
      <c r="D386" s="32" t="inlineStr">
        <is>
          <t>두 번 이상 등장하는 문자열</t>
        </is>
      </c>
      <c r="E386" s="28" t="inlineStr">
        <is>
          <t>문자열 / 파싱</t>
        </is>
      </c>
      <c r="F386" s="28" t="n"/>
      <c r="G386" s="28" t="n"/>
      <c r="H386" s="28" t="n"/>
      <c r="I386" s="28" t="n"/>
      <c r="J386" s="54">
        <f>IF(OR(ISNUMBER(SEARCH("보류",K386)),ISNUMBER(SEARCH("미룸",K386)),ISNUMBER(SEARCH("나중에",K386)),ISNUMBER(SEARCH("보류",L386)),ISNUMBER(SEARCH("미룸",L386)),ISNUMBER(SEARCH("나중에",L386))),"보류(나중에 풀기)",IF(AND(F386="",G386="",H386="",I386=""),"미완료",IF(I386&lt;&gt;"","복습3(마스터)",IF(H386&lt;&gt;"","복습2",IF(G386&lt;&gt;"","복습1",IF(ISNUMBER(SEARCH("제미나이",K386)),"복습대기(AI도움)",IF(ISNUMBER(SEARCH("간당간당",K386)),"복습대기(간당간당)",IF(OR(ISNUMBER(SEARCH("아이디어",K386)),ISNUMBER(SEARCH("시간초과",K386)),ISNUMBER(SEARCH("자료구조",K386)),ISNUMBER(SEARCH("경계값",K386)),ISNUMBER(SEARCH("다른 풀이",K386)),ISNUMBER(SEARCH("또풀기",K386))),"복습대기",IF(OR(ISNUMBER(SEARCH("복습필요없음",K386)),ISNUMBER(SEARCH("자력완벽",K386))),"품(복습불필요)",IF(F386&lt;&gt;"","품","미완료"))))))))))</f>
        <v/>
      </c>
      <c r="K386" s="32" t="inlineStr">
        <is>
          <t>-</t>
        </is>
      </c>
      <c r="L386" s="32" t="n"/>
      <c r="M386" s="28">
        <f>IF(OR(LEFT(J386,2)="보류", LEFT(J386,4)="복습대기", LEFT(J386,3)="복습1", LEFT(J386,3)="복습2"), MAX($M$3:M385)+1, "")</f>
        <v/>
      </c>
      <c r="N386" s="28" t="inlineStr">
        <is>
          <t>W11</t>
        </is>
      </c>
      <c r="O386" s="36" t="n">
        <v>46332</v>
      </c>
      <c r="P386" s="30">
        <f>IF(F386&lt;&gt;"","✅ 완료",IF(O386="","-",IF(TODAY()&gt;O386,"🚨 지연","⏳ 예정")))</f>
        <v/>
      </c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 ht="21.75" customHeight="1" s="209">
      <c r="A387" s="28" t="n">
        <v>384</v>
      </c>
      <c r="B387" s="28" t="inlineStr">
        <is>
          <t>3000</t>
        </is>
      </c>
      <c r="C387" s="30" t="inlineStr">
        <is>
          <t>D4</t>
        </is>
      </c>
      <c r="D387" s="32" t="inlineStr">
        <is>
          <t>중간값 구하기</t>
        </is>
      </c>
      <c r="E387" s="28" t="inlineStr">
        <is>
          <t>DFS / BFS / 백트래킹</t>
        </is>
      </c>
      <c r="F387" s="28" t="n"/>
      <c r="G387" s="28" t="n"/>
      <c r="H387" s="28" t="n"/>
      <c r="I387" s="28" t="n"/>
      <c r="J387" s="54">
        <f>IF(OR(ISNUMBER(SEARCH("보류",K387)),ISNUMBER(SEARCH("미룸",K387)),ISNUMBER(SEARCH("나중에",K387)),ISNUMBER(SEARCH("보류",L387)),ISNUMBER(SEARCH("미룸",L387)),ISNUMBER(SEARCH("나중에",L387))),"보류(나중에 풀기)",IF(AND(F387="",G387="",H387="",I387=""),"미완료",IF(I387&lt;&gt;"","복습3(마스터)",IF(H387&lt;&gt;"","복습2",IF(G387&lt;&gt;"","복습1",IF(ISNUMBER(SEARCH("제미나이",K387)),"복습대기(AI도움)",IF(ISNUMBER(SEARCH("간당간당",K387)),"복습대기(간당간당)",IF(OR(ISNUMBER(SEARCH("아이디어",K387)),ISNUMBER(SEARCH("시간초과",K387)),ISNUMBER(SEARCH("자료구조",K387)),ISNUMBER(SEARCH("경계값",K387)),ISNUMBER(SEARCH("다른 풀이",K387)),ISNUMBER(SEARCH("또풀기",K387))),"복습대기",IF(OR(ISNUMBER(SEARCH("복습필요없음",K387)),ISNUMBER(SEARCH("자력완벽",K387))),"품(복습불필요)",IF(F387&lt;&gt;"","품","미완료"))))))))))</f>
        <v/>
      </c>
      <c r="K387" s="32" t="inlineStr">
        <is>
          <t>-</t>
        </is>
      </c>
      <c r="L387" s="32" t="n"/>
      <c r="M387" s="28">
        <f>IF(OR(LEFT(J387,2)="보류", LEFT(J387,4)="복습대기", LEFT(J387,3)="복습1", LEFT(J387,3)="복습2"), MAX($M$3:M386)+1, "")</f>
        <v/>
      </c>
      <c r="N387" s="28" t="inlineStr">
        <is>
          <t>W11</t>
        </is>
      </c>
      <c r="O387" s="36" t="n">
        <v>46332</v>
      </c>
      <c r="P387" s="30">
        <f>IF(F387&lt;&gt;"","✅ 완료",IF(O387="","-",IF(TODAY()&gt;O387,"🚨 지연","⏳ 예정")))</f>
        <v/>
      </c>
      <c r="Q387" s="7" t="n"/>
      <c r="R387" s="7" t="n"/>
      <c r="S387" s="7" t="n"/>
      <c r="T387" s="7" t="n"/>
      <c r="U387" s="7" t="n"/>
      <c r="V387" s="7" t="n"/>
      <c r="W387" s="7" t="n"/>
      <c r="X387" s="7" t="n"/>
    </row>
    <row r="388" ht="21.75" customHeight="1" s="209">
      <c r="A388" s="28" t="n">
        <v>385</v>
      </c>
      <c r="B388" s="28" t="inlineStr">
        <is>
          <t>3064</t>
        </is>
      </c>
      <c r="C388" s="30" t="inlineStr">
        <is>
          <t>D4</t>
        </is>
      </c>
      <c r="D388" s="32" t="inlineStr">
        <is>
          <t>Binary Indexed Tree</t>
        </is>
      </c>
      <c r="E388" s="28" t="inlineStr">
        <is>
          <t>트리 / 힙 / 세그먼트트리</t>
        </is>
      </c>
      <c r="F388" s="28" t="n"/>
      <c r="G388" s="28" t="n"/>
      <c r="H388" s="28" t="n"/>
      <c r="I388" s="28" t="n"/>
      <c r="J388" s="54">
        <f>IF(OR(ISNUMBER(SEARCH("보류",K388)),ISNUMBER(SEARCH("미룸",K388)),ISNUMBER(SEARCH("나중에",K388)),ISNUMBER(SEARCH("보류",L388)),ISNUMBER(SEARCH("미룸",L388)),ISNUMBER(SEARCH("나중에",L388))),"보류(나중에 풀기)",IF(AND(F388="",G388="",H388="",I388=""),"미완료",IF(I388&lt;&gt;"","복습3(마스터)",IF(H388&lt;&gt;"","복습2",IF(G388&lt;&gt;"","복습1",IF(ISNUMBER(SEARCH("제미나이",K388)),"복습대기(AI도움)",IF(ISNUMBER(SEARCH("간당간당",K388)),"복습대기(간당간당)",IF(OR(ISNUMBER(SEARCH("아이디어",K388)),ISNUMBER(SEARCH("시간초과",K388)),ISNUMBER(SEARCH("자료구조",K388)),ISNUMBER(SEARCH("경계값",K388)),ISNUMBER(SEARCH("다른 풀이",K388)),ISNUMBER(SEARCH("또풀기",K388))),"복습대기",IF(OR(ISNUMBER(SEARCH("복습필요없음",K388)),ISNUMBER(SEARCH("자력완벽",K388))),"품(복습불필요)",IF(F388&lt;&gt;"","품","미완료"))))))))))</f>
        <v/>
      </c>
      <c r="K388" s="32" t="inlineStr">
        <is>
          <t>-</t>
        </is>
      </c>
      <c r="L388" s="32" t="n"/>
      <c r="M388" s="28">
        <f>IF(OR(LEFT(J388,2)="보류", LEFT(J388,4)="복습대기", LEFT(J388,3)="복습1", LEFT(J388,3)="복습2"), MAX($M$3:M387)+1, "")</f>
        <v/>
      </c>
      <c r="N388" s="28" t="inlineStr">
        <is>
          <t>W11</t>
        </is>
      </c>
      <c r="O388" s="36" t="n">
        <v>46332</v>
      </c>
      <c r="P388" s="30">
        <f>IF(F388&lt;&gt;"","✅ 완료",IF(O388="","-",IF(TODAY()&gt;O388,"🚨 지연","⏳ 예정")))</f>
        <v/>
      </c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 ht="21.75" customHeight="1" s="209">
      <c r="A389" s="28" t="n">
        <v>386</v>
      </c>
      <c r="B389" s="28" t="inlineStr">
        <is>
          <t>3074</t>
        </is>
      </c>
      <c r="C389" s="30" t="inlineStr">
        <is>
          <t>D4</t>
        </is>
      </c>
      <c r="D389" s="32" t="inlineStr">
        <is>
          <t>입국심사</t>
        </is>
      </c>
      <c r="E389" s="28" t="inlineStr">
        <is>
          <t>DFS / BFS / 백트래킹</t>
        </is>
      </c>
      <c r="F389" s="28" t="n"/>
      <c r="G389" s="28" t="n"/>
      <c r="H389" s="28" t="n"/>
      <c r="I389" s="28" t="n"/>
      <c r="J389" s="54">
        <f>IF(OR(ISNUMBER(SEARCH("보류",K389)),ISNUMBER(SEARCH("미룸",K389)),ISNUMBER(SEARCH("나중에",K389)),ISNUMBER(SEARCH("보류",L389)),ISNUMBER(SEARCH("미룸",L389)),ISNUMBER(SEARCH("나중에",L389))),"보류(나중에 풀기)",IF(AND(F389="",G389="",H389="",I389=""),"미완료",IF(I389&lt;&gt;"","복습3(마스터)",IF(H389&lt;&gt;"","복습2",IF(G389&lt;&gt;"","복습1",IF(ISNUMBER(SEARCH("제미나이",K389)),"복습대기(AI도움)",IF(ISNUMBER(SEARCH("간당간당",K389)),"복습대기(간당간당)",IF(OR(ISNUMBER(SEARCH("아이디어",K389)),ISNUMBER(SEARCH("시간초과",K389)),ISNUMBER(SEARCH("자료구조",K389)),ISNUMBER(SEARCH("경계값",K389)),ISNUMBER(SEARCH("다른 풀이",K389)),ISNUMBER(SEARCH("또풀기",K389))),"복습대기",IF(OR(ISNUMBER(SEARCH("복습필요없음",K389)),ISNUMBER(SEARCH("자력완벽",K389))),"품(복습불필요)",IF(F389&lt;&gt;"","품","미완료"))))))))))</f>
        <v/>
      </c>
      <c r="K389" s="32" t="inlineStr">
        <is>
          <t>-</t>
        </is>
      </c>
      <c r="L389" s="32" t="n"/>
      <c r="M389" s="28">
        <f>IF(OR(LEFT(J389,2)="보류", LEFT(J389,4)="복습대기", LEFT(J389,3)="복습1", LEFT(J389,3)="복습2"), MAX($M$3:M388)+1, "")</f>
        <v/>
      </c>
      <c r="N389" s="28" t="inlineStr">
        <is>
          <t>W11</t>
        </is>
      </c>
      <c r="O389" s="36" t="n">
        <v>46332</v>
      </c>
      <c r="P389" s="30">
        <f>IF(F389&lt;&gt;"","✅ 완료",IF(O389="","-",IF(TODAY()&gt;O389,"🚨 지연","⏳ 예정")))</f>
        <v/>
      </c>
      <c r="Q389" s="7" t="n"/>
      <c r="R389" s="7" t="n"/>
      <c r="S389" s="7" t="n"/>
      <c r="T389" s="7" t="n"/>
      <c r="U389" s="7" t="n"/>
      <c r="V389" s="7" t="n"/>
      <c r="W389" s="7" t="n"/>
      <c r="X389" s="7" t="n"/>
    </row>
    <row r="390" ht="21.75" customHeight="1" s="209">
      <c r="A390" s="28" t="n">
        <v>387</v>
      </c>
      <c r="B390" s="28" t="inlineStr">
        <is>
          <t>3124</t>
        </is>
      </c>
      <c r="C390" s="30" t="inlineStr">
        <is>
          <t>D4</t>
        </is>
      </c>
      <c r="D390" s="32" t="inlineStr">
        <is>
          <t>최소 스패닝 트리</t>
        </is>
      </c>
      <c r="E390" s="28" t="inlineStr">
        <is>
          <t>그래프 / MST (최소 스패닝 트리)</t>
        </is>
      </c>
      <c r="F390" s="28" t="n"/>
      <c r="G390" s="28" t="n"/>
      <c r="H390" s="28" t="n"/>
      <c r="I390" s="28" t="n"/>
      <c r="J390" s="54">
        <f>IF(OR(ISNUMBER(SEARCH("보류",K390)),ISNUMBER(SEARCH("미룸",K390)),ISNUMBER(SEARCH("나중에",K390)),ISNUMBER(SEARCH("보류",L390)),ISNUMBER(SEARCH("미룸",L390)),ISNUMBER(SEARCH("나중에",L390))),"보류(나중에 풀기)",IF(AND(F390="",G390="",H390="",I390=""),"미완료",IF(I390&lt;&gt;"","복습3(마스터)",IF(H390&lt;&gt;"","복습2",IF(G390&lt;&gt;"","복습1",IF(ISNUMBER(SEARCH("제미나이",K390)),"복습대기(AI도움)",IF(ISNUMBER(SEARCH("간당간당",K390)),"복습대기(간당간당)",IF(OR(ISNUMBER(SEARCH("아이디어",K390)),ISNUMBER(SEARCH("시간초과",K390)),ISNUMBER(SEARCH("자료구조",K390)),ISNUMBER(SEARCH("경계값",K390)),ISNUMBER(SEARCH("다른 풀이",K390)),ISNUMBER(SEARCH("또풀기",K390))),"복습대기",IF(OR(ISNUMBER(SEARCH("복습필요없음",K390)),ISNUMBER(SEARCH("자력완벽",K390))),"품(복습불필요)",IF(F390&lt;&gt;"","품","미완료"))))))))))</f>
        <v/>
      </c>
      <c r="K390" s="32" t="inlineStr">
        <is>
          <t>-</t>
        </is>
      </c>
      <c r="L390" s="32" t="n"/>
      <c r="M390" s="28">
        <f>IF(OR(LEFT(J390,2)="보류", LEFT(J390,4)="복습대기", LEFT(J390,3)="복습1", LEFT(J390,3)="복습2"), MAX($M$3:M389)+1, "")</f>
        <v/>
      </c>
      <c r="N390" s="28" t="inlineStr">
        <is>
          <t>W11</t>
        </is>
      </c>
      <c r="O390" s="36" t="n">
        <v>46333</v>
      </c>
      <c r="P390" s="30">
        <f>IF(F390&lt;&gt;"","✅ 완료",IF(O390="","-",IF(TODAY()&gt;O390,"🚨 지연","⏳ 예정")))</f>
        <v/>
      </c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 ht="21.75" customHeight="1" s="209">
      <c r="A391" s="28" t="n">
        <v>388</v>
      </c>
      <c r="B391" s="28" t="inlineStr">
        <is>
          <t>3143</t>
        </is>
      </c>
      <c r="C391" s="30" t="inlineStr">
        <is>
          <t>D4</t>
        </is>
      </c>
      <c r="D391" s="32" t="inlineStr">
        <is>
          <t>가장 빠른 문자열 타이핑</t>
        </is>
      </c>
      <c r="E391" s="28" t="inlineStr">
        <is>
          <t>문자열 / 파싱</t>
        </is>
      </c>
      <c r="F391" s="28" t="n"/>
      <c r="G391" s="28" t="n"/>
      <c r="H391" s="28" t="n"/>
      <c r="I391" s="28" t="n"/>
      <c r="J391" s="54">
        <f>IF(OR(ISNUMBER(SEARCH("보류",K391)),ISNUMBER(SEARCH("미룸",K391)),ISNUMBER(SEARCH("나중에",K391)),ISNUMBER(SEARCH("보류",L391)),ISNUMBER(SEARCH("미룸",L391)),ISNUMBER(SEARCH("나중에",L391))),"보류(나중에 풀기)",IF(AND(F391="",G391="",H391="",I391=""),"미완료",IF(I391&lt;&gt;"","복습3(마스터)",IF(H391&lt;&gt;"","복습2",IF(G391&lt;&gt;"","복습1",IF(ISNUMBER(SEARCH("제미나이",K391)),"복습대기(AI도움)",IF(ISNUMBER(SEARCH("간당간당",K391)),"복습대기(간당간당)",IF(OR(ISNUMBER(SEARCH("아이디어",K391)),ISNUMBER(SEARCH("시간초과",K391)),ISNUMBER(SEARCH("자료구조",K391)),ISNUMBER(SEARCH("경계값",K391)),ISNUMBER(SEARCH("다른 풀이",K391)),ISNUMBER(SEARCH("또풀기",K391))),"복습대기",IF(OR(ISNUMBER(SEARCH("복습필요없음",K391)),ISNUMBER(SEARCH("자력완벽",K391))),"품(복습불필요)",IF(F391&lt;&gt;"","품","미완료"))))))))))</f>
        <v/>
      </c>
      <c r="K391" s="32" t="inlineStr">
        <is>
          <t>-</t>
        </is>
      </c>
      <c r="L391" s="32" t="n"/>
      <c r="M391" s="28">
        <f>IF(OR(LEFT(J391,2)="보류", LEFT(J391,4)="복습대기", LEFT(J391,3)="복습1", LEFT(J391,3)="복습2"), MAX($M$3:M390)+1, "")</f>
        <v/>
      </c>
      <c r="N391" s="28" t="inlineStr">
        <is>
          <t>W11</t>
        </is>
      </c>
      <c r="O391" s="36" t="n">
        <v>46333</v>
      </c>
      <c r="P391" s="30">
        <f>IF(F391&lt;&gt;"","✅ 완료",IF(O391="","-",IF(TODAY()&gt;O391,"🚨 지연","⏳ 예정")))</f>
        <v/>
      </c>
      <c r="Q391" s="7" t="n"/>
      <c r="R391" s="7" t="n"/>
      <c r="S391" s="7" t="n"/>
      <c r="T391" s="7" t="n"/>
      <c r="U391" s="7" t="n"/>
      <c r="V391" s="7" t="n"/>
      <c r="W391" s="7" t="n"/>
      <c r="X391" s="7" t="n"/>
    </row>
    <row r="392" ht="21.75" customHeight="1" s="209">
      <c r="A392" s="28" t="n">
        <v>389</v>
      </c>
      <c r="B392" s="28" t="inlineStr">
        <is>
          <t>3234</t>
        </is>
      </c>
      <c r="C392" s="30" t="inlineStr">
        <is>
          <t>D4</t>
        </is>
      </c>
      <c r="D392" s="32" t="inlineStr">
        <is>
          <t>준환이의 양팔저울</t>
        </is>
      </c>
      <c r="E392" s="28" t="inlineStr">
        <is>
          <t>DFS / BFS / 백트래킹</t>
        </is>
      </c>
      <c r="F392" s="28" t="n"/>
      <c r="G392" s="28" t="n"/>
      <c r="H392" s="28" t="n"/>
      <c r="I392" s="28" t="n"/>
      <c r="J392" s="54">
        <f>IF(OR(ISNUMBER(SEARCH("보류",K392)),ISNUMBER(SEARCH("미룸",K392)),ISNUMBER(SEARCH("나중에",K392)),ISNUMBER(SEARCH("보류",L392)),ISNUMBER(SEARCH("미룸",L392)),ISNUMBER(SEARCH("나중에",L392))),"보류(나중에 풀기)",IF(AND(F392="",G392="",H392="",I392=""),"미완료",IF(I392&lt;&gt;"","복습3(마스터)",IF(H392&lt;&gt;"","복습2",IF(G392&lt;&gt;"","복습1",IF(ISNUMBER(SEARCH("제미나이",K392)),"복습대기(AI도움)",IF(ISNUMBER(SEARCH("간당간당",K392)),"복습대기(간당간당)",IF(OR(ISNUMBER(SEARCH("아이디어",K392)),ISNUMBER(SEARCH("시간초과",K392)),ISNUMBER(SEARCH("자료구조",K392)),ISNUMBER(SEARCH("경계값",K392)),ISNUMBER(SEARCH("다른 풀이",K392)),ISNUMBER(SEARCH("또풀기",K392))),"복습대기",IF(OR(ISNUMBER(SEARCH("복습필요없음",K392)),ISNUMBER(SEARCH("자력완벽",K392))),"품(복습불필요)",IF(F392&lt;&gt;"","품","미완료"))))))))))</f>
        <v/>
      </c>
      <c r="K392" s="32" t="inlineStr">
        <is>
          <t>-</t>
        </is>
      </c>
      <c r="L392" s="32" t="n"/>
      <c r="M392" s="28">
        <f>IF(OR(LEFT(J392,2)="보류", LEFT(J392,4)="복습대기", LEFT(J392,3)="복습1", LEFT(J392,3)="복습2"), MAX($M$3:M391)+1, "")</f>
        <v/>
      </c>
      <c r="N392" s="28" t="inlineStr">
        <is>
          <t>W11</t>
        </is>
      </c>
      <c r="O392" s="36" t="n">
        <v>46333</v>
      </c>
      <c r="P392" s="30">
        <f>IF(F392&lt;&gt;"","✅ 완료",IF(O392="","-",IF(TODAY()&gt;O392,"🚨 지연","⏳ 예정")))</f>
        <v/>
      </c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 ht="21.75" customHeight="1" s="209">
      <c r="A393" s="28" t="n">
        <v>390</v>
      </c>
      <c r="B393" s="28" t="inlineStr">
        <is>
          <t>3263</t>
        </is>
      </c>
      <c r="C393" s="30" t="inlineStr">
        <is>
          <t>D4</t>
        </is>
      </c>
      <c r="D393" s="32" t="inlineStr">
        <is>
          <t>오름차순 줄 세우기</t>
        </is>
      </c>
      <c r="E393" s="28" t="inlineStr">
        <is>
          <t>DFS / BFS / 백트래킹</t>
        </is>
      </c>
      <c r="F393" s="28" t="n"/>
      <c r="G393" s="28" t="n"/>
      <c r="H393" s="28" t="n"/>
      <c r="I393" s="28" t="n"/>
      <c r="J393" s="54">
        <f>IF(OR(ISNUMBER(SEARCH("보류",K393)),ISNUMBER(SEARCH("미룸",K393)),ISNUMBER(SEARCH("나중에",K393)),ISNUMBER(SEARCH("보류",L393)),ISNUMBER(SEARCH("미룸",L393)),ISNUMBER(SEARCH("나중에",L393))),"보류(나중에 풀기)",IF(AND(F393="",G393="",H393="",I393=""),"미완료",IF(I393&lt;&gt;"","복습3(마스터)",IF(H393&lt;&gt;"","복습2",IF(G393&lt;&gt;"","복습1",IF(ISNUMBER(SEARCH("제미나이",K393)),"복습대기(AI도움)",IF(ISNUMBER(SEARCH("간당간당",K393)),"복습대기(간당간당)",IF(OR(ISNUMBER(SEARCH("아이디어",K393)),ISNUMBER(SEARCH("시간초과",K393)),ISNUMBER(SEARCH("자료구조",K393)),ISNUMBER(SEARCH("경계값",K393)),ISNUMBER(SEARCH("다른 풀이",K393)),ISNUMBER(SEARCH("또풀기",K393))),"복습대기",IF(OR(ISNUMBER(SEARCH("복습필요없음",K393)),ISNUMBER(SEARCH("자력완벽",K393))),"품(복습불필요)",IF(F393&lt;&gt;"","품","미완료"))))))))))</f>
        <v/>
      </c>
      <c r="K393" s="32" t="inlineStr">
        <is>
          <t>-</t>
        </is>
      </c>
      <c r="L393" s="32" t="n"/>
      <c r="M393" s="28">
        <f>IF(OR(LEFT(J393,2)="보류", LEFT(J393,4)="복습대기", LEFT(J393,3)="복습1", LEFT(J393,3)="복습2"), MAX($M$3:M392)+1, "")</f>
        <v/>
      </c>
      <c r="N393" s="28" t="inlineStr">
        <is>
          <t>W11</t>
        </is>
      </c>
      <c r="O393" s="36" t="n">
        <v>46333</v>
      </c>
      <c r="P393" s="30">
        <f>IF(F393&lt;&gt;"","✅ 완료",IF(O393="","-",IF(TODAY()&gt;O393,"🚨 지연","⏳ 예정")))</f>
        <v/>
      </c>
      <c r="Q393" s="7" t="n"/>
      <c r="R393" s="7" t="n"/>
      <c r="S393" s="7" t="n"/>
      <c r="T393" s="7" t="n"/>
      <c r="U393" s="7" t="n"/>
      <c r="V393" s="7" t="n"/>
      <c r="W393" s="7" t="n"/>
      <c r="X393" s="7" t="n"/>
    </row>
    <row r="394" ht="21.75" customHeight="1" s="209">
      <c r="A394" s="28" t="n">
        <v>391</v>
      </c>
      <c r="B394" s="28" t="inlineStr">
        <is>
          <t>3316</t>
        </is>
      </c>
      <c r="C394" s="30" t="inlineStr">
        <is>
          <t>D4</t>
        </is>
      </c>
      <c r="D394" s="32" t="inlineStr">
        <is>
          <t>동아리실 관리하기</t>
        </is>
      </c>
      <c r="E394" s="28" t="inlineStr">
        <is>
          <t>DFS / BFS / 백트래킹</t>
        </is>
      </c>
      <c r="F394" s="28" t="n"/>
      <c r="G394" s="28" t="n"/>
      <c r="H394" s="28" t="n"/>
      <c r="I394" s="28" t="n"/>
      <c r="J394" s="54">
        <f>IF(OR(ISNUMBER(SEARCH("보류",K394)),ISNUMBER(SEARCH("미룸",K394)),ISNUMBER(SEARCH("나중에",K394)),ISNUMBER(SEARCH("보류",L394)),ISNUMBER(SEARCH("미룸",L394)),ISNUMBER(SEARCH("나중에",L394))),"보류(나중에 풀기)",IF(AND(F394="",G394="",H394="",I394=""),"미완료",IF(I394&lt;&gt;"","복습3(마스터)",IF(H394&lt;&gt;"","복습2",IF(G394&lt;&gt;"","복습1",IF(ISNUMBER(SEARCH("제미나이",K394)),"복습대기(AI도움)",IF(ISNUMBER(SEARCH("간당간당",K394)),"복습대기(간당간당)",IF(OR(ISNUMBER(SEARCH("아이디어",K394)),ISNUMBER(SEARCH("시간초과",K394)),ISNUMBER(SEARCH("자료구조",K394)),ISNUMBER(SEARCH("경계값",K394)),ISNUMBER(SEARCH("다른 풀이",K394)),ISNUMBER(SEARCH("또풀기",K394))),"복습대기",IF(OR(ISNUMBER(SEARCH("복습필요없음",K394)),ISNUMBER(SEARCH("자력완벽",K394))),"품(복습불필요)",IF(F394&lt;&gt;"","품","미완료"))))))))))</f>
        <v/>
      </c>
      <c r="K394" s="32" t="inlineStr">
        <is>
          <t>-</t>
        </is>
      </c>
      <c r="L394" s="32" t="n"/>
      <c r="M394" s="28">
        <f>IF(OR(LEFT(J394,2)="보류", LEFT(J394,4)="복습대기", LEFT(J394,3)="복습1", LEFT(J394,3)="복습2"), MAX($M$3:M393)+1, "")</f>
        <v/>
      </c>
      <c r="N394" s="28" t="inlineStr">
        <is>
          <t>W11</t>
        </is>
      </c>
      <c r="O394" s="36" t="n">
        <v>46333</v>
      </c>
      <c r="P394" s="30">
        <f>IF(F394&lt;&gt;"","✅ 완료",IF(O394="","-",IF(TODAY()&gt;O394,"🚨 지연","⏳ 예정")))</f>
        <v/>
      </c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 ht="21.75" customHeight="1" s="209">
      <c r="A395" s="28" t="n">
        <v>392</v>
      </c>
      <c r="B395" s="28" t="inlineStr">
        <is>
          <t>3347</t>
        </is>
      </c>
      <c r="C395" s="30" t="inlineStr">
        <is>
          <t>D4</t>
        </is>
      </c>
      <c r="D395" s="32" t="inlineStr">
        <is>
          <t>올림픽 종목 투표</t>
        </is>
      </c>
      <c r="E395" s="28" t="inlineStr">
        <is>
          <t>DFS / BFS / 백트래킹</t>
        </is>
      </c>
      <c r="F395" s="28" t="n"/>
      <c r="G395" s="28" t="n"/>
      <c r="H395" s="28" t="n"/>
      <c r="I395" s="28" t="n"/>
      <c r="J395" s="54">
        <f>IF(OR(ISNUMBER(SEARCH("보류",K395)),ISNUMBER(SEARCH("미룸",K395)),ISNUMBER(SEARCH("나중에",K395)),ISNUMBER(SEARCH("보류",L395)),ISNUMBER(SEARCH("미룸",L395)),ISNUMBER(SEARCH("나중에",L395))),"보류(나중에 풀기)",IF(AND(F395="",G395="",H395="",I395=""),"미완료",IF(I395&lt;&gt;"","복습3(마스터)",IF(H395&lt;&gt;"","복습2",IF(G395&lt;&gt;"","복습1",IF(ISNUMBER(SEARCH("제미나이",K395)),"복습대기(AI도움)",IF(ISNUMBER(SEARCH("간당간당",K395)),"복습대기(간당간당)",IF(OR(ISNUMBER(SEARCH("아이디어",K395)),ISNUMBER(SEARCH("시간초과",K395)),ISNUMBER(SEARCH("자료구조",K395)),ISNUMBER(SEARCH("경계값",K395)),ISNUMBER(SEARCH("다른 풀이",K395)),ISNUMBER(SEARCH("또풀기",K395))),"복습대기",IF(OR(ISNUMBER(SEARCH("복습필요없음",K395)),ISNUMBER(SEARCH("자력완벽",K395))),"품(복습불필요)",IF(F395&lt;&gt;"","품","미완료"))))))))))</f>
        <v/>
      </c>
      <c r="K395" s="32" t="inlineStr">
        <is>
          <t>-</t>
        </is>
      </c>
      <c r="L395" s="32" t="n"/>
      <c r="M395" s="28">
        <f>IF(OR(LEFT(J395,2)="보류", LEFT(J395,4)="복습대기", LEFT(J395,3)="복습1", LEFT(J395,3)="복습2"), MAX($M$3:M394)+1, "")</f>
        <v/>
      </c>
      <c r="N395" s="28" t="inlineStr">
        <is>
          <t>W11</t>
        </is>
      </c>
      <c r="O395" s="36" t="n">
        <v>46333</v>
      </c>
      <c r="P395" s="30">
        <f>IF(F395&lt;&gt;"","✅ 완료",IF(O395="","-",IF(TODAY()&gt;O395,"🚨 지연","⏳ 예정")))</f>
        <v/>
      </c>
      <c r="Q395" s="7" t="n"/>
      <c r="R395" s="7" t="n"/>
      <c r="S395" s="7" t="n"/>
      <c r="T395" s="7" t="n"/>
      <c r="U395" s="7" t="n"/>
      <c r="V395" s="7" t="n"/>
      <c r="W395" s="7" t="n"/>
      <c r="X395" s="7" t="n"/>
    </row>
    <row r="396" ht="21.75" customHeight="1" s="209">
      <c r="A396" s="28" t="n">
        <v>393</v>
      </c>
      <c r="B396" s="28" t="inlineStr">
        <is>
          <t>3349</t>
        </is>
      </c>
      <c r="C396" s="30" t="inlineStr">
        <is>
          <t>D4</t>
        </is>
      </c>
      <c r="D396" s="32" t="inlineStr">
        <is>
          <t>최솟값으로 이동하기</t>
        </is>
      </c>
      <c r="E396" s="28" t="inlineStr">
        <is>
          <t>시뮬레이션 / 구현</t>
        </is>
      </c>
      <c r="F396" s="28" t="n"/>
      <c r="G396" s="28" t="n"/>
      <c r="H396" s="28" t="n"/>
      <c r="I396" s="28" t="n"/>
      <c r="J396" s="54">
        <f>IF(OR(ISNUMBER(SEARCH("보류",K396)),ISNUMBER(SEARCH("미룸",K396)),ISNUMBER(SEARCH("나중에",K396)),ISNUMBER(SEARCH("보류",L396)),ISNUMBER(SEARCH("미룸",L396)),ISNUMBER(SEARCH("나중에",L396))),"보류(나중에 풀기)",IF(AND(F396="",G396="",H396="",I396=""),"미완료",IF(I396&lt;&gt;"","복습3(마스터)",IF(H396&lt;&gt;"","복습2",IF(G396&lt;&gt;"","복습1",IF(ISNUMBER(SEARCH("제미나이",K396)),"복습대기(AI도움)",IF(ISNUMBER(SEARCH("간당간당",K396)),"복습대기(간당간당)",IF(OR(ISNUMBER(SEARCH("아이디어",K396)),ISNUMBER(SEARCH("시간초과",K396)),ISNUMBER(SEARCH("자료구조",K396)),ISNUMBER(SEARCH("경계값",K396)),ISNUMBER(SEARCH("다른 풀이",K396)),ISNUMBER(SEARCH("또풀기",K396))),"복습대기",IF(OR(ISNUMBER(SEARCH("복습필요없음",K396)),ISNUMBER(SEARCH("자력완벽",K396))),"품(복습불필요)",IF(F396&lt;&gt;"","품","미완료"))))))))))</f>
        <v/>
      </c>
      <c r="K396" s="32" t="inlineStr">
        <is>
          <t>-</t>
        </is>
      </c>
      <c r="L396" s="32" t="n"/>
      <c r="M396" s="28">
        <f>IF(OR(LEFT(J396,2)="보류", LEFT(J396,4)="복습대기", LEFT(J396,3)="복습1", LEFT(J396,3)="복습2"), MAX($M$3:M395)+1, "")</f>
        <v/>
      </c>
      <c r="N396" s="28" t="inlineStr">
        <is>
          <t>W11</t>
        </is>
      </c>
      <c r="O396" s="36" t="n">
        <v>46333</v>
      </c>
      <c r="P396" s="30">
        <f>IF(F396&lt;&gt;"","✅ 완료",IF(O396="","-",IF(TODAY()&gt;O396,"🚨 지연","⏳ 예정")))</f>
        <v/>
      </c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 ht="21.75" customHeight="1" s="209">
      <c r="A397" s="28" t="n">
        <v>394</v>
      </c>
      <c r="B397" s="28" t="inlineStr">
        <is>
          <t>3378</t>
        </is>
      </c>
      <c r="C397" s="30" t="inlineStr">
        <is>
          <t>D4</t>
        </is>
      </c>
      <c r="D397" s="32" t="inlineStr">
        <is>
          <t>스타일리쉬 들여쓰기</t>
        </is>
      </c>
      <c r="E397" s="28" t="inlineStr">
        <is>
          <t>DFS / BFS / 백트래킹</t>
        </is>
      </c>
      <c r="F397" s="28" t="n"/>
      <c r="G397" s="28" t="n"/>
      <c r="H397" s="28" t="n"/>
      <c r="I397" s="28" t="n"/>
      <c r="J397" s="54">
        <f>IF(OR(ISNUMBER(SEARCH("보류",K397)),ISNUMBER(SEARCH("미룸",K397)),ISNUMBER(SEARCH("나중에",K397)),ISNUMBER(SEARCH("보류",L397)),ISNUMBER(SEARCH("미룸",L397)),ISNUMBER(SEARCH("나중에",L397))),"보류(나중에 풀기)",IF(AND(F397="",G397="",H397="",I397=""),"미완료",IF(I397&lt;&gt;"","복습3(마스터)",IF(H397&lt;&gt;"","복습2",IF(G397&lt;&gt;"","복습1",IF(ISNUMBER(SEARCH("제미나이",K397)),"복습대기(AI도움)",IF(ISNUMBER(SEARCH("간당간당",K397)),"복습대기(간당간당)",IF(OR(ISNUMBER(SEARCH("아이디어",K397)),ISNUMBER(SEARCH("시간초과",K397)),ISNUMBER(SEARCH("자료구조",K397)),ISNUMBER(SEARCH("경계값",K397)),ISNUMBER(SEARCH("다른 풀이",K397)),ISNUMBER(SEARCH("또풀기",K397))),"복습대기",IF(OR(ISNUMBER(SEARCH("복습필요없음",K397)),ISNUMBER(SEARCH("자력완벽",K397))),"품(복습불필요)",IF(F397&lt;&gt;"","품","미완료"))))))))))</f>
        <v/>
      </c>
      <c r="K397" s="32" t="inlineStr">
        <is>
          <t>-</t>
        </is>
      </c>
      <c r="L397" s="32" t="n"/>
      <c r="M397" s="28">
        <f>IF(OR(LEFT(J397,2)="보류", LEFT(J397,4)="복습대기", LEFT(J397,3)="복습1", LEFT(J397,3)="복습2"), MAX($M$3:M396)+1, "")</f>
        <v/>
      </c>
      <c r="N397" s="28" t="inlineStr">
        <is>
          <t>W11</t>
        </is>
      </c>
      <c r="O397" s="36" t="n">
        <v>46334</v>
      </c>
      <c r="P397" s="30">
        <f>IF(F397&lt;&gt;"","✅ 완료",IF(O397="","-",IF(TODAY()&gt;O397,"🚨 지연","⏳ 예정")))</f>
        <v/>
      </c>
      <c r="Q397" s="7" t="n"/>
      <c r="R397" s="7" t="n"/>
      <c r="S397" s="7" t="n"/>
      <c r="T397" s="7" t="n"/>
      <c r="U397" s="7" t="n"/>
      <c r="V397" s="7" t="n"/>
      <c r="W397" s="7" t="n"/>
      <c r="X397" s="7" t="n"/>
    </row>
    <row r="398" ht="21.75" customHeight="1" s="209">
      <c r="A398" s="28" t="n">
        <v>395</v>
      </c>
      <c r="B398" s="28" t="inlineStr">
        <is>
          <t>3459</t>
        </is>
      </c>
      <c r="C398" s="30" t="inlineStr">
        <is>
          <t>D4</t>
        </is>
      </c>
      <c r="D398" s="32" t="inlineStr">
        <is>
          <t>승자 예측하기</t>
        </is>
      </c>
      <c r="E398" s="28" t="inlineStr">
        <is>
          <t>DFS / BFS / 백트래킹</t>
        </is>
      </c>
      <c r="F398" s="28" t="n"/>
      <c r="G398" s="28" t="n"/>
      <c r="H398" s="28" t="n"/>
      <c r="I398" s="28" t="n"/>
      <c r="J398" s="54">
        <f>IF(OR(ISNUMBER(SEARCH("보류",K398)),ISNUMBER(SEARCH("미룸",K398)),ISNUMBER(SEARCH("나중에",K398)),ISNUMBER(SEARCH("보류",L398)),ISNUMBER(SEARCH("미룸",L398)),ISNUMBER(SEARCH("나중에",L398))),"보류(나중에 풀기)",IF(AND(F398="",G398="",H398="",I398=""),"미완료",IF(I398&lt;&gt;"","복습3(마스터)",IF(H398&lt;&gt;"","복습2",IF(G398&lt;&gt;"","복습1",IF(ISNUMBER(SEARCH("제미나이",K398)),"복습대기(AI도움)",IF(ISNUMBER(SEARCH("간당간당",K398)),"복습대기(간당간당)",IF(OR(ISNUMBER(SEARCH("아이디어",K398)),ISNUMBER(SEARCH("시간초과",K398)),ISNUMBER(SEARCH("자료구조",K398)),ISNUMBER(SEARCH("경계값",K398)),ISNUMBER(SEARCH("다른 풀이",K398)),ISNUMBER(SEARCH("또풀기",K398))),"복습대기",IF(OR(ISNUMBER(SEARCH("복습필요없음",K398)),ISNUMBER(SEARCH("자력완벽",K398))),"품(복습불필요)",IF(F398&lt;&gt;"","품","미완료"))))))))))</f>
        <v/>
      </c>
      <c r="K398" s="32" t="inlineStr">
        <is>
          <t>-</t>
        </is>
      </c>
      <c r="L398" s="32" t="n"/>
      <c r="M398" s="28">
        <f>IF(OR(LEFT(J398,2)="보류", LEFT(J398,4)="복습대기", LEFT(J398,3)="복습1", LEFT(J398,3)="복습2"), MAX($M$3:M397)+1, "")</f>
        <v/>
      </c>
      <c r="N398" s="28" t="inlineStr">
        <is>
          <t>W11</t>
        </is>
      </c>
      <c r="O398" s="36" t="n">
        <v>46334</v>
      </c>
      <c r="P398" s="30">
        <f>IF(F398&lt;&gt;"","✅ 완료",IF(O398="","-",IF(TODAY()&gt;O398,"🚨 지연","⏳ 예정")))</f>
        <v/>
      </c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 ht="21.75" customHeight="1" s="209">
      <c r="A399" s="28" t="n">
        <v>396</v>
      </c>
      <c r="B399" s="28" t="inlineStr">
        <is>
          <t>3501</t>
        </is>
      </c>
      <c r="C399" s="30" t="inlineStr">
        <is>
          <t>D4</t>
        </is>
      </c>
      <c r="D399" s="32" t="inlineStr">
        <is>
          <t>순환소수 짧게 표현하기</t>
        </is>
      </c>
      <c r="E399" s="28" t="inlineStr">
        <is>
          <t>수학 / 정수론</t>
        </is>
      </c>
      <c r="F399" s="28" t="n"/>
      <c r="G399" s="28" t="n"/>
      <c r="H399" s="28" t="n"/>
      <c r="I399" s="28" t="n"/>
      <c r="J399" s="54">
        <f>IF(OR(ISNUMBER(SEARCH("보류",K399)),ISNUMBER(SEARCH("미룸",K399)),ISNUMBER(SEARCH("나중에",K399)),ISNUMBER(SEARCH("보류",L399)),ISNUMBER(SEARCH("미룸",L399)),ISNUMBER(SEARCH("나중에",L399))),"보류(나중에 풀기)",IF(AND(F399="",G399="",H399="",I399=""),"미완료",IF(I399&lt;&gt;"","복습3(마스터)",IF(H399&lt;&gt;"","복습2",IF(G399&lt;&gt;"","복습1",IF(ISNUMBER(SEARCH("제미나이",K399)),"복습대기(AI도움)",IF(ISNUMBER(SEARCH("간당간당",K399)),"복습대기(간당간당)",IF(OR(ISNUMBER(SEARCH("아이디어",K399)),ISNUMBER(SEARCH("시간초과",K399)),ISNUMBER(SEARCH("자료구조",K399)),ISNUMBER(SEARCH("경계값",K399)),ISNUMBER(SEARCH("다른 풀이",K399)),ISNUMBER(SEARCH("또풀기",K399))),"복습대기",IF(OR(ISNUMBER(SEARCH("복습필요없음",K399)),ISNUMBER(SEARCH("자력완벽",K399))),"품(복습불필요)",IF(F399&lt;&gt;"","품","미완료"))))))))))</f>
        <v/>
      </c>
      <c r="K399" s="32" t="inlineStr">
        <is>
          <t>-</t>
        </is>
      </c>
      <c r="L399" s="32" t="n"/>
      <c r="M399" s="28">
        <f>IF(OR(LEFT(J399,2)="보류", LEFT(J399,4)="복습대기", LEFT(J399,3)="복습1", LEFT(J399,3)="복습2"), MAX($M$3:M398)+1, "")</f>
        <v/>
      </c>
      <c r="N399" s="28" t="inlineStr">
        <is>
          <t>W11</t>
        </is>
      </c>
      <c r="O399" s="36" t="n">
        <v>46334</v>
      </c>
      <c r="P399" s="30">
        <f>IF(F399&lt;&gt;"","✅ 완료",IF(O399="","-",IF(TODAY()&gt;O399,"🚨 지연","⏳ 예정")))</f>
        <v/>
      </c>
      <c r="Q399" s="7" t="n"/>
      <c r="R399" s="7" t="n"/>
      <c r="S399" s="7" t="n"/>
      <c r="T399" s="7" t="n"/>
      <c r="U399" s="7" t="n"/>
      <c r="V399" s="7" t="n"/>
      <c r="W399" s="7" t="n"/>
      <c r="X399" s="7" t="n"/>
    </row>
    <row r="400" ht="21.75" customHeight="1" s="209">
      <c r="A400" s="28" t="n">
        <v>397</v>
      </c>
      <c r="B400" s="28" t="inlineStr">
        <is>
          <t>3752</t>
        </is>
      </c>
      <c r="C400" s="30" t="inlineStr">
        <is>
          <t>D4</t>
        </is>
      </c>
      <c r="D400" s="32" t="inlineStr">
        <is>
          <t>가능한 시험 점수</t>
        </is>
      </c>
      <c r="E400" s="28" t="inlineStr">
        <is>
          <t>DFS / BFS / 백트래킹</t>
        </is>
      </c>
      <c r="F400" s="28" t="n"/>
      <c r="G400" s="28" t="n"/>
      <c r="H400" s="28" t="n"/>
      <c r="I400" s="28" t="n"/>
      <c r="J400" s="54">
        <f>IF(OR(ISNUMBER(SEARCH("보류",K400)),ISNUMBER(SEARCH("미룸",K400)),ISNUMBER(SEARCH("나중에",K400)),ISNUMBER(SEARCH("보류",L400)),ISNUMBER(SEARCH("미룸",L400)),ISNUMBER(SEARCH("나중에",L400))),"보류(나중에 풀기)",IF(AND(F400="",G400="",H400="",I400=""),"미완료",IF(I400&lt;&gt;"","복습3(마스터)",IF(H400&lt;&gt;"","복습2",IF(G400&lt;&gt;"","복습1",IF(ISNUMBER(SEARCH("제미나이",K400)),"복습대기(AI도움)",IF(ISNUMBER(SEARCH("간당간당",K400)),"복습대기(간당간당)",IF(OR(ISNUMBER(SEARCH("아이디어",K400)),ISNUMBER(SEARCH("시간초과",K400)),ISNUMBER(SEARCH("자료구조",K400)),ISNUMBER(SEARCH("경계값",K400)),ISNUMBER(SEARCH("다른 풀이",K400)),ISNUMBER(SEARCH("또풀기",K400))),"복습대기",IF(OR(ISNUMBER(SEARCH("복습필요없음",K400)),ISNUMBER(SEARCH("자력완벽",K400))),"품(복습불필요)",IF(F400&lt;&gt;"","품","미완료"))))))))))</f>
        <v/>
      </c>
      <c r="K400" s="32" t="inlineStr">
        <is>
          <t>-</t>
        </is>
      </c>
      <c r="L400" s="32" t="n"/>
      <c r="M400" s="28">
        <f>IF(OR(LEFT(J400,2)="보류", LEFT(J400,4)="복습대기", LEFT(J400,3)="복습1", LEFT(J400,3)="복습2"), MAX($M$3:M399)+1, "")</f>
        <v/>
      </c>
      <c r="N400" s="28" t="inlineStr">
        <is>
          <t>W11</t>
        </is>
      </c>
      <c r="O400" s="36" t="n">
        <v>46334</v>
      </c>
      <c r="P400" s="30">
        <f>IF(F400&lt;&gt;"","✅ 완료",IF(O400="","-",IF(TODAY()&gt;O400,"🚨 지연","⏳ 예정")))</f>
        <v/>
      </c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 ht="21.75" customHeight="1" s="209">
      <c r="A401" s="28" t="n">
        <v>398</v>
      </c>
      <c r="B401" s="28" t="inlineStr">
        <is>
          <t>3812</t>
        </is>
      </c>
      <c r="C401" s="30" t="inlineStr">
        <is>
          <t>D4</t>
        </is>
      </c>
      <c r="D401" s="32" t="inlineStr">
        <is>
          <t>호중이의 큐브색칠</t>
        </is>
      </c>
      <c r="E401" s="28" t="inlineStr">
        <is>
          <t>자료구조 (스택/큐/리스트)</t>
        </is>
      </c>
      <c r="F401" s="28" t="n"/>
      <c r="G401" s="28" t="n"/>
      <c r="H401" s="28" t="n"/>
      <c r="I401" s="28" t="n"/>
      <c r="J401" s="54">
        <f>IF(OR(ISNUMBER(SEARCH("보류",K401)),ISNUMBER(SEARCH("미룸",K401)),ISNUMBER(SEARCH("나중에",K401)),ISNUMBER(SEARCH("보류",L401)),ISNUMBER(SEARCH("미룸",L401)),ISNUMBER(SEARCH("나중에",L401))),"보류(나중에 풀기)",IF(AND(F401="",G401="",H401="",I401=""),"미완료",IF(I401&lt;&gt;"","복습3(마스터)",IF(H401&lt;&gt;"","복습2",IF(G401&lt;&gt;"","복습1",IF(ISNUMBER(SEARCH("제미나이",K401)),"복습대기(AI도움)",IF(ISNUMBER(SEARCH("간당간당",K401)),"복습대기(간당간당)",IF(OR(ISNUMBER(SEARCH("아이디어",K401)),ISNUMBER(SEARCH("시간초과",K401)),ISNUMBER(SEARCH("자료구조",K401)),ISNUMBER(SEARCH("경계값",K401)),ISNUMBER(SEARCH("다른 풀이",K401)),ISNUMBER(SEARCH("또풀기",K401))),"복습대기",IF(OR(ISNUMBER(SEARCH("복습필요없음",K401)),ISNUMBER(SEARCH("자력완벽",K401))),"품(복습불필요)",IF(F401&lt;&gt;"","품","미완료"))))))))))</f>
        <v/>
      </c>
      <c r="K401" s="32" t="inlineStr">
        <is>
          <t>-</t>
        </is>
      </c>
      <c r="L401" s="32" t="n"/>
      <c r="M401" s="28">
        <f>IF(OR(LEFT(J401,2)="보류", LEFT(J401,4)="복습대기", LEFT(J401,3)="복습1", LEFT(J401,3)="복습2"), MAX($M$3:M400)+1, "")</f>
        <v/>
      </c>
      <c r="N401" s="28" t="inlineStr">
        <is>
          <t>W11</t>
        </is>
      </c>
      <c r="O401" s="36" t="n">
        <v>46334</v>
      </c>
      <c r="P401" s="30">
        <f>IF(F401&lt;&gt;"","✅ 완료",IF(O401="","-",IF(TODAY()&gt;O401,"🚨 지연","⏳ 예정")))</f>
        <v/>
      </c>
      <c r="Q401" s="7" t="n"/>
      <c r="R401" s="7" t="n"/>
      <c r="S401" s="7" t="n"/>
      <c r="T401" s="7" t="n"/>
      <c r="U401" s="7" t="n"/>
      <c r="V401" s="7" t="n"/>
      <c r="W401" s="7" t="n"/>
      <c r="X401" s="7" t="n"/>
    </row>
    <row r="402" ht="21.75" customHeight="1" s="209">
      <c r="A402" s="28" t="n">
        <v>399</v>
      </c>
      <c r="B402" s="28" t="inlineStr">
        <is>
          <t>3814</t>
        </is>
      </c>
      <c r="C402" s="30" t="inlineStr">
        <is>
          <t>D4</t>
        </is>
      </c>
      <c r="D402" s="32" t="inlineStr">
        <is>
          <t>[Professional] 평등주의</t>
        </is>
      </c>
      <c r="E402" s="28" t="inlineStr">
        <is>
          <t>DFS / BFS / 백트래킹</t>
        </is>
      </c>
      <c r="F402" s="28" t="n"/>
      <c r="G402" s="28" t="n"/>
      <c r="H402" s="28" t="n"/>
      <c r="I402" s="28" t="n"/>
      <c r="J402" s="54">
        <f>IF(OR(ISNUMBER(SEARCH("보류",K402)),ISNUMBER(SEARCH("미룸",K402)),ISNUMBER(SEARCH("나중에",K402)),ISNUMBER(SEARCH("보류",L402)),ISNUMBER(SEARCH("미룸",L402)),ISNUMBER(SEARCH("나중에",L402))),"보류(나중에 풀기)",IF(AND(F402="",G402="",H402="",I402=""),"미완료",IF(I402&lt;&gt;"","복습3(마스터)",IF(H402&lt;&gt;"","복습2",IF(G402&lt;&gt;"","복습1",IF(ISNUMBER(SEARCH("제미나이",K402)),"복습대기(AI도움)",IF(ISNUMBER(SEARCH("간당간당",K402)),"복습대기(간당간당)",IF(OR(ISNUMBER(SEARCH("아이디어",K402)),ISNUMBER(SEARCH("시간초과",K402)),ISNUMBER(SEARCH("자료구조",K402)),ISNUMBER(SEARCH("경계값",K402)),ISNUMBER(SEARCH("다른 풀이",K402)),ISNUMBER(SEARCH("또풀기",K402))),"복습대기",IF(OR(ISNUMBER(SEARCH("복습필요없음",K402)),ISNUMBER(SEARCH("자력완벽",K402))),"품(복습불필요)",IF(F402&lt;&gt;"","품","미완료"))))))))))</f>
        <v/>
      </c>
      <c r="K402" s="32" t="inlineStr">
        <is>
          <t>-</t>
        </is>
      </c>
      <c r="L402" s="32" t="n"/>
      <c r="M402" s="28">
        <f>IF(OR(LEFT(J402,2)="보류", LEFT(J402,4)="복습대기", LEFT(J402,3)="복습1", LEFT(J402,3)="복습2"), MAX($M$3:M401)+1, "")</f>
        <v/>
      </c>
      <c r="N402" s="28" t="inlineStr">
        <is>
          <t>W11</t>
        </is>
      </c>
      <c r="O402" s="36" t="n">
        <v>46334</v>
      </c>
      <c r="P402" s="30">
        <f>IF(F402&lt;&gt;"","✅ 완료",IF(O402="","-",IF(TODAY()&gt;O402,"🚨 지연","⏳ 예정")))</f>
        <v/>
      </c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 ht="21.75" customHeight="1" s="209">
      <c r="A403" s="28" t="n">
        <v>400</v>
      </c>
      <c r="B403" s="28" t="inlineStr">
        <is>
          <t>3816</t>
        </is>
      </c>
      <c r="C403" s="30" t="inlineStr">
        <is>
          <t>D4</t>
        </is>
      </c>
      <c r="D403" s="32" t="inlineStr">
        <is>
          <t>[Professional] 아나그램</t>
        </is>
      </c>
      <c r="E403" s="28" t="inlineStr">
        <is>
          <t>DFS / BFS / 백트래킹</t>
        </is>
      </c>
      <c r="F403" s="28" t="n"/>
      <c r="G403" s="28" t="n"/>
      <c r="H403" s="28" t="n"/>
      <c r="I403" s="28" t="n"/>
      <c r="J403" s="54">
        <f>IF(OR(ISNUMBER(SEARCH("보류",K403)),ISNUMBER(SEARCH("미룸",K403)),ISNUMBER(SEARCH("나중에",K403)),ISNUMBER(SEARCH("보류",L403)),ISNUMBER(SEARCH("미룸",L403)),ISNUMBER(SEARCH("나중에",L403))),"보류(나중에 풀기)",IF(AND(F403="",G403="",H403="",I403=""),"미완료",IF(I403&lt;&gt;"","복습3(마스터)",IF(H403&lt;&gt;"","복습2",IF(G403&lt;&gt;"","복습1",IF(ISNUMBER(SEARCH("제미나이",K403)),"복습대기(AI도움)",IF(ISNUMBER(SEARCH("간당간당",K403)),"복습대기(간당간당)",IF(OR(ISNUMBER(SEARCH("아이디어",K403)),ISNUMBER(SEARCH("시간초과",K403)),ISNUMBER(SEARCH("자료구조",K403)),ISNUMBER(SEARCH("경계값",K403)),ISNUMBER(SEARCH("다른 풀이",K403)),ISNUMBER(SEARCH("또풀기",K403))),"복습대기",IF(OR(ISNUMBER(SEARCH("복습필요없음",K403)),ISNUMBER(SEARCH("자력완벽",K403))),"품(복습불필요)",IF(F403&lt;&gt;"","품","미완료"))))))))))</f>
        <v/>
      </c>
      <c r="K403" s="32" t="inlineStr">
        <is>
          <t>-</t>
        </is>
      </c>
      <c r="L403" s="32" t="n"/>
      <c r="M403" s="28">
        <f>IF(OR(LEFT(J403,2)="보류", LEFT(J403,4)="복습대기", LEFT(J403,3)="복습1", LEFT(J403,3)="복습2"), MAX($M$3:M402)+1, "")</f>
        <v/>
      </c>
      <c r="N403" s="28" t="inlineStr">
        <is>
          <t>W11</t>
        </is>
      </c>
      <c r="O403" s="36" t="n">
        <v>46334</v>
      </c>
      <c r="P403" s="30">
        <f>IF(F403&lt;&gt;"","✅ 완료",IF(O403="","-",IF(TODAY()&gt;O403,"🚨 지연","⏳ 예정")))</f>
        <v/>
      </c>
      <c r="Q403" s="7" t="n"/>
      <c r="R403" s="7" t="n"/>
      <c r="S403" s="7" t="n"/>
      <c r="T403" s="7" t="n"/>
      <c r="U403" s="7" t="n"/>
      <c r="V403" s="7" t="n"/>
      <c r="W403" s="7" t="n"/>
      <c r="X403" s="7" t="n"/>
    </row>
    <row r="404" ht="21.75" customHeight="1" s="209">
      <c r="A404" s="28" t="n">
        <v>401</v>
      </c>
      <c r="B404" s="28" t="inlineStr">
        <is>
          <t>3819</t>
        </is>
      </c>
      <c r="C404" s="30" t="inlineStr">
        <is>
          <t>D4</t>
        </is>
      </c>
      <c r="D404" s="32" t="inlineStr">
        <is>
          <t>[Professional] 최대 부분 배열</t>
        </is>
      </c>
      <c r="E404" s="28" t="inlineStr">
        <is>
          <t>시뮬레이션 / 구현</t>
        </is>
      </c>
      <c r="F404" s="28" t="n"/>
      <c r="G404" s="28" t="n"/>
      <c r="H404" s="28" t="n"/>
      <c r="I404" s="28" t="n"/>
      <c r="J404" s="54">
        <f>IF(OR(ISNUMBER(SEARCH("보류",K404)),ISNUMBER(SEARCH("미룸",K404)),ISNUMBER(SEARCH("나중에",K404)),ISNUMBER(SEARCH("보류",L404)),ISNUMBER(SEARCH("미룸",L404)),ISNUMBER(SEARCH("나중에",L404))),"보류(나중에 풀기)",IF(AND(F404="",G404="",H404="",I404=""),"미완료",IF(I404&lt;&gt;"","복습3(마스터)",IF(H404&lt;&gt;"","복습2",IF(G404&lt;&gt;"","복습1",IF(ISNUMBER(SEARCH("제미나이",K404)),"복습대기(AI도움)",IF(ISNUMBER(SEARCH("간당간당",K404)),"복습대기(간당간당)",IF(OR(ISNUMBER(SEARCH("아이디어",K404)),ISNUMBER(SEARCH("시간초과",K404)),ISNUMBER(SEARCH("자료구조",K404)),ISNUMBER(SEARCH("경계값",K404)),ISNUMBER(SEARCH("다른 풀이",K404)),ISNUMBER(SEARCH("또풀기",K404))),"복습대기",IF(OR(ISNUMBER(SEARCH("복습필요없음",K404)),ISNUMBER(SEARCH("자력완벽",K404))),"품(복습불필요)",IF(F404&lt;&gt;"","품","미완료"))))))))))</f>
        <v/>
      </c>
      <c r="K404" s="32" t="inlineStr">
        <is>
          <t>-</t>
        </is>
      </c>
      <c r="L404" s="32" t="n"/>
      <c r="M404" s="28">
        <f>IF(OR(LEFT(J404,2)="보류", LEFT(J404,4)="복습대기", LEFT(J404,3)="복습1", LEFT(J404,3)="복습2"), MAX($M$3:M403)+1, "")</f>
        <v/>
      </c>
      <c r="N404" s="28" t="inlineStr">
        <is>
          <t>W12</t>
        </is>
      </c>
      <c r="O404" s="36" t="n">
        <v>46335</v>
      </c>
      <c r="P404" s="30">
        <f>IF(F404&lt;&gt;"","✅ 완료",IF(O404="","-",IF(TODAY()&gt;O404,"🚨 지연","⏳ 예정")))</f>
        <v/>
      </c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 ht="21.75" customHeight="1" s="209">
      <c r="A405" s="28" t="n">
        <v>402</v>
      </c>
      <c r="B405" s="28" t="inlineStr">
        <is>
          <t>3820</t>
        </is>
      </c>
      <c r="C405" s="30" t="inlineStr">
        <is>
          <t>D4</t>
        </is>
      </c>
      <c r="D405" s="32" t="inlineStr">
        <is>
          <t>[Professional] 롤러코스터</t>
        </is>
      </c>
      <c r="E405" s="28" t="inlineStr">
        <is>
          <t>DFS / BFS / 백트래킹</t>
        </is>
      </c>
      <c r="F405" s="28" t="n"/>
      <c r="G405" s="28" t="n"/>
      <c r="H405" s="28" t="n"/>
      <c r="I405" s="28" t="n"/>
      <c r="J405" s="54">
        <f>IF(OR(ISNUMBER(SEARCH("보류",K405)),ISNUMBER(SEARCH("미룸",K405)),ISNUMBER(SEARCH("나중에",K405)),ISNUMBER(SEARCH("보류",L405)),ISNUMBER(SEARCH("미룸",L405)),ISNUMBER(SEARCH("나중에",L405))),"보류(나중에 풀기)",IF(AND(F405="",G405="",H405="",I405=""),"미완료",IF(I405&lt;&gt;"","복습3(마스터)",IF(H405&lt;&gt;"","복습2",IF(G405&lt;&gt;"","복습1",IF(ISNUMBER(SEARCH("제미나이",K405)),"복습대기(AI도움)",IF(ISNUMBER(SEARCH("간당간당",K405)),"복습대기(간당간당)",IF(OR(ISNUMBER(SEARCH("아이디어",K405)),ISNUMBER(SEARCH("시간초과",K405)),ISNUMBER(SEARCH("자료구조",K405)),ISNUMBER(SEARCH("경계값",K405)),ISNUMBER(SEARCH("다른 풀이",K405)),ISNUMBER(SEARCH("또풀기",K405))),"복습대기",IF(OR(ISNUMBER(SEARCH("복습필요없음",K405)),ISNUMBER(SEARCH("자력완벽",K405))),"품(복습불필요)",IF(F405&lt;&gt;"","품","미완료"))))))))))</f>
        <v/>
      </c>
      <c r="K405" s="32" t="inlineStr">
        <is>
          <t>-</t>
        </is>
      </c>
      <c r="L405" s="32" t="n"/>
      <c r="M405" s="28">
        <f>IF(OR(LEFT(J405,2)="보류", LEFT(J405,4)="복습대기", LEFT(J405,3)="복습1", LEFT(J405,3)="복습2"), MAX($M$3:M404)+1, "")</f>
        <v/>
      </c>
      <c r="N405" s="28" t="inlineStr">
        <is>
          <t>W12</t>
        </is>
      </c>
      <c r="O405" s="36" t="n">
        <v>46335</v>
      </c>
      <c r="P405" s="30">
        <f>IF(F405&lt;&gt;"","✅ 완료",IF(O405="","-",IF(TODAY()&gt;O405,"🚨 지연","⏳ 예정")))</f>
        <v/>
      </c>
      <c r="Q405" s="7" t="n"/>
      <c r="R405" s="7" t="n"/>
      <c r="S405" s="7" t="n"/>
      <c r="T405" s="7" t="n"/>
      <c r="U405" s="7" t="n"/>
      <c r="V405" s="7" t="n"/>
      <c r="W405" s="7" t="n"/>
      <c r="X405" s="7" t="n"/>
    </row>
    <row r="406" ht="21.75" customHeight="1" s="209">
      <c r="A406" s="28" t="n">
        <v>403</v>
      </c>
      <c r="B406" s="28" t="inlineStr">
        <is>
          <t>3947</t>
        </is>
      </c>
      <c r="C406" s="30" t="inlineStr">
        <is>
          <t>D4</t>
        </is>
      </c>
      <c r="D406" s="32" t="inlineStr">
        <is>
          <t>[Professional] 가장 짧은 길 전부 청소하기</t>
        </is>
      </c>
      <c r="E406" s="28" t="inlineStr">
        <is>
          <t>시뮬레이션 / 구현</t>
        </is>
      </c>
      <c r="F406" s="28" t="n"/>
      <c r="G406" s="28" t="n"/>
      <c r="H406" s="28" t="n"/>
      <c r="I406" s="28" t="n"/>
      <c r="J406" s="54">
        <f>IF(OR(ISNUMBER(SEARCH("보류",K406)),ISNUMBER(SEARCH("미룸",K406)),ISNUMBER(SEARCH("나중에",K406)),ISNUMBER(SEARCH("보류",L406)),ISNUMBER(SEARCH("미룸",L406)),ISNUMBER(SEARCH("나중에",L406))),"보류(나중에 풀기)",IF(AND(F406="",G406="",H406="",I406=""),"미완료",IF(I406&lt;&gt;"","복습3(마스터)",IF(H406&lt;&gt;"","복습2",IF(G406&lt;&gt;"","복습1",IF(ISNUMBER(SEARCH("제미나이",K406)),"복습대기(AI도움)",IF(ISNUMBER(SEARCH("간당간당",K406)),"복습대기(간당간당)",IF(OR(ISNUMBER(SEARCH("아이디어",K406)),ISNUMBER(SEARCH("시간초과",K406)),ISNUMBER(SEARCH("자료구조",K406)),ISNUMBER(SEARCH("경계값",K406)),ISNUMBER(SEARCH("다른 풀이",K406)),ISNUMBER(SEARCH("또풀기",K406))),"복습대기",IF(OR(ISNUMBER(SEARCH("복습필요없음",K406)),ISNUMBER(SEARCH("자력완벽",K406))),"품(복습불필요)",IF(F406&lt;&gt;"","품","미완료"))))))))))</f>
        <v/>
      </c>
      <c r="K406" s="32" t="inlineStr">
        <is>
          <t>-</t>
        </is>
      </c>
      <c r="L406" s="32" t="n"/>
      <c r="M406" s="28">
        <f>IF(OR(LEFT(J406,2)="보류", LEFT(J406,4)="복습대기", LEFT(J406,3)="복습1", LEFT(J406,3)="복습2"), MAX($M$3:M405)+1, "")</f>
        <v/>
      </c>
      <c r="N406" s="28" t="inlineStr">
        <is>
          <t>W12</t>
        </is>
      </c>
      <c r="O406" s="36" t="n">
        <v>46335</v>
      </c>
      <c r="P406" s="30">
        <f>IF(F406&lt;&gt;"","✅ 완료",IF(O406="","-",IF(TODAY()&gt;O406,"🚨 지연","⏳ 예정")))</f>
        <v/>
      </c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 ht="21.75" customHeight="1" s="209">
      <c r="A407" s="28" t="n">
        <v>404</v>
      </c>
      <c r="B407" s="28" t="inlineStr">
        <is>
          <t>3951</t>
        </is>
      </c>
      <c r="C407" s="30" t="inlineStr">
        <is>
          <t>D4</t>
        </is>
      </c>
      <c r="D407" s="32" t="inlineStr">
        <is>
          <t>[Professional] CRT</t>
        </is>
      </c>
      <c r="E407" s="28" t="inlineStr">
        <is>
          <t>DFS / BFS / 백트래킹</t>
        </is>
      </c>
      <c r="F407" s="28" t="n"/>
      <c r="G407" s="28" t="n"/>
      <c r="H407" s="28" t="n"/>
      <c r="I407" s="28" t="n"/>
      <c r="J407" s="54">
        <f>IF(OR(ISNUMBER(SEARCH("보류",K407)),ISNUMBER(SEARCH("미룸",K407)),ISNUMBER(SEARCH("나중에",K407)),ISNUMBER(SEARCH("보류",L407)),ISNUMBER(SEARCH("미룸",L407)),ISNUMBER(SEARCH("나중에",L407))),"보류(나중에 풀기)",IF(AND(F407="",G407="",H407="",I407=""),"미완료",IF(I407&lt;&gt;"","복습3(마스터)",IF(H407&lt;&gt;"","복습2",IF(G407&lt;&gt;"","복습1",IF(ISNUMBER(SEARCH("제미나이",K407)),"복습대기(AI도움)",IF(ISNUMBER(SEARCH("간당간당",K407)),"복습대기(간당간당)",IF(OR(ISNUMBER(SEARCH("아이디어",K407)),ISNUMBER(SEARCH("시간초과",K407)),ISNUMBER(SEARCH("자료구조",K407)),ISNUMBER(SEARCH("경계값",K407)),ISNUMBER(SEARCH("다른 풀이",K407)),ISNUMBER(SEARCH("또풀기",K407))),"복습대기",IF(OR(ISNUMBER(SEARCH("복습필요없음",K407)),ISNUMBER(SEARCH("자력완벽",K407))),"품(복습불필요)",IF(F407&lt;&gt;"","품","미완료"))))))))))</f>
        <v/>
      </c>
      <c r="K407" s="32" t="inlineStr">
        <is>
          <t>-</t>
        </is>
      </c>
      <c r="L407" s="32" t="n"/>
      <c r="M407" s="28">
        <f>IF(OR(LEFT(J407,2)="보류", LEFT(J407,4)="복습대기", LEFT(J407,3)="복습1", LEFT(J407,3)="복습2"), MAX($M$3:M406)+1, "")</f>
        <v/>
      </c>
      <c r="N407" s="28" t="inlineStr">
        <is>
          <t>W12</t>
        </is>
      </c>
      <c r="O407" s="36" t="n">
        <v>46335</v>
      </c>
      <c r="P407" s="30">
        <f>IF(F407&lt;&gt;"","✅ 완료",IF(O407="","-",IF(TODAY()&gt;O407,"🚨 지연","⏳ 예정")))</f>
        <v/>
      </c>
      <c r="Q407" s="7" t="n"/>
      <c r="R407" s="7" t="n"/>
      <c r="S407" s="7" t="n"/>
      <c r="T407" s="7" t="n"/>
      <c r="U407" s="7" t="n"/>
      <c r="V407" s="7" t="n"/>
      <c r="W407" s="7" t="n"/>
      <c r="X407" s="7" t="n"/>
    </row>
    <row r="408" ht="21.75" customHeight="1" s="209">
      <c r="A408" s="28" t="n">
        <v>405</v>
      </c>
      <c r="B408" s="28" t="inlineStr">
        <is>
          <t>3954</t>
        </is>
      </c>
      <c r="C408" s="30" t="inlineStr">
        <is>
          <t>D4</t>
        </is>
      </c>
      <c r="D408" s="32" t="inlineStr">
        <is>
          <t>[Professional] 파이의 합</t>
        </is>
      </c>
      <c r="E408" s="28" t="inlineStr">
        <is>
          <t>수학 / 정수론</t>
        </is>
      </c>
      <c r="F408" s="28" t="n"/>
      <c r="G408" s="28" t="n"/>
      <c r="H408" s="28" t="n"/>
      <c r="I408" s="28" t="n"/>
      <c r="J408" s="54">
        <f>IF(OR(ISNUMBER(SEARCH("보류",K408)),ISNUMBER(SEARCH("미룸",K408)),ISNUMBER(SEARCH("나중에",K408)),ISNUMBER(SEARCH("보류",L408)),ISNUMBER(SEARCH("미룸",L408)),ISNUMBER(SEARCH("나중에",L408))),"보류(나중에 풀기)",IF(AND(F408="",G408="",H408="",I408=""),"미완료",IF(I408&lt;&gt;"","복습3(마스터)",IF(H408&lt;&gt;"","복습2",IF(G408&lt;&gt;"","복습1",IF(ISNUMBER(SEARCH("제미나이",K408)),"복습대기(AI도움)",IF(ISNUMBER(SEARCH("간당간당",K408)),"복습대기(간당간당)",IF(OR(ISNUMBER(SEARCH("아이디어",K408)),ISNUMBER(SEARCH("시간초과",K408)),ISNUMBER(SEARCH("자료구조",K408)),ISNUMBER(SEARCH("경계값",K408)),ISNUMBER(SEARCH("다른 풀이",K408)),ISNUMBER(SEARCH("또풀기",K408))),"복습대기",IF(OR(ISNUMBER(SEARCH("복습필요없음",K408)),ISNUMBER(SEARCH("자력완벽",K408))),"품(복습불필요)",IF(F408&lt;&gt;"","품","미완료"))))))))))</f>
        <v/>
      </c>
      <c r="K408" s="32" t="inlineStr">
        <is>
          <t>-</t>
        </is>
      </c>
      <c r="L408" s="32" t="n"/>
      <c r="M408" s="28">
        <f>IF(OR(LEFT(J408,2)="보류", LEFT(J408,4)="복습대기", LEFT(J408,3)="복습1", LEFT(J408,3)="복습2"), MAX($M$3:M407)+1, "")</f>
        <v/>
      </c>
      <c r="N408" s="28" t="inlineStr">
        <is>
          <t>W12</t>
        </is>
      </c>
      <c r="O408" s="36" t="n">
        <v>46335</v>
      </c>
      <c r="P408" s="30">
        <f>IF(F408&lt;&gt;"","✅ 완료",IF(O408="","-",IF(TODAY()&gt;O408,"🚨 지연","⏳ 예정")))</f>
        <v/>
      </c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 ht="21.75" customHeight="1" s="209">
      <c r="A409" s="28" t="n">
        <v>406</v>
      </c>
      <c r="B409" s="28" t="inlineStr">
        <is>
          <t>3993</t>
        </is>
      </c>
      <c r="C409" s="30" t="inlineStr">
        <is>
          <t>D4</t>
        </is>
      </c>
      <c r="D409" s="32" t="inlineStr">
        <is>
          <t>[Professional] Pole</t>
        </is>
      </c>
      <c r="E409" s="28" t="inlineStr">
        <is>
          <t>DFS / BFS / 백트래킹</t>
        </is>
      </c>
      <c r="F409" s="28" t="n"/>
      <c r="G409" s="28" t="n"/>
      <c r="H409" s="28" t="n"/>
      <c r="I409" s="28" t="n"/>
      <c r="J409" s="54">
        <f>IF(OR(ISNUMBER(SEARCH("보류",K409)),ISNUMBER(SEARCH("미룸",K409)),ISNUMBER(SEARCH("나중에",K409)),ISNUMBER(SEARCH("보류",L409)),ISNUMBER(SEARCH("미룸",L409)),ISNUMBER(SEARCH("나중에",L409))),"보류(나중에 풀기)",IF(AND(F409="",G409="",H409="",I409=""),"미완료",IF(I409&lt;&gt;"","복습3(마스터)",IF(H409&lt;&gt;"","복습2",IF(G409&lt;&gt;"","복습1",IF(ISNUMBER(SEARCH("제미나이",K409)),"복습대기(AI도움)",IF(ISNUMBER(SEARCH("간당간당",K409)),"복습대기(간당간당)",IF(OR(ISNUMBER(SEARCH("아이디어",K409)),ISNUMBER(SEARCH("시간초과",K409)),ISNUMBER(SEARCH("자료구조",K409)),ISNUMBER(SEARCH("경계값",K409)),ISNUMBER(SEARCH("다른 풀이",K409)),ISNUMBER(SEARCH("또풀기",K409))),"복습대기",IF(OR(ISNUMBER(SEARCH("복습필요없음",K409)),ISNUMBER(SEARCH("자력완벽",K409))),"품(복습불필요)",IF(F409&lt;&gt;"","품","미완료"))))))))))</f>
        <v/>
      </c>
      <c r="K409" s="32" t="inlineStr">
        <is>
          <t>-</t>
        </is>
      </c>
      <c r="L409" s="32" t="n"/>
      <c r="M409" s="28">
        <f>IF(OR(LEFT(J409,2)="보류", LEFT(J409,4)="복습대기", LEFT(J409,3)="복습1", LEFT(J409,3)="복습2"), MAX($M$3:M408)+1, "")</f>
        <v/>
      </c>
      <c r="N409" s="28" t="inlineStr">
        <is>
          <t>W12</t>
        </is>
      </c>
      <c r="O409" s="36" t="n">
        <v>46335</v>
      </c>
      <c r="P409" s="30">
        <f>IF(F409&lt;&gt;"","✅ 완료",IF(O409="","-",IF(TODAY()&gt;O409,"🚨 지연","⏳ 예정")))</f>
        <v/>
      </c>
      <c r="Q409" s="7" t="n"/>
      <c r="R409" s="7" t="n"/>
      <c r="S409" s="7" t="n"/>
      <c r="T409" s="7" t="n"/>
      <c r="U409" s="7" t="n"/>
      <c r="V409" s="7" t="n"/>
      <c r="W409" s="7" t="n"/>
      <c r="X409" s="7" t="n"/>
    </row>
    <row r="410" ht="21.75" customHeight="1" s="209">
      <c r="A410" s="28" t="n">
        <v>407</v>
      </c>
      <c r="B410" s="28" t="inlineStr">
        <is>
          <t>3996</t>
        </is>
      </c>
      <c r="C410" s="30" t="inlineStr">
        <is>
          <t>D4</t>
        </is>
      </c>
      <c r="D410" s="32" t="inlineStr">
        <is>
          <t>[Professional] Poker</t>
        </is>
      </c>
      <c r="E410" s="28" t="inlineStr">
        <is>
          <t>DFS / BFS / 백트래킹</t>
        </is>
      </c>
      <c r="F410" s="28" t="n"/>
      <c r="G410" s="28" t="n"/>
      <c r="H410" s="28" t="n"/>
      <c r="I410" s="28" t="n"/>
      <c r="J410" s="54">
        <f>IF(OR(ISNUMBER(SEARCH("보류",K410)),ISNUMBER(SEARCH("미룸",K410)),ISNUMBER(SEARCH("나중에",K410)),ISNUMBER(SEARCH("보류",L410)),ISNUMBER(SEARCH("미룸",L410)),ISNUMBER(SEARCH("나중에",L410))),"보류(나중에 풀기)",IF(AND(F410="",G410="",H410="",I410=""),"미완료",IF(I410&lt;&gt;"","복습3(마스터)",IF(H410&lt;&gt;"","복습2",IF(G410&lt;&gt;"","복습1",IF(ISNUMBER(SEARCH("제미나이",K410)),"복습대기(AI도움)",IF(ISNUMBER(SEARCH("간당간당",K410)),"복습대기(간당간당)",IF(OR(ISNUMBER(SEARCH("아이디어",K410)),ISNUMBER(SEARCH("시간초과",K410)),ISNUMBER(SEARCH("자료구조",K410)),ISNUMBER(SEARCH("경계값",K410)),ISNUMBER(SEARCH("다른 풀이",K410)),ISNUMBER(SEARCH("또풀기",K410))),"복습대기",IF(OR(ISNUMBER(SEARCH("복습필요없음",K410)),ISNUMBER(SEARCH("자력완벽",K410))),"품(복습불필요)",IF(F410&lt;&gt;"","품","미완료"))))))))))</f>
        <v/>
      </c>
      <c r="K410" s="32" t="inlineStr">
        <is>
          <t>-</t>
        </is>
      </c>
      <c r="L410" s="32" t="n"/>
      <c r="M410" s="28">
        <f>IF(OR(LEFT(J410,2)="보류", LEFT(J410,4)="복습대기", LEFT(J410,3)="복습1", LEFT(J410,3)="복습2"), MAX($M$3:M409)+1, "")</f>
        <v/>
      </c>
      <c r="N410" s="28" t="inlineStr">
        <is>
          <t>W12</t>
        </is>
      </c>
      <c r="O410" s="36" t="n">
        <v>46335</v>
      </c>
      <c r="P410" s="30">
        <f>IF(F410&lt;&gt;"","✅ 완료",IF(O410="","-",IF(TODAY()&gt;O410,"🚨 지연","⏳ 예정")))</f>
        <v/>
      </c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 ht="21.75" customHeight="1" s="209">
      <c r="A411" s="28" t="n">
        <v>408</v>
      </c>
      <c r="B411" s="28" t="inlineStr">
        <is>
          <t>3998</t>
        </is>
      </c>
      <c r="C411" s="30" t="inlineStr">
        <is>
          <t>D4</t>
        </is>
      </c>
      <c r="D411" s="32" t="inlineStr">
        <is>
          <t>[Professional] Inversion Counting</t>
        </is>
      </c>
      <c r="E411" s="28" t="inlineStr">
        <is>
          <t>DFS / BFS / 백트래킹</t>
        </is>
      </c>
      <c r="F411" s="28" t="n"/>
      <c r="G411" s="28" t="n"/>
      <c r="H411" s="28" t="n"/>
      <c r="I411" s="28" t="n"/>
      <c r="J411" s="54">
        <f>IF(OR(ISNUMBER(SEARCH("보류",K411)),ISNUMBER(SEARCH("미룸",K411)),ISNUMBER(SEARCH("나중에",K411)),ISNUMBER(SEARCH("보류",L411)),ISNUMBER(SEARCH("미룸",L411)),ISNUMBER(SEARCH("나중에",L411))),"보류(나중에 풀기)",IF(AND(F411="",G411="",H411="",I411=""),"미완료",IF(I411&lt;&gt;"","복습3(마스터)",IF(H411&lt;&gt;"","복습2",IF(G411&lt;&gt;"","복습1",IF(ISNUMBER(SEARCH("제미나이",K411)),"복습대기(AI도움)",IF(ISNUMBER(SEARCH("간당간당",K411)),"복습대기(간당간당)",IF(OR(ISNUMBER(SEARCH("아이디어",K411)),ISNUMBER(SEARCH("시간초과",K411)),ISNUMBER(SEARCH("자료구조",K411)),ISNUMBER(SEARCH("경계값",K411)),ISNUMBER(SEARCH("다른 풀이",K411)),ISNUMBER(SEARCH("또풀기",K411))),"복습대기",IF(OR(ISNUMBER(SEARCH("복습필요없음",K411)),ISNUMBER(SEARCH("자력완벽",K411))),"품(복습불필요)",IF(F411&lt;&gt;"","품","미완료"))))))))))</f>
        <v/>
      </c>
      <c r="K411" s="32" t="inlineStr">
        <is>
          <t>-</t>
        </is>
      </c>
      <c r="L411" s="32" t="n"/>
      <c r="M411" s="28">
        <f>IF(OR(LEFT(J411,2)="보류", LEFT(J411,4)="복습대기", LEFT(J411,3)="복습1", LEFT(J411,3)="복습2"), MAX($M$3:M410)+1, "")</f>
        <v/>
      </c>
      <c r="N411" s="28" t="inlineStr">
        <is>
          <t>W12</t>
        </is>
      </c>
      <c r="O411" s="36" t="n">
        <v>46336</v>
      </c>
      <c r="P411" s="30">
        <f>IF(F411&lt;&gt;"","✅ 완료",IF(O411="","-",IF(TODAY()&gt;O411,"🚨 지연","⏳ 예정")))</f>
        <v/>
      </c>
      <c r="Q411" s="7" t="n"/>
      <c r="R411" s="7" t="n"/>
      <c r="S411" s="7" t="n"/>
      <c r="T411" s="7" t="n"/>
      <c r="U411" s="7" t="n"/>
      <c r="V411" s="7" t="n"/>
      <c r="W411" s="7" t="n"/>
      <c r="X411" s="7" t="n"/>
    </row>
    <row r="412" ht="21.75" customHeight="1" s="209">
      <c r="A412" s="28" t="n">
        <v>409</v>
      </c>
      <c r="B412" s="28" t="inlineStr">
        <is>
          <t>4005</t>
        </is>
      </c>
      <c r="C412" s="30" t="inlineStr">
        <is>
          <t>D4</t>
        </is>
      </c>
      <c r="D412" s="32" t="inlineStr">
        <is>
          <t>[Professional] 비밀</t>
        </is>
      </c>
      <c r="E412" s="28" t="inlineStr">
        <is>
          <t>DFS / BFS / 백트래킹</t>
        </is>
      </c>
      <c r="F412" s="28" t="n"/>
      <c r="G412" s="28" t="n"/>
      <c r="H412" s="28" t="n"/>
      <c r="I412" s="28" t="n"/>
      <c r="J412" s="54">
        <f>IF(OR(ISNUMBER(SEARCH("보류",K412)),ISNUMBER(SEARCH("미룸",K412)),ISNUMBER(SEARCH("나중에",K412)),ISNUMBER(SEARCH("보류",L412)),ISNUMBER(SEARCH("미룸",L412)),ISNUMBER(SEARCH("나중에",L412))),"보류(나중에 풀기)",IF(AND(F412="",G412="",H412="",I412=""),"미완료",IF(I412&lt;&gt;"","복습3(마스터)",IF(H412&lt;&gt;"","복습2",IF(G412&lt;&gt;"","복습1",IF(ISNUMBER(SEARCH("제미나이",K412)),"복습대기(AI도움)",IF(ISNUMBER(SEARCH("간당간당",K412)),"복습대기(간당간당)",IF(OR(ISNUMBER(SEARCH("아이디어",K412)),ISNUMBER(SEARCH("시간초과",K412)),ISNUMBER(SEARCH("자료구조",K412)),ISNUMBER(SEARCH("경계값",K412)),ISNUMBER(SEARCH("다른 풀이",K412)),ISNUMBER(SEARCH("또풀기",K412))),"복습대기",IF(OR(ISNUMBER(SEARCH("복습필요없음",K412)),ISNUMBER(SEARCH("자력완벽",K412))),"품(복습불필요)",IF(F412&lt;&gt;"","품","미완료"))))))))))</f>
        <v/>
      </c>
      <c r="K412" s="32" t="inlineStr">
        <is>
          <t>-</t>
        </is>
      </c>
      <c r="L412" s="32" t="n"/>
      <c r="M412" s="28">
        <f>IF(OR(LEFT(J412,2)="보류", LEFT(J412,4)="복습대기", LEFT(J412,3)="복습1", LEFT(J412,3)="복습2"), MAX($M$3:M411)+1, "")</f>
        <v/>
      </c>
      <c r="N412" s="28" t="inlineStr">
        <is>
          <t>W12</t>
        </is>
      </c>
      <c r="O412" s="36" t="n">
        <v>46336</v>
      </c>
      <c r="P412" s="30">
        <f>IF(F412&lt;&gt;"","✅ 완료",IF(O412="","-",IF(TODAY()&gt;O412,"🚨 지연","⏳ 예정")))</f>
        <v/>
      </c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 ht="21.75" customHeight="1" s="209">
      <c r="A413" s="28" t="n">
        <v>410</v>
      </c>
      <c r="B413" s="28" t="inlineStr">
        <is>
          <t>4006</t>
        </is>
      </c>
      <c r="C413" s="30" t="inlineStr">
        <is>
          <t>D4</t>
        </is>
      </c>
      <c r="D413" s="32" t="inlineStr">
        <is>
          <t>[Professional] 고속도로 건설 2</t>
        </is>
      </c>
      <c r="E413" s="28" t="inlineStr">
        <is>
          <t>DFS / BFS / 백트래킹</t>
        </is>
      </c>
      <c r="F413" s="28" t="n"/>
      <c r="G413" s="28" t="n"/>
      <c r="H413" s="28" t="n"/>
      <c r="I413" s="28" t="n"/>
      <c r="J413" s="54">
        <f>IF(OR(ISNUMBER(SEARCH("보류",K413)),ISNUMBER(SEARCH("미룸",K413)),ISNUMBER(SEARCH("나중에",K413)),ISNUMBER(SEARCH("보류",L413)),ISNUMBER(SEARCH("미룸",L413)),ISNUMBER(SEARCH("나중에",L413))),"보류(나중에 풀기)",IF(AND(F413="",G413="",H413="",I413=""),"미완료",IF(I413&lt;&gt;"","복습3(마스터)",IF(H413&lt;&gt;"","복습2",IF(G413&lt;&gt;"","복습1",IF(ISNUMBER(SEARCH("제미나이",K413)),"복습대기(AI도움)",IF(ISNUMBER(SEARCH("간당간당",K413)),"복습대기(간당간당)",IF(OR(ISNUMBER(SEARCH("아이디어",K413)),ISNUMBER(SEARCH("시간초과",K413)),ISNUMBER(SEARCH("자료구조",K413)),ISNUMBER(SEARCH("경계값",K413)),ISNUMBER(SEARCH("다른 풀이",K413)),ISNUMBER(SEARCH("또풀기",K413))),"복습대기",IF(OR(ISNUMBER(SEARCH("복습필요없음",K413)),ISNUMBER(SEARCH("자력완벽",K413))),"품(복습불필요)",IF(F413&lt;&gt;"","품","미완료"))))))))))</f>
        <v/>
      </c>
      <c r="K413" s="32" t="inlineStr">
        <is>
          <t>-</t>
        </is>
      </c>
      <c r="L413" s="32" t="n"/>
      <c r="M413" s="28">
        <f>IF(OR(LEFT(J413,2)="보류", LEFT(J413,4)="복습대기", LEFT(J413,3)="복습1", LEFT(J413,3)="복습2"), MAX($M$3:M412)+1, "")</f>
        <v/>
      </c>
      <c r="N413" s="28" t="inlineStr">
        <is>
          <t>W12</t>
        </is>
      </c>
      <c r="O413" s="36" t="n">
        <v>46336</v>
      </c>
      <c r="P413" s="30">
        <f>IF(F413&lt;&gt;"","✅ 완료",IF(O413="","-",IF(TODAY()&gt;O413,"🚨 지연","⏳ 예정")))</f>
        <v/>
      </c>
      <c r="Q413" s="7" t="n"/>
      <c r="R413" s="7" t="n"/>
      <c r="S413" s="7" t="n"/>
      <c r="T413" s="7" t="n"/>
      <c r="U413" s="7" t="n"/>
      <c r="V413" s="7" t="n"/>
      <c r="W413" s="7" t="n"/>
      <c r="X413" s="7" t="n"/>
    </row>
    <row r="414" ht="21.75" customHeight="1" s="209">
      <c r="A414" s="28" t="n">
        <v>411</v>
      </c>
      <c r="B414" s="28" t="inlineStr">
        <is>
          <t>4007</t>
        </is>
      </c>
      <c r="C414" s="30" t="inlineStr">
        <is>
          <t>D4</t>
        </is>
      </c>
      <c r="D414" s="32" t="inlineStr">
        <is>
          <t>[Professional] 간담회 참석</t>
        </is>
      </c>
      <c r="E414" s="28" t="inlineStr">
        <is>
          <t>DFS / BFS / 백트래킹</t>
        </is>
      </c>
      <c r="F414" s="28" t="n"/>
      <c r="G414" s="28" t="n"/>
      <c r="H414" s="28" t="n"/>
      <c r="I414" s="28" t="n"/>
      <c r="J414" s="54">
        <f>IF(OR(ISNUMBER(SEARCH("보류",K414)),ISNUMBER(SEARCH("미룸",K414)),ISNUMBER(SEARCH("나중에",K414)),ISNUMBER(SEARCH("보류",L414)),ISNUMBER(SEARCH("미룸",L414)),ISNUMBER(SEARCH("나중에",L414))),"보류(나중에 풀기)",IF(AND(F414="",G414="",H414="",I414=""),"미완료",IF(I414&lt;&gt;"","복습3(마스터)",IF(H414&lt;&gt;"","복습2",IF(G414&lt;&gt;"","복습1",IF(ISNUMBER(SEARCH("제미나이",K414)),"복습대기(AI도움)",IF(ISNUMBER(SEARCH("간당간당",K414)),"복습대기(간당간당)",IF(OR(ISNUMBER(SEARCH("아이디어",K414)),ISNUMBER(SEARCH("시간초과",K414)),ISNUMBER(SEARCH("자료구조",K414)),ISNUMBER(SEARCH("경계값",K414)),ISNUMBER(SEARCH("다른 풀이",K414)),ISNUMBER(SEARCH("또풀기",K414))),"복습대기",IF(OR(ISNUMBER(SEARCH("복습필요없음",K414)),ISNUMBER(SEARCH("자력완벽",K414))),"품(복습불필요)",IF(F414&lt;&gt;"","품","미완료"))))))))))</f>
        <v/>
      </c>
      <c r="K414" s="32" t="inlineStr">
        <is>
          <t>-</t>
        </is>
      </c>
      <c r="L414" s="32" t="n"/>
      <c r="M414" s="28">
        <f>IF(OR(LEFT(J414,2)="보류", LEFT(J414,4)="복습대기", LEFT(J414,3)="복습1", LEFT(J414,3)="복습2"), MAX($M$3:M413)+1, "")</f>
        <v/>
      </c>
      <c r="N414" s="28" t="inlineStr">
        <is>
          <t>W12</t>
        </is>
      </c>
      <c r="O414" s="36" t="n">
        <v>46336</v>
      </c>
      <c r="P414" s="30">
        <f>IF(F414&lt;&gt;"","✅ 완료",IF(O414="","-",IF(TODAY()&gt;O414,"🚨 지연","⏳ 예정")))</f>
        <v/>
      </c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 ht="21.75" customHeight="1" s="209">
      <c r="A415" s="28" t="n">
        <v>412</v>
      </c>
      <c r="B415" s="28" t="inlineStr">
        <is>
          <t>4038</t>
        </is>
      </c>
      <c r="C415" s="30" t="inlineStr">
        <is>
          <t>D4</t>
        </is>
      </c>
      <c r="D415" s="32" t="inlineStr">
        <is>
          <t>[Professional] 단어가 등장하는 횟수</t>
        </is>
      </c>
      <c r="E415" s="28" t="inlineStr">
        <is>
          <t>문자열 / 파싱</t>
        </is>
      </c>
      <c r="F415" s="28" t="n"/>
      <c r="G415" s="28" t="n"/>
      <c r="H415" s="28" t="n"/>
      <c r="I415" s="28" t="n"/>
      <c r="J415" s="54">
        <f>IF(OR(ISNUMBER(SEARCH("보류",K415)),ISNUMBER(SEARCH("미룸",K415)),ISNUMBER(SEARCH("나중에",K415)),ISNUMBER(SEARCH("보류",L415)),ISNUMBER(SEARCH("미룸",L415)),ISNUMBER(SEARCH("나중에",L415))),"보류(나중에 풀기)",IF(AND(F415="",G415="",H415="",I415=""),"미완료",IF(I415&lt;&gt;"","복습3(마스터)",IF(H415&lt;&gt;"","복습2",IF(G415&lt;&gt;"","복습1",IF(ISNUMBER(SEARCH("제미나이",K415)),"복습대기(AI도움)",IF(ISNUMBER(SEARCH("간당간당",K415)),"복습대기(간당간당)",IF(OR(ISNUMBER(SEARCH("아이디어",K415)),ISNUMBER(SEARCH("시간초과",K415)),ISNUMBER(SEARCH("자료구조",K415)),ISNUMBER(SEARCH("경계값",K415)),ISNUMBER(SEARCH("다른 풀이",K415)),ISNUMBER(SEARCH("또풀기",K415))),"복습대기",IF(OR(ISNUMBER(SEARCH("복습필요없음",K415)),ISNUMBER(SEARCH("자력완벽",K415))),"품(복습불필요)",IF(F415&lt;&gt;"","품","미완료"))))))))))</f>
        <v/>
      </c>
      <c r="K415" s="32" t="inlineStr">
        <is>
          <t>-</t>
        </is>
      </c>
      <c r="L415" s="32" t="n"/>
      <c r="M415" s="28">
        <f>IF(OR(LEFT(J415,2)="보류", LEFT(J415,4)="복습대기", LEFT(J415,3)="복습1", LEFT(J415,3)="복습2"), MAX($M$3:M414)+1, "")</f>
        <v/>
      </c>
      <c r="N415" s="28" t="inlineStr">
        <is>
          <t>W12</t>
        </is>
      </c>
      <c r="O415" s="36" t="n">
        <v>46336</v>
      </c>
      <c r="P415" s="30">
        <f>IF(F415&lt;&gt;"","✅ 완료",IF(O415="","-",IF(TODAY()&gt;O415,"🚨 지연","⏳ 예정")))</f>
        <v/>
      </c>
      <c r="Q415" s="7" t="n"/>
      <c r="R415" s="7" t="n"/>
      <c r="S415" s="7" t="n"/>
      <c r="T415" s="7" t="n"/>
      <c r="U415" s="7" t="n"/>
      <c r="V415" s="7" t="n"/>
      <c r="W415" s="7" t="n"/>
      <c r="X415" s="7" t="n"/>
    </row>
    <row r="416" ht="21.75" customHeight="1" s="209">
      <c r="A416" s="28" t="n">
        <v>413</v>
      </c>
      <c r="B416" s="28" t="inlineStr">
        <is>
          <t>4039</t>
        </is>
      </c>
      <c r="C416" s="30" t="inlineStr">
        <is>
          <t>D4</t>
        </is>
      </c>
      <c r="D416" s="32" t="inlineStr">
        <is>
          <t>[Professional] 두 번 이상 등장하는 문자열</t>
        </is>
      </c>
      <c r="E416" s="28" t="inlineStr">
        <is>
          <t>문자열 / 파싱</t>
        </is>
      </c>
      <c r="F416" s="28" t="n"/>
      <c r="G416" s="28" t="n"/>
      <c r="H416" s="28" t="n"/>
      <c r="I416" s="28" t="n"/>
      <c r="J416" s="54">
        <f>IF(OR(ISNUMBER(SEARCH("보류",K416)),ISNUMBER(SEARCH("미룸",K416)),ISNUMBER(SEARCH("나중에",K416)),ISNUMBER(SEARCH("보류",L416)),ISNUMBER(SEARCH("미룸",L416)),ISNUMBER(SEARCH("나중에",L416))),"보류(나중에 풀기)",IF(AND(F416="",G416="",H416="",I416=""),"미완료",IF(I416&lt;&gt;"","복습3(마스터)",IF(H416&lt;&gt;"","복습2",IF(G416&lt;&gt;"","복습1",IF(ISNUMBER(SEARCH("제미나이",K416)),"복습대기(AI도움)",IF(ISNUMBER(SEARCH("간당간당",K416)),"복습대기(간당간당)",IF(OR(ISNUMBER(SEARCH("아이디어",K416)),ISNUMBER(SEARCH("시간초과",K416)),ISNUMBER(SEARCH("자료구조",K416)),ISNUMBER(SEARCH("경계값",K416)),ISNUMBER(SEARCH("다른 풀이",K416)),ISNUMBER(SEARCH("또풀기",K416))),"복습대기",IF(OR(ISNUMBER(SEARCH("복습필요없음",K416)),ISNUMBER(SEARCH("자력완벽",K416))),"품(복습불필요)",IF(F416&lt;&gt;"","품","미완료"))))))))))</f>
        <v/>
      </c>
      <c r="K416" s="32" t="inlineStr">
        <is>
          <t>-</t>
        </is>
      </c>
      <c r="L416" s="32" t="n"/>
      <c r="M416" s="28">
        <f>IF(OR(LEFT(J416,2)="보류", LEFT(J416,4)="복습대기", LEFT(J416,3)="복습1", LEFT(J416,3)="복습2"), MAX($M$3:M415)+1, "")</f>
        <v/>
      </c>
      <c r="N416" s="28" t="inlineStr">
        <is>
          <t>W12</t>
        </is>
      </c>
      <c r="O416" s="36" t="n">
        <v>46336</v>
      </c>
      <c r="P416" s="30">
        <f>IF(F416&lt;&gt;"","✅ 완료",IF(O416="","-",IF(TODAY()&gt;O416,"🚨 지연","⏳ 예정")))</f>
        <v/>
      </c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 ht="21.75" customHeight="1" s="209">
      <c r="A417" s="28" t="n">
        <v>414</v>
      </c>
      <c r="B417" s="28" t="inlineStr">
        <is>
          <t>4040</t>
        </is>
      </c>
      <c r="C417" s="30" t="inlineStr">
        <is>
          <t>D4</t>
        </is>
      </c>
      <c r="D417" s="32" t="inlineStr">
        <is>
          <t>[Professional] 문자열의 거듭제곱</t>
        </is>
      </c>
      <c r="E417" s="28" t="inlineStr">
        <is>
          <t>문자열 / 파싱</t>
        </is>
      </c>
      <c r="F417" s="28" t="n"/>
      <c r="G417" s="28" t="n"/>
      <c r="H417" s="28" t="n"/>
      <c r="I417" s="28" t="n"/>
      <c r="J417" s="54">
        <f>IF(OR(ISNUMBER(SEARCH("보류",K417)),ISNUMBER(SEARCH("미룸",K417)),ISNUMBER(SEARCH("나중에",K417)),ISNUMBER(SEARCH("보류",L417)),ISNUMBER(SEARCH("미룸",L417)),ISNUMBER(SEARCH("나중에",L417))),"보류(나중에 풀기)",IF(AND(F417="",G417="",H417="",I417=""),"미완료",IF(I417&lt;&gt;"","복습3(마스터)",IF(H417&lt;&gt;"","복습2",IF(G417&lt;&gt;"","복습1",IF(ISNUMBER(SEARCH("제미나이",K417)),"복습대기(AI도움)",IF(ISNUMBER(SEARCH("간당간당",K417)),"복습대기(간당간당)",IF(OR(ISNUMBER(SEARCH("아이디어",K417)),ISNUMBER(SEARCH("시간초과",K417)),ISNUMBER(SEARCH("자료구조",K417)),ISNUMBER(SEARCH("경계값",K417)),ISNUMBER(SEARCH("다른 풀이",K417)),ISNUMBER(SEARCH("또풀기",K417))),"복습대기",IF(OR(ISNUMBER(SEARCH("복습필요없음",K417)),ISNUMBER(SEARCH("자력완벽",K417))),"품(복습불필요)",IF(F417&lt;&gt;"","품","미완료"))))))))))</f>
        <v/>
      </c>
      <c r="K417" s="32" t="inlineStr">
        <is>
          <t>-</t>
        </is>
      </c>
      <c r="L417" s="32" t="n"/>
      <c r="M417" s="28">
        <f>IF(OR(LEFT(J417,2)="보류", LEFT(J417,4)="복습대기", LEFT(J417,3)="복습1", LEFT(J417,3)="복습2"), MAX($M$3:M416)+1, "")</f>
        <v/>
      </c>
      <c r="N417" s="28" t="inlineStr">
        <is>
          <t>W12</t>
        </is>
      </c>
      <c r="O417" s="36" t="n">
        <v>46336</v>
      </c>
      <c r="P417" s="30">
        <f>IF(F417&lt;&gt;"","✅ 완료",IF(O417="","-",IF(TODAY()&gt;O417,"🚨 지연","⏳ 예정")))</f>
        <v/>
      </c>
      <c r="Q417" s="7" t="n"/>
      <c r="R417" s="7" t="n"/>
      <c r="S417" s="7" t="n"/>
      <c r="T417" s="7" t="n"/>
      <c r="U417" s="7" t="n"/>
      <c r="V417" s="7" t="n"/>
      <c r="W417" s="7" t="n"/>
      <c r="X417" s="7" t="n"/>
    </row>
    <row r="418" ht="21.75" customHeight="1" s="209">
      <c r="A418" s="28" t="n">
        <v>415</v>
      </c>
      <c r="B418" s="28" t="inlineStr">
        <is>
          <t>4050</t>
        </is>
      </c>
      <c r="C418" s="30" t="inlineStr">
        <is>
          <t>D4</t>
        </is>
      </c>
      <c r="D418" s="32" t="inlineStr">
        <is>
          <t>재관이의 대량 할인</t>
        </is>
      </c>
      <c r="E418" s="28" t="inlineStr">
        <is>
          <t>DFS / BFS / 백트래킹</t>
        </is>
      </c>
      <c r="F418" s="28" t="n"/>
      <c r="G418" s="28" t="n"/>
      <c r="H418" s="28" t="n"/>
      <c r="I418" s="28" t="n"/>
      <c r="J418" s="54">
        <f>IF(OR(ISNUMBER(SEARCH("보류",K418)),ISNUMBER(SEARCH("미룸",K418)),ISNUMBER(SEARCH("나중에",K418)),ISNUMBER(SEARCH("보류",L418)),ISNUMBER(SEARCH("미룸",L418)),ISNUMBER(SEARCH("나중에",L418))),"보류(나중에 풀기)",IF(AND(F418="",G418="",H418="",I418=""),"미완료",IF(I418&lt;&gt;"","복습3(마스터)",IF(H418&lt;&gt;"","복습2",IF(G418&lt;&gt;"","복습1",IF(ISNUMBER(SEARCH("제미나이",K418)),"복습대기(AI도움)",IF(ISNUMBER(SEARCH("간당간당",K418)),"복습대기(간당간당)",IF(OR(ISNUMBER(SEARCH("아이디어",K418)),ISNUMBER(SEARCH("시간초과",K418)),ISNUMBER(SEARCH("자료구조",K418)),ISNUMBER(SEARCH("경계값",K418)),ISNUMBER(SEARCH("다른 풀이",K418)),ISNUMBER(SEARCH("또풀기",K418))),"복습대기",IF(OR(ISNUMBER(SEARCH("복습필요없음",K418)),ISNUMBER(SEARCH("자력완벽",K418))),"품(복습불필요)",IF(F418&lt;&gt;"","품","미완료"))))))))))</f>
        <v/>
      </c>
      <c r="K418" s="32" t="inlineStr">
        <is>
          <t>-</t>
        </is>
      </c>
      <c r="L418" s="32" t="n"/>
      <c r="M418" s="28">
        <f>IF(OR(LEFT(J418,2)="보류", LEFT(J418,4)="복습대기", LEFT(J418,3)="복습1", LEFT(J418,3)="복습2"), MAX($M$3:M417)+1, "")</f>
        <v/>
      </c>
      <c r="N418" s="28" t="inlineStr">
        <is>
          <t>W12</t>
        </is>
      </c>
      <c r="O418" s="36" t="n">
        <v>46337</v>
      </c>
      <c r="P418" s="30">
        <f>IF(F418&lt;&gt;"","✅ 완료",IF(O418="","-",IF(TODAY()&gt;O418,"🚨 지연","⏳ 예정")))</f>
        <v/>
      </c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 ht="21.75" customHeight="1" s="209">
      <c r="A419" s="28" t="n">
        <v>416</v>
      </c>
      <c r="B419" s="28" t="inlineStr">
        <is>
          <t>4052</t>
        </is>
      </c>
      <c r="C419" s="30" t="inlineStr">
        <is>
          <t>D4</t>
        </is>
      </c>
      <c r="D419" s="32" t="inlineStr">
        <is>
          <t>[Professional] 프리랜서</t>
        </is>
      </c>
      <c r="E419" s="28" t="inlineStr">
        <is>
          <t>DFS / BFS / 백트래킹</t>
        </is>
      </c>
      <c r="F419" s="28" t="n"/>
      <c r="G419" s="28" t="n"/>
      <c r="H419" s="28" t="n"/>
      <c r="I419" s="28" t="n"/>
      <c r="J419" s="54">
        <f>IF(OR(ISNUMBER(SEARCH("보류",K419)),ISNUMBER(SEARCH("미룸",K419)),ISNUMBER(SEARCH("나중에",K419)),ISNUMBER(SEARCH("보류",L419)),ISNUMBER(SEARCH("미룸",L419)),ISNUMBER(SEARCH("나중에",L419))),"보류(나중에 풀기)",IF(AND(F419="",G419="",H419="",I419=""),"미완료",IF(I419&lt;&gt;"","복습3(마스터)",IF(H419&lt;&gt;"","복습2",IF(G419&lt;&gt;"","복습1",IF(ISNUMBER(SEARCH("제미나이",K419)),"복습대기(AI도움)",IF(ISNUMBER(SEARCH("간당간당",K419)),"복습대기(간당간당)",IF(OR(ISNUMBER(SEARCH("아이디어",K419)),ISNUMBER(SEARCH("시간초과",K419)),ISNUMBER(SEARCH("자료구조",K419)),ISNUMBER(SEARCH("경계값",K419)),ISNUMBER(SEARCH("다른 풀이",K419)),ISNUMBER(SEARCH("또풀기",K419))),"복습대기",IF(OR(ISNUMBER(SEARCH("복습필요없음",K419)),ISNUMBER(SEARCH("자력완벽",K419))),"품(복습불필요)",IF(F419&lt;&gt;"","품","미완료"))))))))))</f>
        <v/>
      </c>
      <c r="K419" s="32" t="inlineStr">
        <is>
          <t>-</t>
        </is>
      </c>
      <c r="L419" s="32" t="n"/>
      <c r="M419" s="28">
        <f>IF(OR(LEFT(J419,2)="보류", LEFT(J419,4)="복습대기", LEFT(J419,3)="복습1", LEFT(J419,3)="복습2"), MAX($M$3:M418)+1, "")</f>
        <v/>
      </c>
      <c r="N419" s="28" t="inlineStr">
        <is>
          <t>W12</t>
        </is>
      </c>
      <c r="O419" s="36" t="n">
        <v>46337</v>
      </c>
      <c r="P419" s="30">
        <f>IF(F419&lt;&gt;"","✅ 완료",IF(O419="","-",IF(TODAY()&gt;O419,"🚨 지연","⏳ 예정")))</f>
        <v/>
      </c>
      <c r="Q419" s="7" t="n"/>
      <c r="R419" s="7" t="n"/>
      <c r="S419" s="7" t="n"/>
      <c r="T419" s="7" t="n"/>
      <c r="U419" s="7" t="n"/>
      <c r="V419" s="7" t="n"/>
      <c r="W419" s="7" t="n"/>
      <c r="X419" s="7" t="n"/>
    </row>
    <row r="420" ht="21.75" customHeight="1" s="209">
      <c r="A420" s="28" t="n">
        <v>417</v>
      </c>
      <c r="B420" s="28" t="inlineStr">
        <is>
          <t>4062</t>
        </is>
      </c>
      <c r="C420" s="30" t="inlineStr">
        <is>
          <t>D4</t>
        </is>
      </c>
      <c r="D420" s="32" t="inlineStr">
        <is>
          <t>[Professional] Largest Empty Square</t>
        </is>
      </c>
      <c r="E420" s="28" t="inlineStr">
        <is>
          <t>DFS / BFS / 백트래킹</t>
        </is>
      </c>
      <c r="F420" s="28" t="n"/>
      <c r="G420" s="28" t="n"/>
      <c r="H420" s="28" t="n"/>
      <c r="I420" s="28" t="n"/>
      <c r="J420" s="54">
        <f>IF(OR(ISNUMBER(SEARCH("보류",K420)),ISNUMBER(SEARCH("미룸",K420)),ISNUMBER(SEARCH("나중에",K420)),ISNUMBER(SEARCH("보류",L420)),ISNUMBER(SEARCH("미룸",L420)),ISNUMBER(SEARCH("나중에",L420))),"보류(나중에 풀기)",IF(AND(F420="",G420="",H420="",I420=""),"미완료",IF(I420&lt;&gt;"","복습3(마스터)",IF(H420&lt;&gt;"","복습2",IF(G420&lt;&gt;"","복습1",IF(ISNUMBER(SEARCH("제미나이",K420)),"복습대기(AI도움)",IF(ISNUMBER(SEARCH("간당간당",K420)),"복습대기(간당간당)",IF(OR(ISNUMBER(SEARCH("아이디어",K420)),ISNUMBER(SEARCH("시간초과",K420)),ISNUMBER(SEARCH("자료구조",K420)),ISNUMBER(SEARCH("경계값",K420)),ISNUMBER(SEARCH("다른 풀이",K420)),ISNUMBER(SEARCH("또풀기",K420))),"복습대기",IF(OR(ISNUMBER(SEARCH("복습필요없음",K420)),ISNUMBER(SEARCH("자력완벽",K420))),"품(복습불필요)",IF(F420&lt;&gt;"","품","미완료"))))))))))</f>
        <v/>
      </c>
      <c r="K420" s="32" t="inlineStr">
        <is>
          <t>-</t>
        </is>
      </c>
      <c r="L420" s="32" t="n"/>
      <c r="M420" s="28">
        <f>IF(OR(LEFT(J420,2)="보류", LEFT(J420,4)="복습대기", LEFT(J420,3)="복습1", LEFT(J420,3)="복습2"), MAX($M$3:M419)+1, "")</f>
        <v/>
      </c>
      <c r="N420" s="28" t="inlineStr">
        <is>
          <t>W12</t>
        </is>
      </c>
      <c r="O420" s="36" t="n">
        <v>46337</v>
      </c>
      <c r="P420" s="30">
        <f>IF(F420&lt;&gt;"","✅ 완료",IF(O420="","-",IF(TODAY()&gt;O420,"🚨 지연","⏳ 예정")))</f>
        <v/>
      </c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 ht="21.75" customHeight="1" s="209">
      <c r="A421" s="28" t="n">
        <v>418</v>
      </c>
      <c r="B421" s="28" t="inlineStr">
        <is>
          <t>4065</t>
        </is>
      </c>
      <c r="C421" s="30" t="inlineStr">
        <is>
          <t>D4</t>
        </is>
      </c>
      <c r="D421" s="32" t="inlineStr">
        <is>
          <t>[Professional] LCS</t>
        </is>
      </c>
      <c r="E421" s="28" t="inlineStr">
        <is>
          <t>동적계획법 (DP)</t>
        </is>
      </c>
      <c r="F421" s="28" t="n"/>
      <c r="G421" s="28" t="n"/>
      <c r="H421" s="28" t="n"/>
      <c r="I421" s="28" t="n"/>
      <c r="J421" s="54">
        <f>IF(OR(ISNUMBER(SEARCH("보류",K421)),ISNUMBER(SEARCH("미룸",K421)),ISNUMBER(SEARCH("나중에",K421)),ISNUMBER(SEARCH("보류",L421)),ISNUMBER(SEARCH("미룸",L421)),ISNUMBER(SEARCH("나중에",L421))),"보류(나중에 풀기)",IF(AND(F421="",G421="",H421="",I421=""),"미완료",IF(I421&lt;&gt;"","복습3(마스터)",IF(H421&lt;&gt;"","복습2",IF(G421&lt;&gt;"","복습1",IF(ISNUMBER(SEARCH("제미나이",K421)),"복습대기(AI도움)",IF(ISNUMBER(SEARCH("간당간당",K421)),"복습대기(간당간당)",IF(OR(ISNUMBER(SEARCH("아이디어",K421)),ISNUMBER(SEARCH("시간초과",K421)),ISNUMBER(SEARCH("자료구조",K421)),ISNUMBER(SEARCH("경계값",K421)),ISNUMBER(SEARCH("다른 풀이",K421)),ISNUMBER(SEARCH("또풀기",K421))),"복습대기",IF(OR(ISNUMBER(SEARCH("복습필요없음",K421)),ISNUMBER(SEARCH("자력완벽",K421))),"품(복습불필요)",IF(F421&lt;&gt;"","품","미완료"))))))))))</f>
        <v/>
      </c>
      <c r="K421" s="32" t="inlineStr">
        <is>
          <t>-</t>
        </is>
      </c>
      <c r="L421" s="32" t="n"/>
      <c r="M421" s="28">
        <f>IF(OR(LEFT(J421,2)="보류", LEFT(J421,4)="복습대기", LEFT(J421,3)="복습1", LEFT(J421,3)="복습2"), MAX($M$3:M420)+1, "")</f>
        <v/>
      </c>
      <c r="N421" s="28" t="inlineStr">
        <is>
          <t>W12</t>
        </is>
      </c>
      <c r="O421" s="36" t="n">
        <v>46337</v>
      </c>
      <c r="P421" s="30">
        <f>IF(F421&lt;&gt;"","✅ 완료",IF(O421="","-",IF(TODAY()&gt;O421,"🚨 지연","⏳ 예정")))</f>
        <v/>
      </c>
      <c r="Q421" s="7" t="n"/>
      <c r="R421" s="7" t="n"/>
      <c r="S421" s="7" t="n"/>
      <c r="T421" s="7" t="n"/>
      <c r="U421" s="7" t="n"/>
      <c r="V421" s="7" t="n"/>
      <c r="W421" s="7" t="n"/>
      <c r="X421" s="7" t="n"/>
    </row>
    <row r="422" ht="21.75" customHeight="1" s="209">
      <c r="A422" s="28" t="n">
        <v>419</v>
      </c>
      <c r="B422" s="28" t="inlineStr">
        <is>
          <t>4111</t>
        </is>
      </c>
      <c r="C422" s="30" t="inlineStr">
        <is>
          <t>D4</t>
        </is>
      </c>
      <c r="D422" s="32" t="inlineStr">
        <is>
          <t>무선 단속 카메라</t>
        </is>
      </c>
      <c r="E422" s="28" t="inlineStr">
        <is>
          <t>DFS / BFS / 백트래킹</t>
        </is>
      </c>
      <c r="F422" s="28" t="n"/>
      <c r="G422" s="28" t="n"/>
      <c r="H422" s="28" t="n"/>
      <c r="I422" s="28" t="n"/>
      <c r="J422" s="54">
        <f>IF(OR(ISNUMBER(SEARCH("보류",K422)),ISNUMBER(SEARCH("미룸",K422)),ISNUMBER(SEARCH("나중에",K422)),ISNUMBER(SEARCH("보류",L422)),ISNUMBER(SEARCH("미룸",L422)),ISNUMBER(SEARCH("나중에",L422))),"보류(나중에 풀기)",IF(AND(F422="",G422="",H422="",I422=""),"미완료",IF(I422&lt;&gt;"","복습3(마스터)",IF(H422&lt;&gt;"","복습2",IF(G422&lt;&gt;"","복습1",IF(ISNUMBER(SEARCH("제미나이",K422)),"복습대기(AI도움)",IF(ISNUMBER(SEARCH("간당간당",K422)),"복습대기(간당간당)",IF(OR(ISNUMBER(SEARCH("아이디어",K422)),ISNUMBER(SEARCH("시간초과",K422)),ISNUMBER(SEARCH("자료구조",K422)),ISNUMBER(SEARCH("경계값",K422)),ISNUMBER(SEARCH("다른 풀이",K422)),ISNUMBER(SEARCH("또풀기",K422))),"복습대기",IF(OR(ISNUMBER(SEARCH("복습필요없음",K422)),ISNUMBER(SEARCH("자력완벽",K422))),"품(복습불필요)",IF(F422&lt;&gt;"","품","미완료"))))))))))</f>
        <v/>
      </c>
      <c r="K422" s="32" t="inlineStr">
        <is>
          <t>-</t>
        </is>
      </c>
      <c r="L422" s="32" t="n"/>
      <c r="M422" s="28">
        <f>IF(OR(LEFT(J422,2)="보류", LEFT(J422,4)="복습대기", LEFT(J422,3)="복습1", LEFT(J422,3)="복습2"), MAX($M$3:M421)+1, "")</f>
        <v/>
      </c>
      <c r="N422" s="28" t="inlineStr">
        <is>
          <t>W12</t>
        </is>
      </c>
      <c r="O422" s="36" t="n">
        <v>46337</v>
      </c>
      <c r="P422" s="30">
        <f>IF(F422&lt;&gt;"","✅ 완료",IF(O422="","-",IF(TODAY()&gt;O422,"🚨 지연","⏳ 예정")))</f>
        <v/>
      </c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 ht="21.75" customHeight="1" s="209">
      <c r="A423" s="28" t="n">
        <v>420</v>
      </c>
      <c r="B423" s="28" t="inlineStr">
        <is>
          <t>4259</t>
        </is>
      </c>
      <c r="C423" s="30" t="inlineStr">
        <is>
          <t>D4</t>
        </is>
      </c>
      <c r="D423" s="32" t="inlineStr">
        <is>
          <t>제곱수의 합 계산하기</t>
        </is>
      </c>
      <c r="E423" s="28" t="inlineStr">
        <is>
          <t>수학 / 정수론</t>
        </is>
      </c>
      <c r="F423" s="28" t="n"/>
      <c r="G423" s="28" t="n"/>
      <c r="H423" s="28" t="n"/>
      <c r="I423" s="28" t="n"/>
      <c r="J423" s="54">
        <f>IF(OR(ISNUMBER(SEARCH("보류",K423)),ISNUMBER(SEARCH("미룸",K423)),ISNUMBER(SEARCH("나중에",K423)),ISNUMBER(SEARCH("보류",L423)),ISNUMBER(SEARCH("미룸",L423)),ISNUMBER(SEARCH("나중에",L423))),"보류(나중에 풀기)",IF(AND(F423="",G423="",H423="",I423=""),"미완료",IF(I423&lt;&gt;"","복습3(마스터)",IF(H423&lt;&gt;"","복습2",IF(G423&lt;&gt;"","복습1",IF(ISNUMBER(SEARCH("제미나이",K423)),"복습대기(AI도움)",IF(ISNUMBER(SEARCH("간당간당",K423)),"복습대기(간당간당)",IF(OR(ISNUMBER(SEARCH("아이디어",K423)),ISNUMBER(SEARCH("시간초과",K423)),ISNUMBER(SEARCH("자료구조",K423)),ISNUMBER(SEARCH("경계값",K423)),ISNUMBER(SEARCH("다른 풀이",K423)),ISNUMBER(SEARCH("또풀기",K423))),"복습대기",IF(OR(ISNUMBER(SEARCH("복습필요없음",K423)),ISNUMBER(SEARCH("자력완벽",K423))),"품(복습불필요)",IF(F423&lt;&gt;"","품","미완료"))))))))))</f>
        <v/>
      </c>
      <c r="K423" s="32" t="inlineStr">
        <is>
          <t>-</t>
        </is>
      </c>
      <c r="L423" s="32" t="n"/>
      <c r="M423" s="28">
        <f>IF(OR(LEFT(J423,2)="보류", LEFT(J423,4)="복습대기", LEFT(J423,3)="복습1", LEFT(J423,3)="복습2"), MAX($M$3:M422)+1, "")</f>
        <v/>
      </c>
      <c r="N423" s="28" t="inlineStr">
        <is>
          <t>W12</t>
        </is>
      </c>
      <c r="O423" s="36" t="n">
        <v>46337</v>
      </c>
      <c r="P423" s="30">
        <f>IF(F423&lt;&gt;"","✅ 완료",IF(O423="","-",IF(TODAY()&gt;O423,"🚨 지연","⏳ 예정")))</f>
        <v/>
      </c>
      <c r="Q423" s="7" t="n"/>
      <c r="R423" s="7" t="n"/>
      <c r="S423" s="7" t="n"/>
      <c r="T423" s="7" t="n"/>
      <c r="U423" s="7" t="n"/>
      <c r="V423" s="7" t="n"/>
      <c r="W423" s="7" t="n"/>
      <c r="X423" s="7" t="n"/>
    </row>
    <row r="424" ht="21.75" customHeight="1" s="209">
      <c r="A424" s="28" t="n">
        <v>421</v>
      </c>
      <c r="B424" s="28" t="inlineStr">
        <is>
          <t>4261</t>
        </is>
      </c>
      <c r="C424" s="30" t="inlineStr">
        <is>
          <t>D4</t>
        </is>
      </c>
      <c r="D424" s="32" t="inlineStr">
        <is>
          <t>빠른 휴대전화 키패드</t>
        </is>
      </c>
      <c r="E424" s="28" t="inlineStr">
        <is>
          <t>DFS / BFS / 백트래킹</t>
        </is>
      </c>
      <c r="F424" s="28" t="n"/>
      <c r="G424" s="28" t="n"/>
      <c r="H424" s="28" t="n"/>
      <c r="I424" s="28" t="n"/>
      <c r="J424" s="54">
        <f>IF(OR(ISNUMBER(SEARCH("보류",K424)),ISNUMBER(SEARCH("미룸",K424)),ISNUMBER(SEARCH("나중에",K424)),ISNUMBER(SEARCH("보류",L424)),ISNUMBER(SEARCH("미룸",L424)),ISNUMBER(SEARCH("나중에",L424))),"보류(나중에 풀기)",IF(AND(F424="",G424="",H424="",I424=""),"미완료",IF(I424&lt;&gt;"","복습3(마스터)",IF(H424&lt;&gt;"","복습2",IF(G424&lt;&gt;"","복습1",IF(ISNUMBER(SEARCH("제미나이",K424)),"복습대기(AI도움)",IF(ISNUMBER(SEARCH("간당간당",K424)),"복습대기(간당간당)",IF(OR(ISNUMBER(SEARCH("아이디어",K424)),ISNUMBER(SEARCH("시간초과",K424)),ISNUMBER(SEARCH("자료구조",K424)),ISNUMBER(SEARCH("경계값",K424)),ISNUMBER(SEARCH("다른 풀이",K424)),ISNUMBER(SEARCH("또풀기",K424))),"복습대기",IF(OR(ISNUMBER(SEARCH("복습필요없음",K424)),ISNUMBER(SEARCH("자력완벽",K424))),"품(복습불필요)",IF(F424&lt;&gt;"","품","미완료"))))))))))</f>
        <v/>
      </c>
      <c r="K424" s="32" t="inlineStr">
        <is>
          <t>-</t>
        </is>
      </c>
      <c r="L424" s="32" t="n"/>
      <c r="M424" s="28">
        <f>IF(OR(LEFT(J424,2)="보류", LEFT(J424,4)="복습대기", LEFT(J424,3)="복습1", LEFT(J424,3)="복습2"), MAX($M$3:M423)+1, "")</f>
        <v/>
      </c>
      <c r="N424" s="28" t="inlineStr">
        <is>
          <t>W12</t>
        </is>
      </c>
      <c r="O424" s="36" t="n">
        <v>46337</v>
      </c>
      <c r="P424" s="30">
        <f>IF(F424&lt;&gt;"","✅ 완료",IF(O424="","-",IF(TODAY()&gt;O424,"🚨 지연","⏳ 예정")))</f>
        <v/>
      </c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 ht="21.75" customHeight="1" s="209">
      <c r="A425" s="28" t="n">
        <v>422</v>
      </c>
      <c r="B425" s="28" t="inlineStr">
        <is>
          <t>4301</t>
        </is>
      </c>
      <c r="C425" s="30" t="inlineStr">
        <is>
          <t>D4</t>
        </is>
      </c>
      <c r="D425" s="32" t="inlineStr">
        <is>
          <t>콩 많이 심기</t>
        </is>
      </c>
      <c r="E425" s="28" t="inlineStr">
        <is>
          <t>DFS / BFS / 백트래킹</t>
        </is>
      </c>
      <c r="F425" s="28" t="n"/>
      <c r="G425" s="28" t="n"/>
      <c r="H425" s="28" t="n"/>
      <c r="I425" s="28" t="n"/>
      <c r="J425" s="54">
        <f>IF(OR(ISNUMBER(SEARCH("보류",K425)),ISNUMBER(SEARCH("미룸",K425)),ISNUMBER(SEARCH("나중에",K425)),ISNUMBER(SEARCH("보류",L425)),ISNUMBER(SEARCH("미룸",L425)),ISNUMBER(SEARCH("나중에",L425))),"보류(나중에 풀기)",IF(AND(F425="",G425="",H425="",I425=""),"미완료",IF(I425&lt;&gt;"","복습3(마스터)",IF(H425&lt;&gt;"","복습2",IF(G425&lt;&gt;"","복습1",IF(ISNUMBER(SEARCH("제미나이",K425)),"복습대기(AI도움)",IF(ISNUMBER(SEARCH("간당간당",K425)),"복습대기(간당간당)",IF(OR(ISNUMBER(SEARCH("아이디어",K425)),ISNUMBER(SEARCH("시간초과",K425)),ISNUMBER(SEARCH("자료구조",K425)),ISNUMBER(SEARCH("경계값",K425)),ISNUMBER(SEARCH("다른 풀이",K425)),ISNUMBER(SEARCH("또풀기",K425))),"복습대기",IF(OR(ISNUMBER(SEARCH("복습필요없음",K425)),ISNUMBER(SEARCH("자력완벽",K425))),"품(복습불필요)",IF(F425&lt;&gt;"","품","미완료"))))))))))</f>
        <v/>
      </c>
      <c r="K425" s="32" t="inlineStr">
        <is>
          <t>-</t>
        </is>
      </c>
      <c r="L425" s="32" t="n"/>
      <c r="M425" s="28">
        <f>IF(OR(LEFT(J425,2)="보류", LEFT(J425,4)="복습대기", LEFT(J425,3)="복습1", LEFT(J425,3)="복습2"), MAX($M$3:M424)+1, "")</f>
        <v/>
      </c>
      <c r="N425" s="28" t="inlineStr">
        <is>
          <t>W12</t>
        </is>
      </c>
      <c r="O425" s="36" t="n">
        <v>46338</v>
      </c>
      <c r="P425" s="30">
        <f>IF(F425&lt;&gt;"","✅ 완료",IF(O425="","-",IF(TODAY()&gt;O425,"🚨 지연","⏳ 예정")))</f>
        <v/>
      </c>
      <c r="Q425" s="7" t="n"/>
      <c r="R425" s="7" t="n"/>
      <c r="S425" s="7" t="n"/>
      <c r="T425" s="7" t="n"/>
      <c r="U425" s="7" t="n"/>
      <c r="V425" s="7" t="n"/>
      <c r="W425" s="7" t="n"/>
      <c r="X425" s="7" t="n"/>
    </row>
    <row r="426" ht="21.75" customHeight="1" s="209">
      <c r="A426" s="28" t="n">
        <v>423</v>
      </c>
      <c r="B426" s="28" t="inlineStr">
        <is>
          <t>4366</t>
        </is>
      </c>
      <c r="C426" s="30" t="inlineStr">
        <is>
          <t>D4</t>
        </is>
      </c>
      <c r="D426" s="32" t="inlineStr">
        <is>
          <t>정식이의 은행업무</t>
        </is>
      </c>
      <c r="E426" s="28" t="inlineStr">
        <is>
          <t>DFS / BFS / 백트래킹</t>
        </is>
      </c>
      <c r="F426" s="28" t="n"/>
      <c r="G426" s="28" t="n"/>
      <c r="H426" s="28" t="n"/>
      <c r="I426" s="28" t="n"/>
      <c r="J426" s="54">
        <f>IF(OR(ISNUMBER(SEARCH("보류",K426)),ISNUMBER(SEARCH("미룸",K426)),ISNUMBER(SEARCH("나중에",K426)),ISNUMBER(SEARCH("보류",L426)),ISNUMBER(SEARCH("미룸",L426)),ISNUMBER(SEARCH("나중에",L426))),"보류(나중에 풀기)",IF(AND(F426="",G426="",H426="",I426=""),"미완료",IF(I426&lt;&gt;"","복습3(마스터)",IF(H426&lt;&gt;"","복습2",IF(G426&lt;&gt;"","복습1",IF(ISNUMBER(SEARCH("제미나이",K426)),"복습대기(AI도움)",IF(ISNUMBER(SEARCH("간당간당",K426)),"복습대기(간당간당)",IF(OR(ISNUMBER(SEARCH("아이디어",K426)),ISNUMBER(SEARCH("시간초과",K426)),ISNUMBER(SEARCH("자료구조",K426)),ISNUMBER(SEARCH("경계값",K426)),ISNUMBER(SEARCH("다른 풀이",K426)),ISNUMBER(SEARCH("또풀기",K426))),"복습대기",IF(OR(ISNUMBER(SEARCH("복습필요없음",K426)),ISNUMBER(SEARCH("자력완벽",K426))),"품(복습불필요)",IF(F426&lt;&gt;"","품","미완료"))))))))))</f>
        <v/>
      </c>
      <c r="K426" s="32" t="inlineStr">
        <is>
          <t>-</t>
        </is>
      </c>
      <c r="L426" s="32" t="n"/>
      <c r="M426" s="28">
        <f>IF(OR(LEFT(J426,2)="보류", LEFT(J426,4)="복습대기", LEFT(J426,3)="복습1", LEFT(J426,3)="복습2"), MAX($M$3:M425)+1, "")</f>
        <v/>
      </c>
      <c r="N426" s="28" t="inlineStr">
        <is>
          <t>W12</t>
        </is>
      </c>
      <c r="O426" s="36" t="n">
        <v>46338</v>
      </c>
      <c r="P426" s="30">
        <f>IF(F426&lt;&gt;"","✅ 완료",IF(O426="","-",IF(TODAY()&gt;O426,"🚨 지연","⏳ 예정")))</f>
        <v/>
      </c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 ht="21.75" customHeight="1" s="209">
      <c r="A427" s="28" t="n">
        <v>424</v>
      </c>
      <c r="B427" s="28" t="inlineStr">
        <is>
          <t>4408</t>
        </is>
      </c>
      <c r="C427" s="30" t="inlineStr">
        <is>
          <t>D4</t>
        </is>
      </c>
      <c r="D427" s="32" t="inlineStr">
        <is>
          <t>자기 방으로 돌아가기</t>
        </is>
      </c>
      <c r="E427" s="28" t="inlineStr">
        <is>
          <t>DFS / BFS / 백트래킹</t>
        </is>
      </c>
      <c r="F427" s="28" t="n"/>
      <c r="G427" s="28" t="n"/>
      <c r="H427" s="28" t="n"/>
      <c r="I427" s="28" t="n"/>
      <c r="J427" s="54">
        <f>IF(OR(ISNUMBER(SEARCH("보류",K427)),ISNUMBER(SEARCH("미룸",K427)),ISNUMBER(SEARCH("나중에",K427)),ISNUMBER(SEARCH("보류",L427)),ISNUMBER(SEARCH("미룸",L427)),ISNUMBER(SEARCH("나중에",L427))),"보류(나중에 풀기)",IF(AND(F427="",G427="",H427="",I427=""),"미완료",IF(I427&lt;&gt;"","복습3(마스터)",IF(H427&lt;&gt;"","복습2",IF(G427&lt;&gt;"","복습1",IF(ISNUMBER(SEARCH("제미나이",K427)),"복습대기(AI도움)",IF(ISNUMBER(SEARCH("간당간당",K427)),"복습대기(간당간당)",IF(OR(ISNUMBER(SEARCH("아이디어",K427)),ISNUMBER(SEARCH("시간초과",K427)),ISNUMBER(SEARCH("자료구조",K427)),ISNUMBER(SEARCH("경계값",K427)),ISNUMBER(SEARCH("다른 풀이",K427)),ISNUMBER(SEARCH("또풀기",K427))),"복습대기",IF(OR(ISNUMBER(SEARCH("복습필요없음",K427)),ISNUMBER(SEARCH("자력완벽",K427))),"품(복습불필요)",IF(F427&lt;&gt;"","품","미완료"))))))))))</f>
        <v/>
      </c>
      <c r="K427" s="32" t="inlineStr">
        <is>
          <t>-</t>
        </is>
      </c>
      <c r="L427" s="32" t="n"/>
      <c r="M427" s="28">
        <f>IF(OR(LEFT(J427,2)="보류", LEFT(J427,4)="복습대기", LEFT(J427,3)="복습1", LEFT(J427,3)="복습2"), MAX($M$3:M426)+1, "")</f>
        <v/>
      </c>
      <c r="N427" s="28" t="inlineStr">
        <is>
          <t>W12</t>
        </is>
      </c>
      <c r="O427" s="36" t="n">
        <v>46338</v>
      </c>
      <c r="P427" s="30">
        <f>IF(F427&lt;&gt;"","✅ 완료",IF(O427="","-",IF(TODAY()&gt;O427,"🚨 지연","⏳ 예정")))</f>
        <v/>
      </c>
      <c r="Q427" s="7" t="n"/>
      <c r="R427" s="7" t="n"/>
      <c r="S427" s="7" t="n"/>
      <c r="T427" s="7" t="n"/>
      <c r="U427" s="7" t="n"/>
      <c r="V427" s="7" t="n"/>
      <c r="W427" s="7" t="n"/>
      <c r="X427" s="7" t="n"/>
    </row>
    <row r="428" ht="21.75" customHeight="1" s="209">
      <c r="A428" s="28" t="n">
        <v>425</v>
      </c>
      <c r="B428" s="28" t="inlineStr">
        <is>
          <t>4530</t>
        </is>
      </c>
      <c r="C428" s="30" t="inlineStr">
        <is>
          <t>D4</t>
        </is>
      </c>
      <c r="D428" s="32" t="inlineStr">
        <is>
          <t>극한의 청소 작업</t>
        </is>
      </c>
      <c r="E428" s="28" t="inlineStr">
        <is>
          <t>시뮬레이션 / 구현</t>
        </is>
      </c>
      <c r="F428" s="28" t="n"/>
      <c r="G428" s="28" t="n"/>
      <c r="H428" s="28" t="n"/>
      <c r="I428" s="28" t="n"/>
      <c r="J428" s="54">
        <f>IF(OR(ISNUMBER(SEARCH("보류",K428)),ISNUMBER(SEARCH("미룸",K428)),ISNUMBER(SEARCH("나중에",K428)),ISNUMBER(SEARCH("보류",L428)),ISNUMBER(SEARCH("미룸",L428)),ISNUMBER(SEARCH("나중에",L428))),"보류(나중에 풀기)",IF(AND(F428="",G428="",H428="",I428=""),"미완료",IF(I428&lt;&gt;"","복습3(마스터)",IF(H428&lt;&gt;"","복습2",IF(G428&lt;&gt;"","복습1",IF(ISNUMBER(SEARCH("제미나이",K428)),"복습대기(AI도움)",IF(ISNUMBER(SEARCH("간당간당",K428)),"복습대기(간당간당)",IF(OR(ISNUMBER(SEARCH("아이디어",K428)),ISNUMBER(SEARCH("시간초과",K428)),ISNUMBER(SEARCH("자료구조",K428)),ISNUMBER(SEARCH("경계값",K428)),ISNUMBER(SEARCH("다른 풀이",K428)),ISNUMBER(SEARCH("또풀기",K428))),"복습대기",IF(OR(ISNUMBER(SEARCH("복습필요없음",K428)),ISNUMBER(SEARCH("자력완벽",K428))),"품(복습불필요)",IF(F428&lt;&gt;"","품","미완료"))))))))))</f>
        <v/>
      </c>
      <c r="K428" s="32" t="inlineStr">
        <is>
          <t>-</t>
        </is>
      </c>
      <c r="L428" s="32" t="n"/>
      <c r="M428" s="28">
        <f>IF(OR(LEFT(J428,2)="보류", LEFT(J428,4)="복습대기", LEFT(J428,3)="복습1", LEFT(J428,3)="복습2"), MAX($M$3:M427)+1, "")</f>
        <v/>
      </c>
      <c r="N428" s="28" t="inlineStr">
        <is>
          <t>W12</t>
        </is>
      </c>
      <c r="O428" s="36" t="n">
        <v>46338</v>
      </c>
      <c r="P428" s="30">
        <f>IF(F428&lt;&gt;"","✅ 완료",IF(O428="","-",IF(TODAY()&gt;O428,"🚨 지연","⏳ 예정")))</f>
        <v/>
      </c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 ht="21.75" customHeight="1" s="209">
      <c r="A429" s="28" t="n">
        <v>426</v>
      </c>
      <c r="B429" s="28" t="inlineStr">
        <is>
          <t>4672</t>
        </is>
      </c>
      <c r="C429" s="30" t="inlineStr">
        <is>
          <t>D4</t>
        </is>
      </c>
      <c r="D429" s="32" t="inlineStr">
        <is>
          <t>수진이의 팰린드롬</t>
        </is>
      </c>
      <c r="E429" s="28" t="inlineStr">
        <is>
          <t>문자열 / 파싱</t>
        </is>
      </c>
      <c r="F429" s="28" t="n"/>
      <c r="G429" s="28" t="n"/>
      <c r="H429" s="28" t="n"/>
      <c r="I429" s="28" t="n"/>
      <c r="J429" s="54">
        <f>IF(OR(ISNUMBER(SEARCH("보류",K429)),ISNUMBER(SEARCH("미룸",K429)),ISNUMBER(SEARCH("나중에",K429)),ISNUMBER(SEARCH("보류",L429)),ISNUMBER(SEARCH("미룸",L429)),ISNUMBER(SEARCH("나중에",L429))),"보류(나중에 풀기)",IF(AND(F429="",G429="",H429="",I429=""),"미완료",IF(I429&lt;&gt;"","복습3(마스터)",IF(H429&lt;&gt;"","복습2",IF(G429&lt;&gt;"","복습1",IF(ISNUMBER(SEARCH("제미나이",K429)),"복습대기(AI도움)",IF(ISNUMBER(SEARCH("간당간당",K429)),"복습대기(간당간당)",IF(OR(ISNUMBER(SEARCH("아이디어",K429)),ISNUMBER(SEARCH("시간초과",K429)),ISNUMBER(SEARCH("자료구조",K429)),ISNUMBER(SEARCH("경계값",K429)),ISNUMBER(SEARCH("다른 풀이",K429)),ISNUMBER(SEARCH("또풀기",K429))),"복습대기",IF(OR(ISNUMBER(SEARCH("복습필요없음",K429)),ISNUMBER(SEARCH("자력완벽",K429))),"품(복습불필요)",IF(F429&lt;&gt;"","품","미완료"))))))))))</f>
        <v/>
      </c>
      <c r="K429" s="32" t="inlineStr">
        <is>
          <t>-</t>
        </is>
      </c>
      <c r="L429" s="32" t="n"/>
      <c r="M429" s="28">
        <f>IF(OR(LEFT(J429,2)="보류", LEFT(J429,4)="복습대기", LEFT(J429,3)="복습1", LEFT(J429,3)="복습2"), MAX($M$3:M428)+1, "")</f>
        <v/>
      </c>
      <c r="N429" s="28" t="inlineStr">
        <is>
          <t>W12</t>
        </is>
      </c>
      <c r="O429" s="36" t="n">
        <v>46338</v>
      </c>
      <c r="P429" s="30">
        <f>IF(F429&lt;&gt;"","✅ 완료",IF(O429="","-",IF(TODAY()&gt;O429,"🚨 지연","⏳ 예정")))</f>
        <v/>
      </c>
      <c r="Q429" s="7" t="n"/>
      <c r="R429" s="7" t="n"/>
      <c r="S429" s="7" t="n"/>
      <c r="T429" s="7" t="n"/>
      <c r="U429" s="7" t="n"/>
      <c r="V429" s="7" t="n"/>
      <c r="W429" s="7" t="n"/>
      <c r="X429" s="7" t="n"/>
    </row>
    <row r="430" ht="21.75" customHeight="1" s="209">
      <c r="A430" s="28" t="n">
        <v>427</v>
      </c>
      <c r="B430" s="28" t="inlineStr">
        <is>
          <t>4699</t>
        </is>
      </c>
      <c r="C430" s="30" t="inlineStr">
        <is>
          <t>D4</t>
        </is>
      </c>
      <c r="D430" s="32" t="inlineStr">
        <is>
          <t>콩순이의 가장 싼 팰린드롬</t>
        </is>
      </c>
      <c r="E430" s="28" t="inlineStr">
        <is>
          <t>문자열 / 파싱</t>
        </is>
      </c>
      <c r="F430" s="28" t="n"/>
      <c r="G430" s="28" t="n"/>
      <c r="H430" s="28" t="n"/>
      <c r="I430" s="28" t="n"/>
      <c r="J430" s="54">
        <f>IF(OR(ISNUMBER(SEARCH("보류",K430)),ISNUMBER(SEARCH("미룸",K430)),ISNUMBER(SEARCH("나중에",K430)),ISNUMBER(SEARCH("보류",L430)),ISNUMBER(SEARCH("미룸",L430)),ISNUMBER(SEARCH("나중에",L430))),"보류(나중에 풀기)",IF(AND(F430="",G430="",H430="",I430=""),"미완료",IF(I430&lt;&gt;"","복습3(마스터)",IF(H430&lt;&gt;"","복습2",IF(G430&lt;&gt;"","복습1",IF(ISNUMBER(SEARCH("제미나이",K430)),"복습대기(AI도움)",IF(ISNUMBER(SEARCH("간당간당",K430)),"복습대기(간당간당)",IF(OR(ISNUMBER(SEARCH("아이디어",K430)),ISNUMBER(SEARCH("시간초과",K430)),ISNUMBER(SEARCH("자료구조",K430)),ISNUMBER(SEARCH("경계값",K430)),ISNUMBER(SEARCH("다른 풀이",K430)),ISNUMBER(SEARCH("또풀기",K430))),"복습대기",IF(OR(ISNUMBER(SEARCH("복습필요없음",K430)),ISNUMBER(SEARCH("자력완벽",K430))),"품(복습불필요)",IF(F430&lt;&gt;"","품","미완료"))))))))))</f>
        <v/>
      </c>
      <c r="K430" s="32" t="inlineStr">
        <is>
          <t>-</t>
        </is>
      </c>
      <c r="L430" s="32" t="n"/>
      <c r="M430" s="28">
        <f>IF(OR(LEFT(J430,2)="보류", LEFT(J430,4)="복습대기", LEFT(J430,3)="복습1", LEFT(J430,3)="복습2"), MAX($M$3:M429)+1, "")</f>
        <v/>
      </c>
      <c r="N430" s="28" t="inlineStr">
        <is>
          <t>W12</t>
        </is>
      </c>
      <c r="O430" s="36" t="n">
        <v>46338</v>
      </c>
      <c r="P430" s="30">
        <f>IF(F430&lt;&gt;"","✅ 완료",IF(O430="","-",IF(TODAY()&gt;O430,"🚨 지연","⏳ 예정")))</f>
        <v/>
      </c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 ht="21.75" customHeight="1" s="209">
      <c r="A431" s="28" t="n">
        <v>428</v>
      </c>
      <c r="B431" s="28" t="inlineStr">
        <is>
          <t>4796</t>
        </is>
      </c>
      <c r="C431" s="30" t="inlineStr">
        <is>
          <t>D4</t>
        </is>
      </c>
      <c r="D431" s="32" t="inlineStr">
        <is>
          <t>의석이의 우뚝 선 산</t>
        </is>
      </c>
      <c r="E431" s="28" t="inlineStr">
        <is>
          <t>DFS / BFS / 백트래킹</t>
        </is>
      </c>
      <c r="F431" s="28" t="n"/>
      <c r="G431" s="28" t="n"/>
      <c r="H431" s="28" t="n"/>
      <c r="I431" s="28" t="n"/>
      <c r="J431" s="54">
        <f>IF(OR(ISNUMBER(SEARCH("보류",K431)),ISNUMBER(SEARCH("미룸",K431)),ISNUMBER(SEARCH("나중에",K431)),ISNUMBER(SEARCH("보류",L431)),ISNUMBER(SEARCH("미룸",L431)),ISNUMBER(SEARCH("나중에",L431))),"보류(나중에 풀기)",IF(AND(F431="",G431="",H431="",I431=""),"미완료",IF(I431&lt;&gt;"","복습3(마스터)",IF(H431&lt;&gt;"","복습2",IF(G431&lt;&gt;"","복습1",IF(ISNUMBER(SEARCH("제미나이",K431)),"복습대기(AI도움)",IF(ISNUMBER(SEARCH("간당간당",K431)),"복습대기(간당간당)",IF(OR(ISNUMBER(SEARCH("아이디어",K431)),ISNUMBER(SEARCH("시간초과",K431)),ISNUMBER(SEARCH("자료구조",K431)),ISNUMBER(SEARCH("경계값",K431)),ISNUMBER(SEARCH("다른 풀이",K431)),ISNUMBER(SEARCH("또풀기",K431))),"복습대기",IF(OR(ISNUMBER(SEARCH("복습필요없음",K431)),ISNUMBER(SEARCH("자력완벽",K431))),"품(복습불필요)",IF(F431&lt;&gt;"","품","미완료"))))))))))</f>
        <v/>
      </c>
      <c r="K431" s="32" t="inlineStr">
        <is>
          <t>-</t>
        </is>
      </c>
      <c r="L431" s="32" t="n"/>
      <c r="M431" s="28">
        <f>IF(OR(LEFT(J431,2)="보류", LEFT(J431,4)="복습대기", LEFT(J431,3)="복습1", LEFT(J431,3)="복습2"), MAX($M$3:M430)+1, "")</f>
        <v/>
      </c>
      <c r="N431" s="28" t="inlineStr">
        <is>
          <t>W12</t>
        </is>
      </c>
      <c r="O431" s="36" t="n">
        <v>46338</v>
      </c>
      <c r="P431" s="30">
        <f>IF(F431&lt;&gt;"","✅ 완료",IF(O431="","-",IF(TODAY()&gt;O431,"🚨 지연","⏳ 예정")))</f>
        <v/>
      </c>
      <c r="Q431" s="7" t="n"/>
      <c r="R431" s="7" t="n"/>
      <c r="S431" s="7" t="n"/>
      <c r="T431" s="7" t="n"/>
      <c r="U431" s="7" t="n"/>
      <c r="V431" s="7" t="n"/>
      <c r="W431" s="7" t="n"/>
      <c r="X431" s="7" t="n"/>
    </row>
    <row r="432" ht="21.75" customHeight="1" s="209">
      <c r="A432" s="28" t="n">
        <v>429</v>
      </c>
      <c r="B432" s="28" t="inlineStr">
        <is>
          <t>5213</t>
        </is>
      </c>
      <c r="C432" s="30" t="inlineStr">
        <is>
          <t>D4</t>
        </is>
      </c>
      <c r="D432" s="32" t="inlineStr">
        <is>
          <t>진수의 홀수 약수</t>
        </is>
      </c>
      <c r="E432" s="28" t="inlineStr">
        <is>
          <t>수학 / 정수론</t>
        </is>
      </c>
      <c r="F432" s="28" t="n"/>
      <c r="G432" s="28" t="n"/>
      <c r="H432" s="28" t="n"/>
      <c r="I432" s="28" t="n"/>
      <c r="J432" s="54">
        <f>IF(OR(ISNUMBER(SEARCH("보류",K432)),ISNUMBER(SEARCH("미룸",K432)),ISNUMBER(SEARCH("나중에",K432)),ISNUMBER(SEARCH("보류",L432)),ISNUMBER(SEARCH("미룸",L432)),ISNUMBER(SEARCH("나중에",L432))),"보류(나중에 풀기)",IF(AND(F432="",G432="",H432="",I432=""),"미완료",IF(I432&lt;&gt;"","복습3(마스터)",IF(H432&lt;&gt;"","복습2",IF(G432&lt;&gt;"","복습1",IF(ISNUMBER(SEARCH("제미나이",K432)),"복습대기(AI도움)",IF(ISNUMBER(SEARCH("간당간당",K432)),"복습대기(간당간당)",IF(OR(ISNUMBER(SEARCH("아이디어",K432)),ISNUMBER(SEARCH("시간초과",K432)),ISNUMBER(SEARCH("자료구조",K432)),ISNUMBER(SEARCH("경계값",K432)),ISNUMBER(SEARCH("다른 풀이",K432)),ISNUMBER(SEARCH("또풀기",K432))),"복습대기",IF(OR(ISNUMBER(SEARCH("복습필요없음",K432)),ISNUMBER(SEARCH("자력완벽",K432))),"품(복습불필요)",IF(F432&lt;&gt;"","품","미완료"))))))))))</f>
        <v/>
      </c>
      <c r="K432" s="32" t="inlineStr">
        <is>
          <t>-</t>
        </is>
      </c>
      <c r="L432" s="32" t="n"/>
      <c r="M432" s="28">
        <f>IF(OR(LEFT(J432,2)="보류", LEFT(J432,4)="복습대기", LEFT(J432,3)="복습1", LEFT(J432,3)="복습2"), MAX($M$3:M431)+1, "")</f>
        <v/>
      </c>
      <c r="N432" s="28" t="inlineStr">
        <is>
          <t>W12</t>
        </is>
      </c>
      <c r="O432" s="36" t="n">
        <v>46339</v>
      </c>
      <c r="P432" s="30">
        <f>IF(F432&lt;&gt;"","✅ 완료",IF(O432="","-",IF(TODAY()&gt;O432,"🚨 지연","⏳ 예정")))</f>
        <v/>
      </c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 ht="21.75" customHeight="1" s="209">
      <c r="A433" s="28" t="n">
        <v>430</v>
      </c>
      <c r="B433" s="28" t="inlineStr">
        <is>
          <t>5550</t>
        </is>
      </c>
      <c r="C433" s="30" t="inlineStr">
        <is>
          <t>D4</t>
        </is>
      </c>
      <c r="D433" s="32" t="inlineStr">
        <is>
          <t>나는 개구리로소이다</t>
        </is>
      </c>
      <c r="E433" s="28" t="inlineStr">
        <is>
          <t>DFS / BFS / 백트래킹</t>
        </is>
      </c>
      <c r="F433" s="28" t="n"/>
      <c r="G433" s="28" t="n"/>
      <c r="H433" s="28" t="n"/>
      <c r="I433" s="28" t="n"/>
      <c r="J433" s="54">
        <f>IF(OR(ISNUMBER(SEARCH("보류",K433)),ISNUMBER(SEARCH("미룸",K433)),ISNUMBER(SEARCH("나중에",K433)),ISNUMBER(SEARCH("보류",L433)),ISNUMBER(SEARCH("미룸",L433)),ISNUMBER(SEARCH("나중에",L433))),"보류(나중에 풀기)",IF(AND(F433="",G433="",H433="",I433=""),"미완료",IF(I433&lt;&gt;"","복습3(마스터)",IF(H433&lt;&gt;"","복습2",IF(G433&lt;&gt;"","복습1",IF(ISNUMBER(SEARCH("제미나이",K433)),"복습대기(AI도움)",IF(ISNUMBER(SEARCH("간당간당",K433)),"복습대기(간당간당)",IF(OR(ISNUMBER(SEARCH("아이디어",K433)),ISNUMBER(SEARCH("시간초과",K433)),ISNUMBER(SEARCH("자료구조",K433)),ISNUMBER(SEARCH("경계값",K433)),ISNUMBER(SEARCH("다른 풀이",K433)),ISNUMBER(SEARCH("또풀기",K433))),"복습대기",IF(OR(ISNUMBER(SEARCH("복습필요없음",K433)),ISNUMBER(SEARCH("자력완벽",K433))),"품(복습불필요)",IF(F433&lt;&gt;"","품","미완료"))))))))))</f>
        <v/>
      </c>
      <c r="K433" s="32" t="inlineStr">
        <is>
          <t>-</t>
        </is>
      </c>
      <c r="L433" s="32" t="n"/>
      <c r="M433" s="28">
        <f>IF(OR(LEFT(J433,2)="보류", LEFT(J433,4)="복습대기", LEFT(J433,3)="복습1", LEFT(J433,3)="복습2"), MAX($M$3:M432)+1, "")</f>
        <v/>
      </c>
      <c r="N433" s="28" t="inlineStr">
        <is>
          <t>W12</t>
        </is>
      </c>
      <c r="O433" s="36" t="n">
        <v>46339</v>
      </c>
      <c r="P433" s="30">
        <f>IF(F433&lt;&gt;"","✅ 완료",IF(O433="","-",IF(TODAY()&gt;O433,"🚨 지연","⏳ 예정")))</f>
        <v/>
      </c>
      <c r="Q433" s="7" t="n"/>
      <c r="R433" s="7" t="n"/>
      <c r="S433" s="7" t="n"/>
      <c r="T433" s="7" t="n"/>
      <c r="U433" s="7" t="n"/>
      <c r="V433" s="7" t="n"/>
      <c r="W433" s="7" t="n"/>
      <c r="X433" s="7" t="n"/>
    </row>
    <row r="434" ht="21.75" customHeight="1" s="209">
      <c r="A434" s="28" t="n">
        <v>431</v>
      </c>
      <c r="B434" s="28" t="inlineStr">
        <is>
          <t>5604</t>
        </is>
      </c>
      <c r="C434" s="30" t="inlineStr">
        <is>
          <t>D4</t>
        </is>
      </c>
      <c r="D434" s="32" t="inlineStr">
        <is>
          <t>[Professional] 구간 합</t>
        </is>
      </c>
      <c r="E434" s="28" t="inlineStr">
        <is>
          <t>수학 / 정수론</t>
        </is>
      </c>
      <c r="F434" s="28" t="n"/>
      <c r="G434" s="28" t="n"/>
      <c r="H434" s="28" t="n"/>
      <c r="I434" s="28" t="n"/>
      <c r="J434" s="54">
        <f>IF(OR(ISNUMBER(SEARCH("보류",K434)),ISNUMBER(SEARCH("미룸",K434)),ISNUMBER(SEARCH("나중에",K434)),ISNUMBER(SEARCH("보류",L434)),ISNUMBER(SEARCH("미룸",L434)),ISNUMBER(SEARCH("나중에",L434))),"보류(나중에 풀기)",IF(AND(F434="",G434="",H434="",I434=""),"미완료",IF(I434&lt;&gt;"","복습3(마스터)",IF(H434&lt;&gt;"","복습2",IF(G434&lt;&gt;"","복습1",IF(ISNUMBER(SEARCH("제미나이",K434)),"복습대기(AI도움)",IF(ISNUMBER(SEARCH("간당간당",K434)),"복습대기(간당간당)",IF(OR(ISNUMBER(SEARCH("아이디어",K434)),ISNUMBER(SEARCH("시간초과",K434)),ISNUMBER(SEARCH("자료구조",K434)),ISNUMBER(SEARCH("경계값",K434)),ISNUMBER(SEARCH("다른 풀이",K434)),ISNUMBER(SEARCH("또풀기",K434))),"복습대기",IF(OR(ISNUMBER(SEARCH("복습필요없음",K434)),ISNUMBER(SEARCH("자력완벽",K434))),"품(복습불필요)",IF(F434&lt;&gt;"","품","미완료"))))))))))</f>
        <v/>
      </c>
      <c r="K434" s="32" t="inlineStr">
        <is>
          <t>-</t>
        </is>
      </c>
      <c r="L434" s="32" t="n"/>
      <c r="M434" s="28">
        <f>IF(OR(LEFT(J434,2)="보류", LEFT(J434,4)="복습대기", LEFT(J434,3)="복습1", LEFT(J434,3)="복습2"), MAX($M$3:M433)+1, "")</f>
        <v/>
      </c>
      <c r="N434" s="28" t="inlineStr">
        <is>
          <t>W12</t>
        </is>
      </c>
      <c r="O434" s="36" t="n">
        <v>46339</v>
      </c>
      <c r="P434" s="30">
        <f>IF(F434&lt;&gt;"","✅ 완료",IF(O434="","-",IF(TODAY()&gt;O434,"🚨 지연","⏳ 예정")))</f>
        <v/>
      </c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 ht="21.75" customHeight="1" s="209">
      <c r="A435" s="28" t="n">
        <v>432</v>
      </c>
      <c r="B435" s="28" t="inlineStr">
        <is>
          <t>5606</t>
        </is>
      </c>
      <c r="C435" s="30" t="inlineStr">
        <is>
          <t>D4</t>
        </is>
      </c>
      <c r="D435" s="32" t="inlineStr">
        <is>
          <t>[Professional] 두개의 미로</t>
        </is>
      </c>
      <c r="E435" s="28" t="inlineStr">
        <is>
          <t>DFS / 백트래킹</t>
        </is>
      </c>
      <c r="F435" s="28" t="n"/>
      <c r="G435" s="28" t="n"/>
      <c r="H435" s="28" t="n"/>
      <c r="I435" s="28" t="n"/>
      <c r="J435" s="54">
        <f>IF(OR(ISNUMBER(SEARCH("보류",K435)),ISNUMBER(SEARCH("미룸",K435)),ISNUMBER(SEARCH("나중에",K435)),ISNUMBER(SEARCH("보류",L435)),ISNUMBER(SEARCH("미룸",L435)),ISNUMBER(SEARCH("나중에",L435))),"보류(나중에 풀기)",IF(AND(F435="",G435="",H435="",I435=""),"미완료",IF(I435&lt;&gt;"","복습3(마스터)",IF(H435&lt;&gt;"","복습2",IF(G435&lt;&gt;"","복습1",IF(ISNUMBER(SEARCH("제미나이",K435)),"복습대기(AI도움)",IF(ISNUMBER(SEARCH("간당간당",K435)),"복습대기(간당간당)",IF(OR(ISNUMBER(SEARCH("아이디어",K435)),ISNUMBER(SEARCH("시간초과",K435)),ISNUMBER(SEARCH("자료구조",K435)),ISNUMBER(SEARCH("경계값",K435)),ISNUMBER(SEARCH("다른 풀이",K435)),ISNUMBER(SEARCH("또풀기",K435))),"복습대기",IF(OR(ISNUMBER(SEARCH("복습필요없음",K435)),ISNUMBER(SEARCH("자력완벽",K435))),"품(복습불필요)",IF(F435&lt;&gt;"","품","미완료"))))))))))</f>
        <v/>
      </c>
      <c r="K435" s="32" t="inlineStr">
        <is>
          <t>-</t>
        </is>
      </c>
      <c r="L435" s="32" t="n"/>
      <c r="M435" s="28">
        <f>IF(OR(LEFT(J435,2)="보류", LEFT(J435,4)="복습대기", LEFT(J435,3)="복습1", LEFT(J435,3)="복습2"), MAX($M$3:M434)+1, "")</f>
        <v/>
      </c>
      <c r="N435" s="28" t="inlineStr">
        <is>
          <t>W12</t>
        </is>
      </c>
      <c r="O435" s="36" t="n">
        <v>46339</v>
      </c>
      <c r="P435" s="30">
        <f>IF(F435&lt;&gt;"","✅ 완료",IF(O435="","-",IF(TODAY()&gt;O435,"🚨 지연","⏳ 예정")))</f>
        <v/>
      </c>
      <c r="Q435" s="7" t="n"/>
      <c r="R435" s="7" t="n"/>
      <c r="S435" s="7" t="n"/>
      <c r="T435" s="7" t="n"/>
      <c r="U435" s="7" t="n"/>
      <c r="V435" s="7" t="n"/>
      <c r="W435" s="7" t="n"/>
      <c r="X435" s="7" t="n"/>
    </row>
    <row r="436" ht="21.75" customHeight="1" s="209">
      <c r="A436" s="28" t="n">
        <v>433</v>
      </c>
      <c r="B436" s="28" t="inlineStr">
        <is>
          <t>5608</t>
        </is>
      </c>
      <c r="C436" s="30" t="inlineStr">
        <is>
          <t>D4</t>
        </is>
      </c>
      <c r="D436" s="32" t="inlineStr">
        <is>
          <t>[Professional] 큐브</t>
        </is>
      </c>
      <c r="E436" s="28" t="inlineStr">
        <is>
          <t>자료구조 (스택/큐/리스트)</t>
        </is>
      </c>
      <c r="F436" s="28" t="n"/>
      <c r="G436" s="28" t="n"/>
      <c r="H436" s="28" t="n"/>
      <c r="I436" s="28" t="n"/>
      <c r="J436" s="54">
        <f>IF(OR(ISNUMBER(SEARCH("보류",K436)),ISNUMBER(SEARCH("미룸",K436)),ISNUMBER(SEARCH("나중에",K436)),ISNUMBER(SEARCH("보류",L436)),ISNUMBER(SEARCH("미룸",L436)),ISNUMBER(SEARCH("나중에",L436))),"보류(나중에 풀기)",IF(AND(F436="",G436="",H436="",I436=""),"미완료",IF(I436&lt;&gt;"","복습3(마스터)",IF(H436&lt;&gt;"","복습2",IF(G436&lt;&gt;"","복습1",IF(ISNUMBER(SEARCH("제미나이",K436)),"복습대기(AI도움)",IF(ISNUMBER(SEARCH("간당간당",K436)),"복습대기(간당간당)",IF(OR(ISNUMBER(SEARCH("아이디어",K436)),ISNUMBER(SEARCH("시간초과",K436)),ISNUMBER(SEARCH("자료구조",K436)),ISNUMBER(SEARCH("경계값",K436)),ISNUMBER(SEARCH("다른 풀이",K436)),ISNUMBER(SEARCH("또풀기",K436))),"복습대기",IF(OR(ISNUMBER(SEARCH("복습필요없음",K436)),ISNUMBER(SEARCH("자력완벽",K436))),"품(복습불필요)",IF(F436&lt;&gt;"","품","미완료"))))))))))</f>
        <v/>
      </c>
      <c r="K436" s="32" t="inlineStr">
        <is>
          <t>-</t>
        </is>
      </c>
      <c r="L436" s="32" t="n"/>
      <c r="M436" s="28">
        <f>IF(OR(LEFT(J436,2)="보류", LEFT(J436,4)="복습대기", LEFT(J436,3)="복습1", LEFT(J436,3)="복습2"), MAX($M$3:M435)+1, "")</f>
        <v/>
      </c>
      <c r="N436" s="28" t="inlineStr">
        <is>
          <t>W12</t>
        </is>
      </c>
      <c r="O436" s="36" t="n">
        <v>46339</v>
      </c>
      <c r="P436" s="30">
        <f>IF(F436&lt;&gt;"","✅ 완료",IF(O436="","-",IF(TODAY()&gt;O436,"🚨 지연","⏳ 예정")))</f>
        <v/>
      </c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 ht="21.75" customHeight="1" s="209">
      <c r="A437" s="28" t="n">
        <v>434</v>
      </c>
      <c r="B437" s="28" t="inlineStr">
        <is>
          <t>5640</t>
        </is>
      </c>
      <c r="C437" s="30" t="inlineStr">
        <is>
          <t>D4</t>
        </is>
      </c>
      <c r="D437" s="32" t="inlineStr">
        <is>
          <t>[Professional] 디오판토스 방정식</t>
        </is>
      </c>
      <c r="E437" s="28" t="inlineStr">
        <is>
          <t>DFS / BFS / 백트래킹</t>
        </is>
      </c>
      <c r="F437" s="28" t="n"/>
      <c r="G437" s="28" t="n"/>
      <c r="H437" s="28" t="n"/>
      <c r="I437" s="28" t="n"/>
      <c r="J437" s="54">
        <f>IF(OR(ISNUMBER(SEARCH("보류",K437)),ISNUMBER(SEARCH("미룸",K437)),ISNUMBER(SEARCH("나중에",K437)),ISNUMBER(SEARCH("보류",L437)),ISNUMBER(SEARCH("미룸",L437)),ISNUMBER(SEARCH("나중에",L437))),"보류(나중에 풀기)",IF(AND(F437="",G437="",H437="",I437=""),"미완료",IF(I437&lt;&gt;"","복습3(마스터)",IF(H437&lt;&gt;"","복습2",IF(G437&lt;&gt;"","복습1",IF(ISNUMBER(SEARCH("제미나이",K437)),"복습대기(AI도움)",IF(ISNUMBER(SEARCH("간당간당",K437)),"복습대기(간당간당)",IF(OR(ISNUMBER(SEARCH("아이디어",K437)),ISNUMBER(SEARCH("시간초과",K437)),ISNUMBER(SEARCH("자료구조",K437)),ISNUMBER(SEARCH("경계값",K437)),ISNUMBER(SEARCH("다른 풀이",K437)),ISNUMBER(SEARCH("또풀기",K437))),"복습대기",IF(OR(ISNUMBER(SEARCH("복습필요없음",K437)),ISNUMBER(SEARCH("자력완벽",K437))),"품(복습불필요)",IF(F437&lt;&gt;"","품","미완료"))))))))))</f>
        <v/>
      </c>
      <c r="K437" s="32" t="inlineStr">
        <is>
          <t>-</t>
        </is>
      </c>
      <c r="L437" s="32" t="n"/>
      <c r="M437" s="28">
        <f>IF(OR(LEFT(J437,2)="보류", LEFT(J437,4)="복습대기", LEFT(J437,3)="복습1", LEFT(J437,3)="복습2"), MAX($M$3:M436)+1, "")</f>
        <v/>
      </c>
      <c r="N437" s="28" t="inlineStr">
        <is>
          <t>W12</t>
        </is>
      </c>
      <c r="O437" s="36" t="n">
        <v>46339</v>
      </c>
      <c r="P437" s="30">
        <f>IF(F437&lt;&gt;"","✅ 완료",IF(O437="","-",IF(TODAY()&gt;O437,"🚨 지연","⏳ 예정")))</f>
        <v/>
      </c>
      <c r="Q437" s="7" t="n"/>
      <c r="R437" s="7" t="n"/>
      <c r="S437" s="7" t="n"/>
      <c r="T437" s="7" t="n"/>
      <c r="U437" s="7" t="n"/>
      <c r="V437" s="7" t="n"/>
      <c r="W437" s="7" t="n"/>
      <c r="X437" s="7" t="n"/>
    </row>
    <row r="438" ht="21.75" customHeight="1" s="209">
      <c r="A438" s="28" t="n">
        <v>435</v>
      </c>
      <c r="B438" s="28" t="inlineStr">
        <is>
          <t>5671</t>
        </is>
      </c>
      <c r="C438" s="30" t="inlineStr">
        <is>
          <t>D4</t>
        </is>
      </c>
      <c r="D438" s="32" t="inlineStr">
        <is>
          <t>[Professional] 지구 온난화</t>
        </is>
      </c>
      <c r="E438" s="28" t="inlineStr">
        <is>
          <t>DFS / BFS / 백트래킹</t>
        </is>
      </c>
      <c r="F438" s="28" t="n"/>
      <c r="G438" s="28" t="n"/>
      <c r="H438" s="28" t="n"/>
      <c r="I438" s="28" t="n"/>
      <c r="J438" s="54">
        <f>IF(OR(ISNUMBER(SEARCH("보류",K438)),ISNUMBER(SEARCH("미룸",K438)),ISNUMBER(SEARCH("나중에",K438)),ISNUMBER(SEARCH("보류",L438)),ISNUMBER(SEARCH("미룸",L438)),ISNUMBER(SEARCH("나중에",L438))),"보류(나중에 풀기)",IF(AND(F438="",G438="",H438="",I438=""),"미완료",IF(I438&lt;&gt;"","복습3(마스터)",IF(H438&lt;&gt;"","복습2",IF(G438&lt;&gt;"","복습1",IF(ISNUMBER(SEARCH("제미나이",K438)),"복습대기(AI도움)",IF(ISNUMBER(SEARCH("간당간당",K438)),"복습대기(간당간당)",IF(OR(ISNUMBER(SEARCH("아이디어",K438)),ISNUMBER(SEARCH("시간초과",K438)),ISNUMBER(SEARCH("자료구조",K438)),ISNUMBER(SEARCH("경계값",K438)),ISNUMBER(SEARCH("다른 풀이",K438)),ISNUMBER(SEARCH("또풀기",K438))),"복습대기",IF(OR(ISNUMBER(SEARCH("복습필요없음",K438)),ISNUMBER(SEARCH("자력완벽",K438))),"품(복습불필요)",IF(F438&lt;&gt;"","품","미완료"))))))))))</f>
        <v/>
      </c>
      <c r="K438" s="32" t="inlineStr">
        <is>
          <t>-</t>
        </is>
      </c>
      <c r="L438" s="32" t="n"/>
      <c r="M438" s="28">
        <f>IF(OR(LEFT(J438,2)="보류", LEFT(J438,4)="복습대기", LEFT(J438,3)="복습1", LEFT(J438,3)="복습2"), MAX($M$3:M437)+1, "")</f>
        <v/>
      </c>
      <c r="N438" s="28" t="inlineStr">
        <is>
          <t>W12</t>
        </is>
      </c>
      <c r="O438" s="36" t="n">
        <v>46339</v>
      </c>
      <c r="P438" s="30">
        <f>IF(F438&lt;&gt;"","✅ 완료",IF(O438="","-",IF(TODAY()&gt;O438,"🚨 지연","⏳ 예정")))</f>
        <v/>
      </c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 ht="21.75" customHeight="1" s="209">
      <c r="A439" s="28" t="n">
        <v>436</v>
      </c>
      <c r="B439" s="28" t="inlineStr">
        <is>
          <t>5672</t>
        </is>
      </c>
      <c r="C439" s="30" t="inlineStr">
        <is>
          <t>D4</t>
        </is>
      </c>
      <c r="D439" s="32" t="inlineStr">
        <is>
          <t>[Professional] 올해의 조련사</t>
        </is>
      </c>
      <c r="E439" s="28" t="inlineStr">
        <is>
          <t>DFS / BFS / 백트래킹</t>
        </is>
      </c>
      <c r="F439" s="28" t="n"/>
      <c r="G439" s="28" t="n"/>
      <c r="H439" s="28" t="n"/>
      <c r="I439" s="28" t="n"/>
      <c r="J439" s="54">
        <f>IF(OR(ISNUMBER(SEARCH("보류",K439)),ISNUMBER(SEARCH("미룸",K439)),ISNUMBER(SEARCH("나중에",K439)),ISNUMBER(SEARCH("보류",L439)),ISNUMBER(SEARCH("미룸",L439)),ISNUMBER(SEARCH("나중에",L439))),"보류(나중에 풀기)",IF(AND(F439="",G439="",H439="",I439=""),"미완료",IF(I439&lt;&gt;"","복습3(마스터)",IF(H439&lt;&gt;"","복습2",IF(G439&lt;&gt;"","복습1",IF(ISNUMBER(SEARCH("제미나이",K439)),"복습대기(AI도움)",IF(ISNUMBER(SEARCH("간당간당",K439)),"복습대기(간당간당)",IF(OR(ISNUMBER(SEARCH("아이디어",K439)),ISNUMBER(SEARCH("시간초과",K439)),ISNUMBER(SEARCH("자료구조",K439)),ISNUMBER(SEARCH("경계값",K439)),ISNUMBER(SEARCH("다른 풀이",K439)),ISNUMBER(SEARCH("또풀기",K439))),"복습대기",IF(OR(ISNUMBER(SEARCH("복습필요없음",K439)),ISNUMBER(SEARCH("자력완벽",K439))),"품(복습불필요)",IF(F439&lt;&gt;"","품","미완료"))))))))))</f>
        <v/>
      </c>
      <c r="K439" s="32" t="inlineStr">
        <is>
          <t>-</t>
        </is>
      </c>
      <c r="L439" s="32" t="n"/>
      <c r="M439" s="28">
        <f>IF(OR(LEFT(J439,2)="보류", LEFT(J439,4)="복습대기", LEFT(J439,3)="복습1", LEFT(J439,3)="복습2"), MAX($M$3:M438)+1, "")</f>
        <v/>
      </c>
      <c r="N439" s="28" t="inlineStr">
        <is>
          <t>W12</t>
        </is>
      </c>
      <c r="O439" s="36" t="n">
        <v>46339</v>
      </c>
      <c r="P439" s="30">
        <f>IF(F439&lt;&gt;"","✅ 완료",IF(O439="","-",IF(TODAY()&gt;O439,"🚨 지연","⏳ 예정")))</f>
        <v/>
      </c>
      <c r="Q439" s="7" t="n"/>
      <c r="R439" s="7" t="n"/>
      <c r="S439" s="7" t="n"/>
      <c r="T439" s="7" t="n"/>
      <c r="U439" s="7" t="n"/>
      <c r="V439" s="7" t="n"/>
      <c r="W439" s="7" t="n"/>
      <c r="X439" s="7" t="n"/>
    </row>
    <row r="440" ht="21.75" customHeight="1" s="209">
      <c r="A440" s="28" t="n">
        <v>437</v>
      </c>
      <c r="B440" s="28" t="inlineStr">
        <is>
          <t>5676</t>
        </is>
      </c>
      <c r="C440" s="30" t="inlineStr">
        <is>
          <t>D4</t>
        </is>
      </c>
      <c r="D440" s="32" t="inlineStr">
        <is>
          <t>[Professional] Intersection</t>
        </is>
      </c>
      <c r="E440" s="28" t="inlineStr">
        <is>
          <t>DFS / BFS / 백트래킹</t>
        </is>
      </c>
      <c r="F440" s="28" t="n"/>
      <c r="G440" s="28" t="n"/>
      <c r="H440" s="28" t="n"/>
      <c r="I440" s="28" t="n"/>
      <c r="J440" s="54">
        <f>IF(OR(ISNUMBER(SEARCH("보류",K440)),ISNUMBER(SEARCH("미룸",K440)),ISNUMBER(SEARCH("나중에",K440)),ISNUMBER(SEARCH("보류",L440)),ISNUMBER(SEARCH("미룸",L440)),ISNUMBER(SEARCH("나중에",L440))),"보류(나중에 풀기)",IF(AND(F440="",G440="",H440="",I440=""),"미완료",IF(I440&lt;&gt;"","복습3(마스터)",IF(H440&lt;&gt;"","복습2",IF(G440&lt;&gt;"","복습1",IF(ISNUMBER(SEARCH("제미나이",K440)),"복습대기(AI도움)",IF(ISNUMBER(SEARCH("간당간당",K440)),"복습대기(간당간당)",IF(OR(ISNUMBER(SEARCH("아이디어",K440)),ISNUMBER(SEARCH("시간초과",K440)),ISNUMBER(SEARCH("자료구조",K440)),ISNUMBER(SEARCH("경계값",K440)),ISNUMBER(SEARCH("다른 풀이",K440)),ISNUMBER(SEARCH("또풀기",K440))),"복습대기",IF(OR(ISNUMBER(SEARCH("복습필요없음",K440)),ISNUMBER(SEARCH("자력완벽",K440))),"품(복습불필요)",IF(F440&lt;&gt;"","품","미완료"))))))))))</f>
        <v/>
      </c>
      <c r="K440" s="32" t="inlineStr">
        <is>
          <t>-</t>
        </is>
      </c>
      <c r="L440" s="32" t="n"/>
      <c r="M440" s="28">
        <f>IF(OR(LEFT(J440,2)="보류", LEFT(J440,4)="복습대기", LEFT(J440,3)="복습1", LEFT(J440,3)="복습2"), MAX($M$3:M439)+1, "")</f>
        <v/>
      </c>
      <c r="N440" s="28" t="inlineStr">
        <is>
          <t>W12</t>
        </is>
      </c>
      <c r="O440" s="36" t="n">
        <v>46340</v>
      </c>
      <c r="P440" s="30">
        <f>IF(F440&lt;&gt;"","✅ 완료",IF(O440="","-",IF(TODAY()&gt;O440,"🚨 지연","⏳ 예정")))</f>
        <v/>
      </c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 ht="21.75" customHeight="1" s="209">
      <c r="A441" s="28" t="n">
        <v>438</v>
      </c>
      <c r="B441" s="28" t="inlineStr">
        <is>
          <t>5678</t>
        </is>
      </c>
      <c r="C441" s="30" t="inlineStr">
        <is>
          <t>D4</t>
        </is>
      </c>
      <c r="D441" s="32" t="inlineStr">
        <is>
          <t>[Professional] 팰린드롬</t>
        </is>
      </c>
      <c r="E441" s="28" t="inlineStr">
        <is>
          <t>문자열 / 파싱</t>
        </is>
      </c>
      <c r="F441" s="28" t="n"/>
      <c r="G441" s="28" t="n"/>
      <c r="H441" s="28" t="n"/>
      <c r="I441" s="28" t="n"/>
      <c r="J441" s="54">
        <f>IF(OR(ISNUMBER(SEARCH("보류",K441)),ISNUMBER(SEARCH("미룸",K441)),ISNUMBER(SEARCH("나중에",K441)),ISNUMBER(SEARCH("보류",L441)),ISNUMBER(SEARCH("미룸",L441)),ISNUMBER(SEARCH("나중에",L441))),"보류(나중에 풀기)",IF(AND(F441="",G441="",H441="",I441=""),"미완료",IF(I441&lt;&gt;"","복습3(마스터)",IF(H441&lt;&gt;"","복습2",IF(G441&lt;&gt;"","복습1",IF(ISNUMBER(SEARCH("제미나이",K441)),"복습대기(AI도움)",IF(ISNUMBER(SEARCH("간당간당",K441)),"복습대기(간당간당)",IF(OR(ISNUMBER(SEARCH("아이디어",K441)),ISNUMBER(SEARCH("시간초과",K441)),ISNUMBER(SEARCH("자료구조",K441)),ISNUMBER(SEARCH("경계값",K441)),ISNUMBER(SEARCH("다른 풀이",K441)),ISNUMBER(SEARCH("또풀기",K441))),"복습대기",IF(OR(ISNUMBER(SEARCH("복습필요없음",K441)),ISNUMBER(SEARCH("자력완벽",K441))),"품(복습불필요)",IF(F441&lt;&gt;"","품","미완료"))))))))))</f>
        <v/>
      </c>
      <c r="K441" s="32" t="inlineStr">
        <is>
          <t>-</t>
        </is>
      </c>
      <c r="L441" s="32" t="n"/>
      <c r="M441" s="28">
        <f>IF(OR(LEFT(J441,2)="보류", LEFT(J441,4)="복습대기", LEFT(J441,3)="복습1", LEFT(J441,3)="복습2"), MAX($M$3:M440)+1, "")</f>
        <v/>
      </c>
      <c r="N441" s="28" t="inlineStr">
        <is>
          <t>W12</t>
        </is>
      </c>
      <c r="O441" s="36" t="n">
        <v>46340</v>
      </c>
      <c r="P441" s="30">
        <f>IF(F441&lt;&gt;"","✅ 완료",IF(O441="","-",IF(TODAY()&gt;O441,"🚨 지연","⏳ 예정")))</f>
        <v/>
      </c>
      <c r="Q441" s="7" t="n"/>
      <c r="R441" s="7" t="n"/>
      <c r="S441" s="7" t="n"/>
      <c r="T441" s="7" t="n"/>
      <c r="U441" s="7" t="n"/>
      <c r="V441" s="7" t="n"/>
      <c r="W441" s="7" t="n"/>
      <c r="X441" s="7" t="n"/>
    </row>
    <row r="442" ht="21.75" customHeight="1" s="209">
      <c r="A442" s="28" t="n">
        <v>439</v>
      </c>
      <c r="B442" s="28" t="inlineStr">
        <is>
          <t>5684</t>
        </is>
      </c>
      <c r="C442" s="30" t="inlineStr">
        <is>
          <t>D4</t>
        </is>
      </c>
      <c r="D442" s="32" t="inlineStr">
        <is>
          <t>[Professional] 운동</t>
        </is>
      </c>
      <c r="E442" s="28" t="inlineStr">
        <is>
          <t>DFS / BFS / 백트래킹</t>
        </is>
      </c>
      <c r="F442" s="28" t="n"/>
      <c r="G442" s="28" t="n"/>
      <c r="H442" s="28" t="n"/>
      <c r="I442" s="28" t="n"/>
      <c r="J442" s="54">
        <f>IF(OR(ISNUMBER(SEARCH("보류",K442)),ISNUMBER(SEARCH("미룸",K442)),ISNUMBER(SEARCH("나중에",K442)),ISNUMBER(SEARCH("보류",L442)),ISNUMBER(SEARCH("미룸",L442)),ISNUMBER(SEARCH("나중에",L442))),"보류(나중에 풀기)",IF(AND(F442="",G442="",H442="",I442=""),"미완료",IF(I442&lt;&gt;"","복습3(마스터)",IF(H442&lt;&gt;"","복습2",IF(G442&lt;&gt;"","복습1",IF(ISNUMBER(SEARCH("제미나이",K442)),"복습대기(AI도움)",IF(ISNUMBER(SEARCH("간당간당",K442)),"복습대기(간당간당)",IF(OR(ISNUMBER(SEARCH("아이디어",K442)),ISNUMBER(SEARCH("시간초과",K442)),ISNUMBER(SEARCH("자료구조",K442)),ISNUMBER(SEARCH("경계값",K442)),ISNUMBER(SEARCH("다른 풀이",K442)),ISNUMBER(SEARCH("또풀기",K442))),"복습대기",IF(OR(ISNUMBER(SEARCH("복습필요없음",K442)),ISNUMBER(SEARCH("자력완벽",K442))),"품(복습불필요)",IF(F442&lt;&gt;"","품","미완료"))))))))))</f>
        <v/>
      </c>
      <c r="K442" s="32" t="inlineStr">
        <is>
          <t>-</t>
        </is>
      </c>
      <c r="L442" s="32" t="n"/>
      <c r="M442" s="28">
        <f>IF(OR(LEFT(J442,2)="보류", LEFT(J442,4)="복습대기", LEFT(J442,3)="복습1", LEFT(J442,3)="복습2"), MAX($M$3:M441)+1, "")</f>
        <v/>
      </c>
      <c r="N442" s="28" t="inlineStr">
        <is>
          <t>W12</t>
        </is>
      </c>
      <c r="O442" s="36" t="n">
        <v>46340</v>
      </c>
      <c r="P442" s="30">
        <f>IF(F442&lt;&gt;"","✅ 완료",IF(O442="","-",IF(TODAY()&gt;O442,"🚨 지연","⏳ 예정")))</f>
        <v/>
      </c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 ht="21.75" customHeight="1" s="209">
      <c r="A443" s="28" t="n">
        <v>440</v>
      </c>
      <c r="B443" s="28" t="inlineStr">
        <is>
          <t>5987</t>
        </is>
      </c>
      <c r="C443" s="30" t="inlineStr">
        <is>
          <t>D4</t>
        </is>
      </c>
      <c r="D443" s="32" t="inlineStr">
        <is>
          <t>달리기</t>
        </is>
      </c>
      <c r="E443" s="28" t="inlineStr">
        <is>
          <t>DFS / BFS / 백트래킹</t>
        </is>
      </c>
      <c r="F443" s="28" t="n"/>
      <c r="G443" s="28" t="n"/>
      <c r="H443" s="28" t="n"/>
      <c r="I443" s="28" t="n"/>
      <c r="J443" s="54">
        <f>IF(OR(ISNUMBER(SEARCH("보류",K443)),ISNUMBER(SEARCH("미룸",K443)),ISNUMBER(SEARCH("나중에",K443)),ISNUMBER(SEARCH("보류",L443)),ISNUMBER(SEARCH("미룸",L443)),ISNUMBER(SEARCH("나중에",L443))),"보류(나중에 풀기)",IF(AND(F443="",G443="",H443="",I443=""),"미완료",IF(I443&lt;&gt;"","복습3(마스터)",IF(H443&lt;&gt;"","복습2",IF(G443&lt;&gt;"","복습1",IF(ISNUMBER(SEARCH("제미나이",K443)),"복습대기(AI도움)",IF(ISNUMBER(SEARCH("간당간당",K443)),"복습대기(간당간당)",IF(OR(ISNUMBER(SEARCH("아이디어",K443)),ISNUMBER(SEARCH("시간초과",K443)),ISNUMBER(SEARCH("자료구조",K443)),ISNUMBER(SEARCH("경계값",K443)),ISNUMBER(SEARCH("다른 풀이",K443)),ISNUMBER(SEARCH("또풀기",K443))),"복습대기",IF(OR(ISNUMBER(SEARCH("복습필요없음",K443)),ISNUMBER(SEARCH("자력완벽",K443))),"품(복습불필요)",IF(F443&lt;&gt;"","품","미완료"))))))))))</f>
        <v/>
      </c>
      <c r="K443" s="32" t="inlineStr">
        <is>
          <t>-</t>
        </is>
      </c>
      <c r="L443" s="32" t="n"/>
      <c r="M443" s="28">
        <f>IF(OR(LEFT(J443,2)="보류", LEFT(J443,4)="복습대기", LEFT(J443,3)="복습1", LEFT(J443,3)="복습2"), MAX($M$3:M442)+1, "")</f>
        <v/>
      </c>
      <c r="N443" s="28" t="inlineStr">
        <is>
          <t>W12</t>
        </is>
      </c>
      <c r="O443" s="36" t="n">
        <v>46340</v>
      </c>
      <c r="P443" s="30">
        <f>IF(F443&lt;&gt;"","✅ 완료",IF(O443="","-",IF(TODAY()&gt;O443,"🚨 지연","⏳ 예정")))</f>
        <v/>
      </c>
      <c r="Q443" s="7" t="n"/>
      <c r="R443" s="7" t="n"/>
      <c r="S443" s="7" t="n"/>
      <c r="T443" s="7" t="n"/>
      <c r="U443" s="7" t="n"/>
      <c r="V443" s="7" t="n"/>
      <c r="W443" s="7" t="n"/>
      <c r="X443" s="7" t="n"/>
    </row>
    <row r="444" ht="21.75" customHeight="1" s="209">
      <c r="A444" s="28" t="n">
        <v>441</v>
      </c>
      <c r="B444" s="28" t="inlineStr">
        <is>
          <t>6026</t>
        </is>
      </c>
      <c r="C444" s="30" t="inlineStr">
        <is>
          <t>D4</t>
        </is>
      </c>
      <c r="D444" s="32" t="inlineStr">
        <is>
          <t>성수의 비밀번호 공격</t>
        </is>
      </c>
      <c r="E444" s="28" t="inlineStr">
        <is>
          <t>DFS / BFS / 백트래킹</t>
        </is>
      </c>
      <c r="F444" s="28" t="n"/>
      <c r="G444" s="28" t="n"/>
      <c r="H444" s="28" t="n"/>
      <c r="I444" s="28" t="n"/>
      <c r="J444" s="54">
        <f>IF(OR(ISNUMBER(SEARCH("보류",K444)),ISNUMBER(SEARCH("미룸",K444)),ISNUMBER(SEARCH("나중에",K444)),ISNUMBER(SEARCH("보류",L444)),ISNUMBER(SEARCH("미룸",L444)),ISNUMBER(SEARCH("나중에",L444))),"보류(나중에 풀기)",IF(AND(F444="",G444="",H444="",I444=""),"미완료",IF(I444&lt;&gt;"","복습3(마스터)",IF(H444&lt;&gt;"","복습2",IF(G444&lt;&gt;"","복습1",IF(ISNUMBER(SEARCH("제미나이",K444)),"복습대기(AI도움)",IF(ISNUMBER(SEARCH("간당간당",K444)),"복습대기(간당간당)",IF(OR(ISNUMBER(SEARCH("아이디어",K444)),ISNUMBER(SEARCH("시간초과",K444)),ISNUMBER(SEARCH("자료구조",K444)),ISNUMBER(SEARCH("경계값",K444)),ISNUMBER(SEARCH("다른 풀이",K444)),ISNUMBER(SEARCH("또풀기",K444))),"복습대기",IF(OR(ISNUMBER(SEARCH("복습필요없음",K444)),ISNUMBER(SEARCH("자력완벽",K444))),"품(복습불필요)",IF(F444&lt;&gt;"","품","미완료"))))))))))</f>
        <v/>
      </c>
      <c r="K444" s="32" t="inlineStr">
        <is>
          <t>-</t>
        </is>
      </c>
      <c r="L444" s="32" t="n"/>
      <c r="M444" s="28">
        <f>IF(OR(LEFT(J444,2)="보류", LEFT(J444,4)="복습대기", LEFT(J444,3)="복습1", LEFT(J444,3)="복습2"), MAX($M$3:M443)+1, "")</f>
        <v/>
      </c>
      <c r="N444" s="28" t="inlineStr">
        <is>
          <t>W12</t>
        </is>
      </c>
      <c r="O444" s="36" t="n">
        <v>46340</v>
      </c>
      <c r="P444" s="30">
        <f>IF(F444&lt;&gt;"","✅ 완료",IF(O444="","-",IF(TODAY()&gt;O444,"🚨 지연","⏳ 예정")))</f>
        <v/>
      </c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 ht="21.75" customHeight="1" s="209">
      <c r="A445" s="28" t="n">
        <v>442</v>
      </c>
      <c r="B445" s="28" t="inlineStr">
        <is>
          <t>6109</t>
        </is>
      </c>
      <c r="C445" s="30" t="inlineStr">
        <is>
          <t>D4</t>
        </is>
      </c>
      <c r="D445" s="32" t="inlineStr">
        <is>
          <t>추억의 2048게임</t>
        </is>
      </c>
      <c r="E445" s="28" t="inlineStr">
        <is>
          <t>시뮬레이션 / 구현</t>
        </is>
      </c>
      <c r="F445" s="28" t="n"/>
      <c r="G445" s="28" t="n"/>
      <c r="H445" s="28" t="n"/>
      <c r="I445" s="28" t="n"/>
      <c r="J445" s="54">
        <f>IF(OR(ISNUMBER(SEARCH("보류",K445)),ISNUMBER(SEARCH("미룸",K445)),ISNUMBER(SEARCH("나중에",K445)),ISNUMBER(SEARCH("보류",L445)),ISNUMBER(SEARCH("미룸",L445)),ISNUMBER(SEARCH("나중에",L445))),"보류(나중에 풀기)",IF(AND(F445="",G445="",H445="",I445=""),"미완료",IF(I445&lt;&gt;"","복습3(마스터)",IF(H445&lt;&gt;"","복습2",IF(G445&lt;&gt;"","복습1",IF(ISNUMBER(SEARCH("제미나이",K445)),"복습대기(AI도움)",IF(ISNUMBER(SEARCH("간당간당",K445)),"복습대기(간당간당)",IF(OR(ISNUMBER(SEARCH("아이디어",K445)),ISNUMBER(SEARCH("시간초과",K445)),ISNUMBER(SEARCH("자료구조",K445)),ISNUMBER(SEARCH("경계값",K445)),ISNUMBER(SEARCH("다른 풀이",K445)),ISNUMBER(SEARCH("또풀기",K445))),"복습대기",IF(OR(ISNUMBER(SEARCH("복습필요없음",K445)),ISNUMBER(SEARCH("자력완벽",K445))),"품(복습불필요)",IF(F445&lt;&gt;"","품","미완료"))))))))))</f>
        <v/>
      </c>
      <c r="K445" s="32" t="inlineStr">
        <is>
          <t>-</t>
        </is>
      </c>
      <c r="L445" s="32" t="n"/>
      <c r="M445" s="28">
        <f>IF(OR(LEFT(J445,2)="보류", LEFT(J445,4)="복습대기", LEFT(J445,3)="복습1", LEFT(J445,3)="복습2"), MAX($M$3:M444)+1, "")</f>
        <v/>
      </c>
      <c r="N445" s="28" t="inlineStr">
        <is>
          <t>W12</t>
        </is>
      </c>
      <c r="O445" s="36" t="n">
        <v>46340</v>
      </c>
      <c r="P445" s="30">
        <f>IF(F445&lt;&gt;"","✅ 완료",IF(O445="","-",IF(TODAY()&gt;O445,"🚨 지연","⏳ 예정")))</f>
        <v/>
      </c>
      <c r="Q445" s="7" t="n"/>
      <c r="R445" s="7" t="n"/>
      <c r="S445" s="7" t="n"/>
      <c r="T445" s="7" t="n"/>
      <c r="U445" s="7" t="n"/>
      <c r="V445" s="7" t="n"/>
      <c r="W445" s="7" t="n"/>
      <c r="X445" s="7" t="n"/>
    </row>
    <row r="446" ht="21.75" customHeight="1" s="209">
      <c r="A446" s="28" t="n">
        <v>443</v>
      </c>
      <c r="B446" s="28" t="inlineStr">
        <is>
          <t>6719</t>
        </is>
      </c>
      <c r="C446" s="30" t="inlineStr">
        <is>
          <t>D4</t>
        </is>
      </c>
      <c r="D446" s="32" t="inlineStr">
        <is>
          <t>성수의 프로그래밍 강좌 시청</t>
        </is>
      </c>
      <c r="E446" s="28" t="inlineStr">
        <is>
          <t>DFS / BFS / 백트래킹</t>
        </is>
      </c>
      <c r="F446" s="28" t="n"/>
      <c r="G446" s="28" t="n"/>
      <c r="H446" s="28" t="n"/>
      <c r="I446" s="28" t="n"/>
      <c r="J446" s="54">
        <f>IF(OR(ISNUMBER(SEARCH("보류",K446)),ISNUMBER(SEARCH("미룸",K446)),ISNUMBER(SEARCH("나중에",K446)),ISNUMBER(SEARCH("보류",L446)),ISNUMBER(SEARCH("미룸",L446)),ISNUMBER(SEARCH("나중에",L446))),"보류(나중에 풀기)",IF(AND(F446="",G446="",H446="",I446=""),"미완료",IF(I446&lt;&gt;"","복습3(마스터)",IF(H446&lt;&gt;"","복습2",IF(G446&lt;&gt;"","복습1",IF(ISNUMBER(SEARCH("제미나이",K446)),"복습대기(AI도움)",IF(ISNUMBER(SEARCH("간당간당",K446)),"복습대기(간당간당)",IF(OR(ISNUMBER(SEARCH("아이디어",K446)),ISNUMBER(SEARCH("시간초과",K446)),ISNUMBER(SEARCH("자료구조",K446)),ISNUMBER(SEARCH("경계값",K446)),ISNUMBER(SEARCH("다른 풀이",K446)),ISNUMBER(SEARCH("또풀기",K446))),"복습대기",IF(OR(ISNUMBER(SEARCH("복습필요없음",K446)),ISNUMBER(SEARCH("자력완벽",K446))),"품(복습불필요)",IF(F446&lt;&gt;"","품","미완료"))))))))))</f>
        <v/>
      </c>
      <c r="K446" s="32" t="inlineStr">
        <is>
          <t>-</t>
        </is>
      </c>
      <c r="L446" s="32" t="n"/>
      <c r="M446" s="28">
        <f>IF(OR(LEFT(J446,2)="보류", LEFT(J446,4)="복습대기", LEFT(J446,3)="복습1", LEFT(J446,3)="복습2"), MAX($M$3:M445)+1, "")</f>
        <v/>
      </c>
      <c r="N446" s="28" t="inlineStr">
        <is>
          <t>W12</t>
        </is>
      </c>
      <c r="O446" s="36" t="n">
        <v>46340</v>
      </c>
      <c r="P446" s="30">
        <f>IF(F446&lt;&gt;"","✅ 완료",IF(O446="","-",IF(TODAY()&gt;O446,"🚨 지연","⏳ 예정")))</f>
        <v/>
      </c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 ht="21.75" customHeight="1" s="209">
      <c r="A447" s="28" t="n">
        <v>444</v>
      </c>
      <c r="B447" s="28" t="inlineStr">
        <is>
          <t>6731</t>
        </is>
      </c>
      <c r="C447" s="30" t="inlineStr">
        <is>
          <t>D4</t>
        </is>
      </c>
      <c r="D447" s="32" t="inlineStr">
        <is>
          <t>홍익이의 오델로 게임</t>
        </is>
      </c>
      <c r="E447" s="28" t="inlineStr">
        <is>
          <t>시뮬레이션 / 구현</t>
        </is>
      </c>
      <c r="F447" s="28" t="n"/>
      <c r="G447" s="28" t="n"/>
      <c r="H447" s="28" t="n"/>
      <c r="I447" s="28" t="n"/>
      <c r="J447" s="54">
        <f>IF(OR(ISNUMBER(SEARCH("보류",K447)),ISNUMBER(SEARCH("미룸",K447)),ISNUMBER(SEARCH("나중에",K447)),ISNUMBER(SEARCH("보류",L447)),ISNUMBER(SEARCH("미룸",L447)),ISNUMBER(SEARCH("나중에",L447))),"보류(나중에 풀기)",IF(AND(F447="",G447="",H447="",I447=""),"미완료",IF(I447&lt;&gt;"","복습3(마스터)",IF(H447&lt;&gt;"","복습2",IF(G447&lt;&gt;"","복습1",IF(ISNUMBER(SEARCH("제미나이",K447)),"복습대기(AI도움)",IF(ISNUMBER(SEARCH("간당간당",K447)),"복습대기(간당간당)",IF(OR(ISNUMBER(SEARCH("아이디어",K447)),ISNUMBER(SEARCH("시간초과",K447)),ISNUMBER(SEARCH("자료구조",K447)),ISNUMBER(SEARCH("경계값",K447)),ISNUMBER(SEARCH("다른 풀이",K447)),ISNUMBER(SEARCH("또풀기",K447))),"복습대기",IF(OR(ISNUMBER(SEARCH("복습필요없음",K447)),ISNUMBER(SEARCH("자력완벽",K447))),"품(복습불필요)",IF(F447&lt;&gt;"","품","미완료"))))))))))</f>
        <v/>
      </c>
      <c r="K447" s="32" t="inlineStr">
        <is>
          <t>-</t>
        </is>
      </c>
      <c r="L447" s="32" t="n"/>
      <c r="M447" s="28">
        <f>IF(OR(LEFT(J447,2)="보류", LEFT(J447,4)="복습대기", LEFT(J447,3)="복습1", LEFT(J447,3)="복습2"), MAX($M$3:M446)+1, "")</f>
        <v/>
      </c>
      <c r="N447" s="28" t="inlineStr">
        <is>
          <t>W12</t>
        </is>
      </c>
      <c r="O447" s="36" t="n">
        <v>46341</v>
      </c>
      <c r="P447" s="30">
        <f>IF(F447&lt;&gt;"","✅ 완료",IF(O447="","-",IF(TODAY()&gt;O447,"🚨 지연","⏳ 예정")))</f>
        <v/>
      </c>
      <c r="Q447" s="7" t="n"/>
      <c r="R447" s="7" t="n"/>
      <c r="S447" s="7" t="n"/>
      <c r="T447" s="7" t="n"/>
      <c r="U447" s="7" t="n"/>
      <c r="V447" s="7" t="n"/>
      <c r="W447" s="7" t="n"/>
      <c r="X447" s="7" t="n"/>
    </row>
    <row r="448" ht="21.75" customHeight="1" s="209">
      <c r="A448" s="28" t="n">
        <v>445</v>
      </c>
      <c r="B448" s="28" t="inlineStr">
        <is>
          <t>6855</t>
        </is>
      </c>
      <c r="C448" s="30" t="inlineStr">
        <is>
          <t>D4</t>
        </is>
      </c>
      <c r="D448" s="32" t="inlineStr">
        <is>
          <t>신도시 전기 연결하기</t>
        </is>
      </c>
      <c r="E448" s="28" t="inlineStr">
        <is>
          <t>자료구조 (스택/큐/리스트)</t>
        </is>
      </c>
      <c r="F448" s="28" t="n"/>
      <c r="G448" s="28" t="n"/>
      <c r="H448" s="28" t="n"/>
      <c r="I448" s="28" t="n"/>
      <c r="J448" s="54">
        <f>IF(OR(ISNUMBER(SEARCH("보류",K448)),ISNUMBER(SEARCH("미룸",K448)),ISNUMBER(SEARCH("나중에",K448)),ISNUMBER(SEARCH("보류",L448)),ISNUMBER(SEARCH("미룸",L448)),ISNUMBER(SEARCH("나중에",L448))),"보류(나중에 풀기)",IF(AND(F448="",G448="",H448="",I448=""),"미완료",IF(I448&lt;&gt;"","복습3(마스터)",IF(H448&lt;&gt;"","복습2",IF(G448&lt;&gt;"","복습1",IF(ISNUMBER(SEARCH("제미나이",K448)),"복습대기(AI도움)",IF(ISNUMBER(SEARCH("간당간당",K448)),"복습대기(간당간당)",IF(OR(ISNUMBER(SEARCH("아이디어",K448)),ISNUMBER(SEARCH("시간초과",K448)),ISNUMBER(SEARCH("자료구조",K448)),ISNUMBER(SEARCH("경계값",K448)),ISNUMBER(SEARCH("다른 풀이",K448)),ISNUMBER(SEARCH("또풀기",K448))),"복습대기",IF(OR(ISNUMBER(SEARCH("복습필요없음",K448)),ISNUMBER(SEARCH("자력완벽",K448))),"품(복습불필요)",IF(F448&lt;&gt;"","품","미완료"))))))))))</f>
        <v/>
      </c>
      <c r="K448" s="32" t="inlineStr">
        <is>
          <t>-</t>
        </is>
      </c>
      <c r="L448" s="32" t="n"/>
      <c r="M448" s="28">
        <f>IF(OR(LEFT(J448,2)="보류", LEFT(J448,4)="복습대기", LEFT(J448,3)="복습1", LEFT(J448,3)="복습2"), MAX($M$3:M447)+1, "")</f>
        <v/>
      </c>
      <c r="N448" s="28" t="inlineStr">
        <is>
          <t>W12</t>
        </is>
      </c>
      <c r="O448" s="36" t="n">
        <v>46341</v>
      </c>
      <c r="P448" s="30">
        <f>IF(F448&lt;&gt;"","✅ 완료",IF(O448="","-",IF(TODAY()&gt;O448,"🚨 지연","⏳ 예정")))</f>
        <v/>
      </c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 ht="21.75" customHeight="1" s="209">
      <c r="A449" s="28" t="n">
        <v>446</v>
      </c>
      <c r="B449" s="28" t="inlineStr">
        <is>
          <t>6907</t>
        </is>
      </c>
      <c r="C449" s="30" t="inlineStr">
        <is>
          <t>D4</t>
        </is>
      </c>
      <c r="D449" s="32" t="inlineStr">
        <is>
          <t>단위 변환기 프로그램</t>
        </is>
      </c>
      <c r="E449" s="28" t="inlineStr">
        <is>
          <t>DFS / BFS / 백트래킹</t>
        </is>
      </c>
      <c r="F449" s="28" t="n"/>
      <c r="G449" s="28" t="n"/>
      <c r="H449" s="28" t="n"/>
      <c r="I449" s="28" t="n"/>
      <c r="J449" s="54">
        <f>IF(OR(ISNUMBER(SEARCH("보류",K449)),ISNUMBER(SEARCH("미룸",K449)),ISNUMBER(SEARCH("나중에",K449)),ISNUMBER(SEARCH("보류",L449)),ISNUMBER(SEARCH("미룸",L449)),ISNUMBER(SEARCH("나중에",L449))),"보류(나중에 풀기)",IF(AND(F449="",G449="",H449="",I449=""),"미완료",IF(I449&lt;&gt;"","복습3(마스터)",IF(H449&lt;&gt;"","복습2",IF(G449&lt;&gt;"","복습1",IF(ISNUMBER(SEARCH("제미나이",K449)),"복습대기(AI도움)",IF(ISNUMBER(SEARCH("간당간당",K449)),"복습대기(간당간당)",IF(OR(ISNUMBER(SEARCH("아이디어",K449)),ISNUMBER(SEARCH("시간초과",K449)),ISNUMBER(SEARCH("자료구조",K449)),ISNUMBER(SEARCH("경계값",K449)),ISNUMBER(SEARCH("다른 풀이",K449)),ISNUMBER(SEARCH("또풀기",K449))),"복습대기",IF(OR(ISNUMBER(SEARCH("복습필요없음",K449)),ISNUMBER(SEARCH("자력완벽",K449))),"품(복습불필요)",IF(F449&lt;&gt;"","품","미완료"))))))))))</f>
        <v/>
      </c>
      <c r="K449" s="32" t="inlineStr">
        <is>
          <t>-</t>
        </is>
      </c>
      <c r="L449" s="32" t="n"/>
      <c r="M449" s="28">
        <f>IF(OR(LEFT(J449,2)="보류", LEFT(J449,4)="복습대기", LEFT(J449,3)="복습1", LEFT(J449,3)="복습2"), MAX($M$3:M448)+1, "")</f>
        <v/>
      </c>
      <c r="N449" s="28" t="inlineStr">
        <is>
          <t>W12</t>
        </is>
      </c>
      <c r="O449" s="36" t="n">
        <v>46341</v>
      </c>
      <c r="P449" s="30">
        <f>IF(F449&lt;&gt;"","✅ 완료",IF(O449="","-",IF(TODAY()&gt;O449,"🚨 지연","⏳ 예정")))</f>
        <v/>
      </c>
      <c r="Q449" s="7" t="n"/>
      <c r="R449" s="7" t="n"/>
      <c r="S449" s="7" t="n"/>
      <c r="T449" s="7" t="n"/>
      <c r="U449" s="7" t="n"/>
      <c r="V449" s="7" t="n"/>
      <c r="W449" s="7" t="n"/>
      <c r="X449" s="7" t="n"/>
    </row>
    <row r="450" ht="21.75" customHeight="1" s="209">
      <c r="A450" s="28" t="n">
        <v>447</v>
      </c>
      <c r="B450" s="28" t="inlineStr">
        <is>
          <t>6959</t>
        </is>
      </c>
      <c r="C450" s="30" t="inlineStr">
        <is>
          <t>D4</t>
        </is>
      </c>
      <c r="D450" s="32" t="inlineStr">
        <is>
          <t>이상한 나라의 덧셈게임</t>
        </is>
      </c>
      <c r="E450" s="28" t="inlineStr">
        <is>
          <t>시뮬레이션 / 구현</t>
        </is>
      </c>
      <c r="F450" s="28" t="n"/>
      <c r="G450" s="28" t="n"/>
      <c r="H450" s="28" t="n"/>
      <c r="I450" s="28" t="n"/>
      <c r="J450" s="54">
        <f>IF(OR(ISNUMBER(SEARCH("보류",K450)),ISNUMBER(SEARCH("미룸",K450)),ISNUMBER(SEARCH("나중에",K450)),ISNUMBER(SEARCH("보류",L450)),ISNUMBER(SEARCH("미룸",L450)),ISNUMBER(SEARCH("나중에",L450))),"보류(나중에 풀기)",IF(AND(F450="",G450="",H450="",I450=""),"미완료",IF(I450&lt;&gt;"","복습3(마스터)",IF(H450&lt;&gt;"","복습2",IF(G450&lt;&gt;"","복습1",IF(ISNUMBER(SEARCH("제미나이",K450)),"복습대기(AI도움)",IF(ISNUMBER(SEARCH("간당간당",K450)),"복습대기(간당간당)",IF(OR(ISNUMBER(SEARCH("아이디어",K450)),ISNUMBER(SEARCH("시간초과",K450)),ISNUMBER(SEARCH("자료구조",K450)),ISNUMBER(SEARCH("경계값",K450)),ISNUMBER(SEARCH("다른 풀이",K450)),ISNUMBER(SEARCH("또풀기",K450))),"복습대기",IF(OR(ISNUMBER(SEARCH("복습필요없음",K450)),ISNUMBER(SEARCH("자력완벽",K450))),"품(복습불필요)",IF(F450&lt;&gt;"","품","미완료"))))))))))</f>
        <v/>
      </c>
      <c r="K450" s="32" t="inlineStr">
        <is>
          <t>-</t>
        </is>
      </c>
      <c r="L450" s="32" t="n"/>
      <c r="M450" s="28">
        <f>IF(OR(LEFT(J450,2)="보류", LEFT(J450,4)="복습대기", LEFT(J450,3)="복습1", LEFT(J450,3)="복습2"), MAX($M$3:M449)+1, "")</f>
        <v/>
      </c>
      <c r="N450" s="28" t="inlineStr">
        <is>
          <t>W12</t>
        </is>
      </c>
      <c r="O450" s="36" t="n">
        <v>46341</v>
      </c>
      <c r="P450" s="30">
        <f>IF(F450&lt;&gt;"","✅ 완료",IF(O450="","-",IF(TODAY()&gt;O450,"🚨 지연","⏳ 예정")))</f>
        <v/>
      </c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 ht="21.75" customHeight="1" s="209">
      <c r="A451" s="28" t="n">
        <v>448</v>
      </c>
      <c r="B451" s="28" t="inlineStr">
        <is>
          <t>7088</t>
        </is>
      </c>
      <c r="C451" s="30" t="inlineStr">
        <is>
          <t>D4</t>
        </is>
      </c>
      <c r="D451" s="32" t="inlineStr">
        <is>
          <t>은기의 송아지 세기</t>
        </is>
      </c>
      <c r="E451" s="28" t="inlineStr">
        <is>
          <t>DFS / BFS / 백트래킹</t>
        </is>
      </c>
      <c r="F451" s="28" t="n"/>
      <c r="G451" s="28" t="n"/>
      <c r="H451" s="28" t="n"/>
      <c r="I451" s="28" t="n"/>
      <c r="J451" s="54">
        <f>IF(OR(ISNUMBER(SEARCH("보류",K451)),ISNUMBER(SEARCH("미룸",K451)),ISNUMBER(SEARCH("나중에",K451)),ISNUMBER(SEARCH("보류",L451)),ISNUMBER(SEARCH("미룸",L451)),ISNUMBER(SEARCH("나중에",L451))),"보류(나중에 풀기)",IF(AND(F451="",G451="",H451="",I451=""),"미완료",IF(I451&lt;&gt;"","복습3(마스터)",IF(H451&lt;&gt;"","복습2",IF(G451&lt;&gt;"","복습1",IF(ISNUMBER(SEARCH("제미나이",K451)),"복습대기(AI도움)",IF(ISNUMBER(SEARCH("간당간당",K451)),"복습대기(간당간당)",IF(OR(ISNUMBER(SEARCH("아이디어",K451)),ISNUMBER(SEARCH("시간초과",K451)),ISNUMBER(SEARCH("자료구조",K451)),ISNUMBER(SEARCH("경계값",K451)),ISNUMBER(SEARCH("다른 풀이",K451)),ISNUMBER(SEARCH("또풀기",K451))),"복습대기",IF(OR(ISNUMBER(SEARCH("복습필요없음",K451)),ISNUMBER(SEARCH("자력완벽",K451))),"품(복습불필요)",IF(F451&lt;&gt;"","품","미완료"))))))))))</f>
        <v/>
      </c>
      <c r="K451" s="32" t="inlineStr">
        <is>
          <t>-</t>
        </is>
      </c>
      <c r="L451" s="32" t="n"/>
      <c r="M451" s="28">
        <f>IF(OR(LEFT(J451,2)="보류", LEFT(J451,4)="복습대기", LEFT(J451,3)="복습1", LEFT(J451,3)="복습2"), MAX($M$3:M450)+1, "")</f>
        <v/>
      </c>
      <c r="N451" s="28" t="inlineStr">
        <is>
          <t>W12</t>
        </is>
      </c>
      <c r="O451" s="36" t="n">
        <v>46341</v>
      </c>
      <c r="P451" s="30">
        <f>IF(F451&lt;&gt;"","✅ 완료",IF(O451="","-",IF(TODAY()&gt;O451,"🚨 지연","⏳ 예정")))</f>
        <v/>
      </c>
      <c r="Q451" s="7" t="n"/>
      <c r="R451" s="7" t="n"/>
      <c r="S451" s="7" t="n"/>
      <c r="T451" s="7" t="n"/>
      <c r="U451" s="7" t="n"/>
      <c r="V451" s="7" t="n"/>
      <c r="W451" s="7" t="n"/>
      <c r="X451" s="7" t="n"/>
    </row>
    <row r="452" ht="21.75" customHeight="1" s="209">
      <c r="A452" s="28" t="n">
        <v>449</v>
      </c>
      <c r="B452" s="28" t="inlineStr">
        <is>
          <t>7103</t>
        </is>
      </c>
      <c r="C452" s="30" t="inlineStr">
        <is>
          <t>D4</t>
        </is>
      </c>
      <c r="D452" s="32" t="inlineStr">
        <is>
          <t>준홍이의 네 개의 제곱수</t>
        </is>
      </c>
      <c r="E452" s="28" t="inlineStr">
        <is>
          <t>수학 / 정수론</t>
        </is>
      </c>
      <c r="F452" s="28" t="n"/>
      <c r="G452" s="28" t="n"/>
      <c r="H452" s="28" t="n"/>
      <c r="I452" s="28" t="n"/>
      <c r="J452" s="54">
        <f>IF(OR(ISNUMBER(SEARCH("보류",K452)),ISNUMBER(SEARCH("미룸",K452)),ISNUMBER(SEARCH("나중에",K452)),ISNUMBER(SEARCH("보류",L452)),ISNUMBER(SEARCH("미룸",L452)),ISNUMBER(SEARCH("나중에",L452))),"보류(나중에 풀기)",IF(AND(F452="",G452="",H452="",I452=""),"미완료",IF(I452&lt;&gt;"","복습3(마스터)",IF(H452&lt;&gt;"","복습2",IF(G452&lt;&gt;"","복습1",IF(ISNUMBER(SEARCH("제미나이",K452)),"복습대기(AI도움)",IF(ISNUMBER(SEARCH("간당간당",K452)),"복습대기(간당간당)",IF(OR(ISNUMBER(SEARCH("아이디어",K452)),ISNUMBER(SEARCH("시간초과",K452)),ISNUMBER(SEARCH("자료구조",K452)),ISNUMBER(SEARCH("경계값",K452)),ISNUMBER(SEARCH("다른 풀이",K452)),ISNUMBER(SEARCH("또풀기",K452))),"복습대기",IF(OR(ISNUMBER(SEARCH("복습필요없음",K452)),ISNUMBER(SEARCH("자력완벽",K452))),"품(복습불필요)",IF(F452&lt;&gt;"","품","미완료"))))))))))</f>
        <v/>
      </c>
      <c r="K452" s="32" t="inlineStr">
        <is>
          <t>-</t>
        </is>
      </c>
      <c r="L452" s="32" t="n"/>
      <c r="M452" s="28">
        <f>IF(OR(LEFT(J452,2)="보류", LEFT(J452,4)="복습대기", LEFT(J452,3)="복습1", LEFT(J452,3)="복습2"), MAX($M$3:M451)+1, "")</f>
        <v/>
      </c>
      <c r="N452" s="28" t="inlineStr">
        <is>
          <t>W12</t>
        </is>
      </c>
      <c r="O452" s="36" t="n">
        <v>46341</v>
      </c>
      <c r="P452" s="30">
        <f>IF(F452&lt;&gt;"","✅ 완료",IF(O452="","-",IF(TODAY()&gt;O452,"🚨 지연","⏳ 예정")))</f>
        <v/>
      </c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 ht="21.75" customHeight="1" s="209">
      <c r="A453" s="28" t="n">
        <v>450</v>
      </c>
      <c r="B453" s="28" t="inlineStr">
        <is>
          <t>7194</t>
        </is>
      </c>
      <c r="C453" s="30" t="inlineStr">
        <is>
          <t>D4</t>
        </is>
      </c>
      <c r="D453" s="32" t="inlineStr">
        <is>
          <t>화섭이의 미생물 배양</t>
        </is>
      </c>
      <c r="E453" s="28" t="inlineStr">
        <is>
          <t>DFS / BFS / 백트래킹</t>
        </is>
      </c>
      <c r="F453" s="28" t="n"/>
      <c r="G453" s="28" t="n"/>
      <c r="H453" s="28" t="n"/>
      <c r="I453" s="28" t="n"/>
      <c r="J453" s="54">
        <f>IF(OR(ISNUMBER(SEARCH("보류",K453)),ISNUMBER(SEARCH("미룸",K453)),ISNUMBER(SEARCH("나중에",K453)),ISNUMBER(SEARCH("보류",L453)),ISNUMBER(SEARCH("미룸",L453)),ISNUMBER(SEARCH("나중에",L453))),"보류(나중에 풀기)",IF(AND(F453="",G453="",H453="",I453=""),"미완료",IF(I453&lt;&gt;"","복습3(마스터)",IF(H453&lt;&gt;"","복습2",IF(G453&lt;&gt;"","복습1",IF(ISNUMBER(SEARCH("제미나이",K453)),"복습대기(AI도움)",IF(ISNUMBER(SEARCH("간당간당",K453)),"복습대기(간당간당)",IF(OR(ISNUMBER(SEARCH("아이디어",K453)),ISNUMBER(SEARCH("시간초과",K453)),ISNUMBER(SEARCH("자료구조",K453)),ISNUMBER(SEARCH("경계값",K453)),ISNUMBER(SEARCH("다른 풀이",K453)),ISNUMBER(SEARCH("또풀기",K453))),"복습대기",IF(OR(ISNUMBER(SEARCH("복습필요없음",K453)),ISNUMBER(SEARCH("자력완벽",K453))),"품(복습불필요)",IF(F453&lt;&gt;"","품","미완료"))))))))))</f>
        <v/>
      </c>
      <c r="K453" s="32" t="inlineStr">
        <is>
          <t>-</t>
        </is>
      </c>
      <c r="L453" s="32" t="n"/>
      <c r="M453" s="28">
        <f>IF(OR(LEFT(J453,2)="보류", LEFT(J453,4)="복습대기", LEFT(J453,3)="복습1", LEFT(J453,3)="복습2"), MAX($M$3:M452)+1, "")</f>
        <v/>
      </c>
      <c r="N453" s="28" t="inlineStr">
        <is>
          <t>W12</t>
        </is>
      </c>
      <c r="O453" s="36" t="n">
        <v>46341</v>
      </c>
      <c r="P453" s="30">
        <f>IF(F453&lt;&gt;"","✅ 완료",IF(O453="","-",IF(TODAY()&gt;O453,"🚨 지연","⏳ 예정")))</f>
        <v/>
      </c>
      <c r="Q453" s="7" t="n"/>
      <c r="R453" s="7" t="n"/>
      <c r="S453" s="7" t="n"/>
      <c r="T453" s="7" t="n"/>
      <c r="U453" s="7" t="n"/>
      <c r="V453" s="7" t="n"/>
      <c r="W453" s="7" t="n"/>
      <c r="X453" s="7" t="n"/>
    </row>
    <row r="454" ht="21.75" customHeight="1" s="209">
      <c r="A454" s="28" t="n">
        <v>451</v>
      </c>
      <c r="B454" s="28" t="inlineStr">
        <is>
          <t>7333</t>
        </is>
      </c>
      <c r="C454" s="30" t="inlineStr">
        <is>
          <t>D4</t>
        </is>
      </c>
      <c r="D454" s="32" t="inlineStr">
        <is>
          <t>한솔이의 택배 아르바이트</t>
        </is>
      </c>
      <c r="E454" s="28" t="inlineStr">
        <is>
          <t>DFS / BFS / 백트래킹</t>
        </is>
      </c>
      <c r="F454" s="28" t="n"/>
      <c r="G454" s="28" t="n"/>
      <c r="H454" s="28" t="n"/>
      <c r="I454" s="28" t="n"/>
      <c r="J454" s="54">
        <f>IF(OR(ISNUMBER(SEARCH("보류",K454)),ISNUMBER(SEARCH("미룸",K454)),ISNUMBER(SEARCH("나중에",K454)),ISNUMBER(SEARCH("보류",L454)),ISNUMBER(SEARCH("미룸",L454)),ISNUMBER(SEARCH("나중에",L454))),"보류(나중에 풀기)",IF(AND(F454="",G454="",H454="",I454=""),"미완료",IF(I454&lt;&gt;"","복습3(마스터)",IF(H454&lt;&gt;"","복습2",IF(G454&lt;&gt;"","복습1",IF(ISNUMBER(SEARCH("제미나이",K454)),"복습대기(AI도움)",IF(ISNUMBER(SEARCH("간당간당",K454)),"복습대기(간당간당)",IF(OR(ISNUMBER(SEARCH("아이디어",K454)),ISNUMBER(SEARCH("시간초과",K454)),ISNUMBER(SEARCH("자료구조",K454)),ISNUMBER(SEARCH("경계값",K454)),ISNUMBER(SEARCH("다른 풀이",K454)),ISNUMBER(SEARCH("또풀기",K454))),"복습대기",IF(OR(ISNUMBER(SEARCH("복습필요없음",K454)),ISNUMBER(SEARCH("자력완벽",K454))),"품(복습불필요)",IF(F454&lt;&gt;"","품","미완료"))))))))))</f>
        <v/>
      </c>
      <c r="K454" s="32" t="inlineStr">
        <is>
          <t>-</t>
        </is>
      </c>
      <c r="L454" s="32" t="n"/>
      <c r="M454" s="28">
        <f>IF(OR(LEFT(J454,2)="보류", LEFT(J454,4)="복습대기", LEFT(J454,3)="복습1", LEFT(J454,3)="복습2"), MAX($M$3:M453)+1, "")</f>
        <v/>
      </c>
      <c r="N454" s="28" t="inlineStr">
        <is>
          <t>W13</t>
        </is>
      </c>
      <c r="O454" s="36" t="n">
        <v>46342</v>
      </c>
      <c r="P454" s="30">
        <f>IF(F454&lt;&gt;"","✅ 완료",IF(O454="","-",IF(TODAY()&gt;O454,"🚨 지연","⏳ 예정")))</f>
        <v/>
      </c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 ht="21.75" customHeight="1" s="209">
      <c r="A455" s="28" t="n">
        <v>452</v>
      </c>
      <c r="B455" s="28" t="inlineStr">
        <is>
          <t>7338</t>
        </is>
      </c>
      <c r="C455" s="30" t="inlineStr">
        <is>
          <t>D4</t>
        </is>
      </c>
      <c r="D455" s="32" t="inlineStr">
        <is>
          <t>현규의 연봉계산법</t>
        </is>
      </c>
      <c r="E455" s="28" t="inlineStr">
        <is>
          <t>DFS / BFS / 백트래킹</t>
        </is>
      </c>
      <c r="F455" s="28" t="n"/>
      <c r="G455" s="28" t="n"/>
      <c r="H455" s="28" t="n"/>
      <c r="I455" s="28" t="n"/>
      <c r="J455" s="54">
        <f>IF(OR(ISNUMBER(SEARCH("보류",K455)),ISNUMBER(SEARCH("미룸",K455)),ISNUMBER(SEARCH("나중에",K455)),ISNUMBER(SEARCH("보류",L455)),ISNUMBER(SEARCH("미룸",L455)),ISNUMBER(SEARCH("나중에",L455))),"보류(나중에 풀기)",IF(AND(F455="",G455="",H455="",I455=""),"미완료",IF(I455&lt;&gt;"","복습3(마스터)",IF(H455&lt;&gt;"","복습2",IF(G455&lt;&gt;"","복습1",IF(ISNUMBER(SEARCH("제미나이",K455)),"복습대기(AI도움)",IF(ISNUMBER(SEARCH("간당간당",K455)),"복습대기(간당간당)",IF(OR(ISNUMBER(SEARCH("아이디어",K455)),ISNUMBER(SEARCH("시간초과",K455)),ISNUMBER(SEARCH("자료구조",K455)),ISNUMBER(SEARCH("경계값",K455)),ISNUMBER(SEARCH("다른 풀이",K455)),ISNUMBER(SEARCH("또풀기",K455))),"복습대기",IF(OR(ISNUMBER(SEARCH("복습필요없음",K455)),ISNUMBER(SEARCH("자력완벽",K455))),"품(복습불필요)",IF(F455&lt;&gt;"","품","미완료"))))))))))</f>
        <v/>
      </c>
      <c r="K455" s="32" t="inlineStr">
        <is>
          <t>-</t>
        </is>
      </c>
      <c r="L455" s="32" t="n"/>
      <c r="M455" s="28">
        <f>IF(OR(LEFT(J455,2)="보류", LEFT(J455,4)="복습대기", LEFT(J455,3)="복습1", LEFT(J455,3)="복습2"), MAX($M$3:M454)+1, "")</f>
        <v/>
      </c>
      <c r="N455" s="28" t="inlineStr">
        <is>
          <t>W13</t>
        </is>
      </c>
      <c r="O455" s="36" t="n">
        <v>46342</v>
      </c>
      <c r="P455" s="30">
        <f>IF(F455&lt;&gt;"","✅ 완료",IF(O455="","-",IF(TODAY()&gt;O455,"🚨 지연","⏳ 예정")))</f>
        <v/>
      </c>
      <c r="Q455" s="7" t="n"/>
      <c r="R455" s="7" t="n"/>
      <c r="S455" s="7" t="n"/>
      <c r="T455" s="7" t="n"/>
      <c r="U455" s="7" t="n"/>
      <c r="V455" s="7" t="n"/>
      <c r="W455" s="7" t="n"/>
      <c r="X455" s="7" t="n"/>
    </row>
    <row r="456" ht="21.75" customHeight="1" s="209">
      <c r="A456" s="28" t="n">
        <v>453</v>
      </c>
      <c r="B456" s="28" t="inlineStr">
        <is>
          <t>7393</t>
        </is>
      </c>
      <c r="C456" s="30" t="inlineStr">
        <is>
          <t>D4</t>
        </is>
      </c>
      <c r="D456" s="32" t="inlineStr">
        <is>
          <t>대규의 팬덤활동</t>
        </is>
      </c>
      <c r="E456" s="28" t="inlineStr">
        <is>
          <t>DFS / BFS / 백트래킹</t>
        </is>
      </c>
      <c r="F456" s="28" t="n"/>
      <c r="G456" s="28" t="n"/>
      <c r="H456" s="28" t="n"/>
      <c r="I456" s="28" t="n"/>
      <c r="J456" s="54">
        <f>IF(OR(ISNUMBER(SEARCH("보류",K456)),ISNUMBER(SEARCH("미룸",K456)),ISNUMBER(SEARCH("나중에",K456)),ISNUMBER(SEARCH("보류",L456)),ISNUMBER(SEARCH("미룸",L456)),ISNUMBER(SEARCH("나중에",L456))),"보류(나중에 풀기)",IF(AND(F456="",G456="",H456="",I456=""),"미완료",IF(I456&lt;&gt;"","복습3(마스터)",IF(H456&lt;&gt;"","복습2",IF(G456&lt;&gt;"","복습1",IF(ISNUMBER(SEARCH("제미나이",K456)),"복습대기(AI도움)",IF(ISNUMBER(SEARCH("간당간당",K456)),"복습대기(간당간당)",IF(OR(ISNUMBER(SEARCH("아이디어",K456)),ISNUMBER(SEARCH("시간초과",K456)),ISNUMBER(SEARCH("자료구조",K456)),ISNUMBER(SEARCH("경계값",K456)),ISNUMBER(SEARCH("다른 풀이",K456)),ISNUMBER(SEARCH("또풀기",K456))),"복습대기",IF(OR(ISNUMBER(SEARCH("복습필요없음",K456)),ISNUMBER(SEARCH("자력완벽",K456))),"품(복습불필요)",IF(F456&lt;&gt;"","품","미완료"))))))))))</f>
        <v/>
      </c>
      <c r="K456" s="32" t="inlineStr">
        <is>
          <t>-</t>
        </is>
      </c>
      <c r="L456" s="32" t="n"/>
      <c r="M456" s="28">
        <f>IF(OR(LEFT(J456,2)="보류", LEFT(J456,4)="복습대기", LEFT(J456,3)="복습1", LEFT(J456,3)="복습2"), MAX($M$3:M455)+1, "")</f>
        <v/>
      </c>
      <c r="N456" s="28" t="inlineStr">
        <is>
          <t>W13</t>
        </is>
      </c>
      <c r="O456" s="36" t="n">
        <v>46342</v>
      </c>
      <c r="P456" s="30">
        <f>IF(F456&lt;&gt;"","✅ 완료",IF(O456="","-",IF(TODAY()&gt;O456,"🚨 지연","⏳ 예정")))</f>
        <v/>
      </c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 ht="21.75" customHeight="1" s="209">
      <c r="A457" s="28" t="n">
        <v>454</v>
      </c>
      <c r="B457" s="28" t="inlineStr">
        <is>
          <t>7466</t>
        </is>
      </c>
      <c r="C457" s="30" t="inlineStr">
        <is>
          <t>D4</t>
        </is>
      </c>
      <c r="D457" s="32" t="inlineStr">
        <is>
          <t>팩토리얼과 최대공약수</t>
        </is>
      </c>
      <c r="E457" s="28" t="inlineStr">
        <is>
          <t>수학 / 정수론</t>
        </is>
      </c>
      <c r="F457" s="28" t="n"/>
      <c r="G457" s="28" t="n"/>
      <c r="H457" s="28" t="n"/>
      <c r="I457" s="28" t="n"/>
      <c r="J457" s="54">
        <f>IF(OR(ISNUMBER(SEARCH("보류",K457)),ISNUMBER(SEARCH("미룸",K457)),ISNUMBER(SEARCH("나중에",K457)),ISNUMBER(SEARCH("보류",L457)),ISNUMBER(SEARCH("미룸",L457)),ISNUMBER(SEARCH("나중에",L457))),"보류(나중에 풀기)",IF(AND(F457="",G457="",H457="",I457=""),"미완료",IF(I457&lt;&gt;"","복습3(마스터)",IF(H457&lt;&gt;"","복습2",IF(G457&lt;&gt;"","복습1",IF(ISNUMBER(SEARCH("제미나이",K457)),"복습대기(AI도움)",IF(ISNUMBER(SEARCH("간당간당",K457)),"복습대기(간당간당)",IF(OR(ISNUMBER(SEARCH("아이디어",K457)),ISNUMBER(SEARCH("시간초과",K457)),ISNUMBER(SEARCH("자료구조",K457)),ISNUMBER(SEARCH("경계값",K457)),ISNUMBER(SEARCH("다른 풀이",K457)),ISNUMBER(SEARCH("또풀기",K457))),"복습대기",IF(OR(ISNUMBER(SEARCH("복습필요없음",K457)),ISNUMBER(SEARCH("자력완벽",K457))),"품(복습불필요)",IF(F457&lt;&gt;"","품","미완료"))))))))))</f>
        <v/>
      </c>
      <c r="K457" s="32" t="inlineStr">
        <is>
          <t>-</t>
        </is>
      </c>
      <c r="L457" s="32" t="n"/>
      <c r="M457" s="28">
        <f>IF(OR(LEFT(J457,2)="보류", LEFT(J457,4)="복습대기", LEFT(J457,3)="복습1", LEFT(J457,3)="복습2"), MAX($M$3:M456)+1, "")</f>
        <v/>
      </c>
      <c r="N457" s="28" t="inlineStr">
        <is>
          <t>W13</t>
        </is>
      </c>
      <c r="O457" s="36" t="n">
        <v>46342</v>
      </c>
      <c r="P457" s="30">
        <f>IF(F457&lt;&gt;"","✅ 완료",IF(O457="","-",IF(TODAY()&gt;O457,"🚨 지연","⏳ 예정")))</f>
        <v/>
      </c>
      <c r="Q457" s="7" t="n"/>
      <c r="R457" s="7" t="n"/>
      <c r="S457" s="7" t="n"/>
      <c r="T457" s="7" t="n"/>
      <c r="U457" s="7" t="n"/>
      <c r="V457" s="7" t="n"/>
      <c r="W457" s="7" t="n"/>
      <c r="X457" s="7" t="n"/>
    </row>
    <row r="458" ht="21.75" customHeight="1" s="209">
      <c r="A458" s="28" t="n">
        <v>455</v>
      </c>
      <c r="B458" s="28" t="inlineStr">
        <is>
          <t>7699</t>
        </is>
      </c>
      <c r="C458" s="30" t="inlineStr">
        <is>
          <t>D4</t>
        </is>
      </c>
      <c r="D458" s="32" t="inlineStr">
        <is>
          <t>수지의 수지 맞는 여행</t>
        </is>
      </c>
      <c r="E458" s="28" t="inlineStr">
        <is>
          <t>DFS / 백트래킹 (수지의 여행)</t>
        </is>
      </c>
      <c r="F458" s="28" t="n"/>
      <c r="G458" s="28" t="n"/>
      <c r="H458" s="28" t="n"/>
      <c r="I458" s="28" t="n"/>
      <c r="J458" s="54">
        <f>IF(OR(ISNUMBER(SEARCH("보류",K458)),ISNUMBER(SEARCH("미룸",K458)),ISNUMBER(SEARCH("나중에",K458)),ISNUMBER(SEARCH("보류",L458)),ISNUMBER(SEARCH("미룸",L458)),ISNUMBER(SEARCH("나중에",L458))),"보류(나중에 풀기)",IF(AND(F458="",G458="",H458="",I458=""),"미완료",IF(I458&lt;&gt;"","복습3(마스터)",IF(H458&lt;&gt;"","복습2",IF(G458&lt;&gt;"","복습1",IF(ISNUMBER(SEARCH("제미나이",K458)),"복습대기(AI도움)",IF(ISNUMBER(SEARCH("간당간당",K458)),"복습대기(간당간당)",IF(OR(ISNUMBER(SEARCH("아이디어",K458)),ISNUMBER(SEARCH("시간초과",K458)),ISNUMBER(SEARCH("자료구조",K458)),ISNUMBER(SEARCH("경계값",K458)),ISNUMBER(SEARCH("다른 풀이",K458)),ISNUMBER(SEARCH("또풀기",K458))),"복습대기",IF(OR(ISNUMBER(SEARCH("복습필요없음",K458)),ISNUMBER(SEARCH("자력완벽",K458))),"품(복습불필요)",IF(F458&lt;&gt;"","품","미완료"))))))))))</f>
        <v/>
      </c>
      <c r="K458" s="32" t="inlineStr">
        <is>
          <t>-</t>
        </is>
      </c>
      <c r="L458" s="32" t="n"/>
      <c r="M458" s="28">
        <f>IF(OR(LEFT(J458,2)="보류", LEFT(J458,4)="복습대기", LEFT(J458,3)="복습1", LEFT(J458,3)="복습2"), MAX($M$3:M457)+1, "")</f>
        <v/>
      </c>
      <c r="N458" s="28" t="inlineStr">
        <is>
          <t>W13</t>
        </is>
      </c>
      <c r="O458" s="36" t="n">
        <v>46342</v>
      </c>
      <c r="P458" s="30">
        <f>IF(F458&lt;&gt;"","✅ 완료",IF(O458="","-",IF(TODAY()&gt;O458,"🚨 지연","⏳ 예정")))</f>
        <v/>
      </c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 ht="21.75" customHeight="1" s="209">
      <c r="A459" s="28" t="n">
        <v>456</v>
      </c>
      <c r="B459" s="28" t="inlineStr">
        <is>
          <t>7701</t>
        </is>
      </c>
      <c r="C459" s="30" t="inlineStr">
        <is>
          <t>D4</t>
        </is>
      </c>
      <c r="D459" s="32" t="inlineStr">
        <is>
          <t>염라대왕의 이름 정렬</t>
        </is>
      </c>
      <c r="E459" s="28" t="inlineStr">
        <is>
          <t>DFS / BFS / 백트래킹</t>
        </is>
      </c>
      <c r="F459" s="28" t="n"/>
      <c r="G459" s="28" t="n"/>
      <c r="H459" s="28" t="n"/>
      <c r="I459" s="28" t="n"/>
      <c r="J459" s="54">
        <f>IF(OR(ISNUMBER(SEARCH("보류",K459)),ISNUMBER(SEARCH("미룸",K459)),ISNUMBER(SEARCH("나중에",K459)),ISNUMBER(SEARCH("보류",L459)),ISNUMBER(SEARCH("미룸",L459)),ISNUMBER(SEARCH("나중에",L459))),"보류(나중에 풀기)",IF(AND(F459="",G459="",H459="",I459=""),"미완료",IF(I459&lt;&gt;"","복습3(마스터)",IF(H459&lt;&gt;"","복습2",IF(G459&lt;&gt;"","복습1",IF(ISNUMBER(SEARCH("제미나이",K459)),"복습대기(AI도움)",IF(ISNUMBER(SEARCH("간당간당",K459)),"복습대기(간당간당)",IF(OR(ISNUMBER(SEARCH("아이디어",K459)),ISNUMBER(SEARCH("시간초과",K459)),ISNUMBER(SEARCH("자료구조",K459)),ISNUMBER(SEARCH("경계값",K459)),ISNUMBER(SEARCH("다른 풀이",K459)),ISNUMBER(SEARCH("또풀기",K459))),"복습대기",IF(OR(ISNUMBER(SEARCH("복습필요없음",K459)),ISNUMBER(SEARCH("자력완벽",K459))),"품(복습불필요)",IF(F459&lt;&gt;"","품","미완료"))))))))))</f>
        <v/>
      </c>
      <c r="K459" s="32" t="inlineStr">
        <is>
          <t>-</t>
        </is>
      </c>
      <c r="L459" s="32" t="n"/>
      <c r="M459" s="28">
        <f>IF(OR(LEFT(J459,2)="보류", LEFT(J459,4)="복습대기", LEFT(J459,3)="복습1", LEFT(J459,3)="복습2"), MAX($M$3:M458)+1, "")</f>
        <v/>
      </c>
      <c r="N459" s="28" t="inlineStr">
        <is>
          <t>W13</t>
        </is>
      </c>
      <c r="O459" s="36" t="n">
        <v>46342</v>
      </c>
      <c r="P459" s="30">
        <f>IF(F459&lt;&gt;"","✅ 완료",IF(O459="","-",IF(TODAY()&gt;O459,"🚨 지연","⏳ 예정")))</f>
        <v/>
      </c>
      <c r="Q459" s="7" t="n"/>
      <c r="R459" s="7" t="n"/>
      <c r="S459" s="7" t="n"/>
      <c r="T459" s="7" t="n"/>
      <c r="U459" s="7" t="n"/>
      <c r="V459" s="7" t="n"/>
      <c r="W459" s="7" t="n"/>
      <c r="X459" s="7" t="n"/>
    </row>
    <row r="460" ht="21.75" customHeight="1" s="209">
      <c r="A460" s="28" t="n">
        <v>457</v>
      </c>
      <c r="B460" s="28" t="inlineStr">
        <is>
          <t>7792</t>
        </is>
      </c>
      <c r="C460" s="30" t="inlineStr">
        <is>
          <t>D4</t>
        </is>
      </c>
      <c r="D460" s="32" t="inlineStr">
        <is>
          <t>반장 선출</t>
        </is>
      </c>
      <c r="E460" s="28" t="inlineStr">
        <is>
          <t>DFS / BFS / 백트래킹</t>
        </is>
      </c>
      <c r="F460" s="28" t="n"/>
      <c r="G460" s="28" t="n"/>
      <c r="H460" s="28" t="n"/>
      <c r="I460" s="28" t="n"/>
      <c r="J460" s="54">
        <f>IF(OR(ISNUMBER(SEARCH("보류",K460)),ISNUMBER(SEARCH("미룸",K460)),ISNUMBER(SEARCH("나중에",K460)),ISNUMBER(SEARCH("보류",L460)),ISNUMBER(SEARCH("미룸",L460)),ISNUMBER(SEARCH("나중에",L460))),"보류(나중에 풀기)",IF(AND(F460="",G460="",H460="",I460=""),"미완료",IF(I460&lt;&gt;"","복습3(마스터)",IF(H460&lt;&gt;"","복습2",IF(G460&lt;&gt;"","복습1",IF(ISNUMBER(SEARCH("제미나이",K460)),"복습대기(AI도움)",IF(ISNUMBER(SEARCH("간당간당",K460)),"복습대기(간당간당)",IF(OR(ISNUMBER(SEARCH("아이디어",K460)),ISNUMBER(SEARCH("시간초과",K460)),ISNUMBER(SEARCH("자료구조",K460)),ISNUMBER(SEARCH("경계값",K460)),ISNUMBER(SEARCH("다른 풀이",K460)),ISNUMBER(SEARCH("또풀기",K460))),"복습대기",IF(OR(ISNUMBER(SEARCH("복습필요없음",K460)),ISNUMBER(SEARCH("자력완벽",K460))),"품(복습불필요)",IF(F460&lt;&gt;"","품","미완료"))))))))))</f>
        <v/>
      </c>
      <c r="K460" s="32" t="inlineStr">
        <is>
          <t>-</t>
        </is>
      </c>
      <c r="L460" s="32" t="n"/>
      <c r="M460" s="28">
        <f>IF(OR(LEFT(J460,2)="보류", LEFT(J460,4)="복습대기", LEFT(J460,3)="복습1", LEFT(J460,3)="복습2"), MAX($M$3:M459)+1, "")</f>
        <v/>
      </c>
      <c r="N460" s="28" t="inlineStr">
        <is>
          <t>W13</t>
        </is>
      </c>
      <c r="O460" s="36" t="n">
        <v>46342</v>
      </c>
      <c r="P460" s="30">
        <f>IF(F460&lt;&gt;"","✅ 완료",IF(O460="","-",IF(TODAY()&gt;O460,"🚨 지연","⏳ 예정")))</f>
        <v/>
      </c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 ht="21.75" customHeight="1" s="209">
      <c r="A461" s="28" t="n">
        <v>458</v>
      </c>
      <c r="B461" s="28" t="inlineStr">
        <is>
          <t>7810</t>
        </is>
      </c>
      <c r="C461" s="30" t="inlineStr">
        <is>
          <t>D4</t>
        </is>
      </c>
      <c r="D461" s="32" t="inlineStr">
        <is>
          <t>승현이의 질문</t>
        </is>
      </c>
      <c r="E461" s="28" t="inlineStr">
        <is>
          <t>DFS / BFS / 백트래킹</t>
        </is>
      </c>
      <c r="F461" s="28" t="n"/>
      <c r="G461" s="28" t="n"/>
      <c r="H461" s="28" t="n"/>
      <c r="I461" s="28" t="n"/>
      <c r="J461" s="54">
        <f>IF(OR(ISNUMBER(SEARCH("보류",K461)),ISNUMBER(SEARCH("미룸",K461)),ISNUMBER(SEARCH("나중에",K461)),ISNUMBER(SEARCH("보류",L461)),ISNUMBER(SEARCH("미룸",L461)),ISNUMBER(SEARCH("나중에",L461))),"보류(나중에 풀기)",IF(AND(F461="",G461="",H461="",I461=""),"미완료",IF(I461&lt;&gt;"","복습3(마스터)",IF(H461&lt;&gt;"","복습2",IF(G461&lt;&gt;"","복습1",IF(ISNUMBER(SEARCH("제미나이",K461)),"복습대기(AI도움)",IF(ISNUMBER(SEARCH("간당간당",K461)),"복습대기(간당간당)",IF(OR(ISNUMBER(SEARCH("아이디어",K461)),ISNUMBER(SEARCH("시간초과",K461)),ISNUMBER(SEARCH("자료구조",K461)),ISNUMBER(SEARCH("경계값",K461)),ISNUMBER(SEARCH("다른 풀이",K461)),ISNUMBER(SEARCH("또풀기",K461))),"복습대기",IF(OR(ISNUMBER(SEARCH("복습필요없음",K461)),ISNUMBER(SEARCH("자력완벽",K461))),"품(복습불필요)",IF(F461&lt;&gt;"","품","미완료"))))))))))</f>
        <v/>
      </c>
      <c r="K461" s="32" t="inlineStr">
        <is>
          <t>-</t>
        </is>
      </c>
      <c r="L461" s="32" t="n"/>
      <c r="M461" s="28">
        <f>IF(OR(LEFT(J461,2)="보류", LEFT(J461,4)="복습대기", LEFT(J461,3)="복습1", LEFT(J461,3)="복습2"), MAX($M$3:M460)+1, "")</f>
        <v/>
      </c>
      <c r="N461" s="28" t="inlineStr">
        <is>
          <t>W13</t>
        </is>
      </c>
      <c r="O461" s="36" t="n">
        <v>46343</v>
      </c>
      <c r="P461" s="30">
        <f>IF(F461&lt;&gt;"","✅ 완료",IF(O461="","-",IF(TODAY()&gt;O461,"🚨 지연","⏳ 예정")))</f>
        <v/>
      </c>
      <c r="Q461" s="7" t="n"/>
      <c r="R461" s="7" t="n"/>
      <c r="S461" s="7" t="n"/>
      <c r="T461" s="7" t="n"/>
      <c r="U461" s="7" t="n"/>
      <c r="V461" s="7" t="n"/>
      <c r="W461" s="7" t="n"/>
      <c r="X461" s="7" t="n"/>
    </row>
    <row r="462" ht="21.75" customHeight="1" s="209">
      <c r="A462" s="28" t="n">
        <v>459</v>
      </c>
      <c r="B462" s="28" t="inlineStr">
        <is>
          <t>7829</t>
        </is>
      </c>
      <c r="C462" s="30" t="inlineStr">
        <is>
          <t>D4</t>
        </is>
      </c>
      <c r="D462" s="32" t="inlineStr">
        <is>
          <t>보물왕 태혁</t>
        </is>
      </c>
      <c r="E462" s="28" t="inlineStr">
        <is>
          <t>DFS / BFS / 백트래킹</t>
        </is>
      </c>
      <c r="F462" s="28" t="n"/>
      <c r="G462" s="28" t="n"/>
      <c r="H462" s="28" t="n"/>
      <c r="I462" s="28" t="n"/>
      <c r="J462" s="54">
        <f>IF(OR(ISNUMBER(SEARCH("보류",K462)),ISNUMBER(SEARCH("미룸",K462)),ISNUMBER(SEARCH("나중에",K462)),ISNUMBER(SEARCH("보류",L462)),ISNUMBER(SEARCH("미룸",L462)),ISNUMBER(SEARCH("나중에",L462))),"보류(나중에 풀기)",IF(AND(F462="",G462="",H462="",I462=""),"미완료",IF(I462&lt;&gt;"","복습3(마스터)",IF(H462&lt;&gt;"","복습2",IF(G462&lt;&gt;"","복습1",IF(ISNUMBER(SEARCH("제미나이",K462)),"복습대기(AI도움)",IF(ISNUMBER(SEARCH("간당간당",K462)),"복습대기(간당간당)",IF(OR(ISNUMBER(SEARCH("아이디어",K462)),ISNUMBER(SEARCH("시간초과",K462)),ISNUMBER(SEARCH("자료구조",K462)),ISNUMBER(SEARCH("경계값",K462)),ISNUMBER(SEARCH("다른 풀이",K462)),ISNUMBER(SEARCH("또풀기",K462))),"복습대기",IF(OR(ISNUMBER(SEARCH("복습필요없음",K462)),ISNUMBER(SEARCH("자력완벽",K462))),"품(복습불필요)",IF(F462&lt;&gt;"","품","미완료"))))))))))</f>
        <v/>
      </c>
      <c r="K462" s="32" t="inlineStr">
        <is>
          <t>-</t>
        </is>
      </c>
      <c r="L462" s="32" t="n"/>
      <c r="M462" s="28">
        <f>IF(OR(LEFT(J462,2)="보류", LEFT(J462,4)="복습대기", LEFT(J462,3)="복습1", LEFT(J462,3)="복습2"), MAX($M$3:M461)+1, "")</f>
        <v/>
      </c>
      <c r="N462" s="28" t="inlineStr">
        <is>
          <t>W13</t>
        </is>
      </c>
      <c r="O462" s="36" t="n">
        <v>46343</v>
      </c>
      <c r="P462" s="30">
        <f>IF(F462&lt;&gt;"","✅ 완료",IF(O462="","-",IF(TODAY()&gt;O462,"🚨 지연","⏳ 예정")))</f>
        <v/>
      </c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 ht="21.75" customHeight="1" s="209">
      <c r="A463" s="28" t="n">
        <v>460</v>
      </c>
      <c r="B463" s="28" t="inlineStr">
        <is>
          <t>7854</t>
        </is>
      </c>
      <c r="C463" s="30" t="inlineStr">
        <is>
          <t>D4</t>
        </is>
      </c>
      <c r="D463" s="32" t="inlineStr">
        <is>
          <t>최약수</t>
        </is>
      </c>
      <c r="E463" s="28" t="inlineStr">
        <is>
          <t>수학 / 정수론</t>
        </is>
      </c>
      <c r="F463" s="28" t="n"/>
      <c r="G463" s="28" t="n"/>
      <c r="H463" s="28" t="n"/>
      <c r="I463" s="28" t="n"/>
      <c r="J463" s="54">
        <f>IF(OR(ISNUMBER(SEARCH("보류",K463)),ISNUMBER(SEARCH("미룸",K463)),ISNUMBER(SEARCH("나중에",K463)),ISNUMBER(SEARCH("보류",L463)),ISNUMBER(SEARCH("미룸",L463)),ISNUMBER(SEARCH("나중에",L463))),"보류(나중에 풀기)",IF(AND(F463="",G463="",H463="",I463=""),"미완료",IF(I463&lt;&gt;"","복습3(마스터)",IF(H463&lt;&gt;"","복습2",IF(G463&lt;&gt;"","복습1",IF(ISNUMBER(SEARCH("제미나이",K463)),"복습대기(AI도움)",IF(ISNUMBER(SEARCH("간당간당",K463)),"복습대기(간당간당)",IF(OR(ISNUMBER(SEARCH("아이디어",K463)),ISNUMBER(SEARCH("시간초과",K463)),ISNUMBER(SEARCH("자료구조",K463)),ISNUMBER(SEARCH("경계값",K463)),ISNUMBER(SEARCH("다른 풀이",K463)),ISNUMBER(SEARCH("또풀기",K463))),"복습대기",IF(OR(ISNUMBER(SEARCH("복습필요없음",K463)),ISNUMBER(SEARCH("자력완벽",K463))),"품(복습불필요)",IF(F463&lt;&gt;"","품","미완료"))))))))))</f>
        <v/>
      </c>
      <c r="K463" s="32" t="inlineStr">
        <is>
          <t>-</t>
        </is>
      </c>
      <c r="L463" s="32" t="n"/>
      <c r="M463" s="28">
        <f>IF(OR(LEFT(J463,2)="보류", LEFT(J463,4)="복습대기", LEFT(J463,3)="복습1", LEFT(J463,3)="복습2"), MAX($M$3:M462)+1, "")</f>
        <v/>
      </c>
      <c r="N463" s="28" t="inlineStr">
        <is>
          <t>W13</t>
        </is>
      </c>
      <c r="O463" s="36" t="n">
        <v>46343</v>
      </c>
      <c r="P463" s="30">
        <f>IF(F463&lt;&gt;"","✅ 완료",IF(O463="","-",IF(TODAY()&gt;O463,"🚨 지연","⏳ 예정")))</f>
        <v/>
      </c>
      <c r="Q463" s="7" t="n"/>
      <c r="R463" s="7" t="n"/>
      <c r="S463" s="7" t="n"/>
      <c r="T463" s="7" t="n"/>
      <c r="U463" s="7" t="n"/>
      <c r="V463" s="7" t="n"/>
      <c r="W463" s="7" t="n"/>
      <c r="X463" s="7" t="n"/>
    </row>
    <row r="464" ht="21.75" customHeight="1" s="209">
      <c r="A464" s="28" t="n">
        <v>461</v>
      </c>
      <c r="B464" s="28" t="inlineStr">
        <is>
          <t>7965</t>
        </is>
      </c>
      <c r="C464" s="30" t="inlineStr">
        <is>
          <t>D4</t>
        </is>
      </c>
      <c r="D464" s="32" t="inlineStr">
        <is>
          <t>퀴즈</t>
        </is>
      </c>
      <c r="E464" s="28" t="inlineStr">
        <is>
          <t>DFS / BFS / 백트래킹</t>
        </is>
      </c>
      <c r="F464" s="28" t="n"/>
      <c r="G464" s="28" t="n"/>
      <c r="H464" s="28" t="n"/>
      <c r="I464" s="28" t="n"/>
      <c r="J464" s="54">
        <f>IF(OR(ISNUMBER(SEARCH("보류",K464)),ISNUMBER(SEARCH("미룸",K464)),ISNUMBER(SEARCH("나중에",K464)),ISNUMBER(SEARCH("보류",L464)),ISNUMBER(SEARCH("미룸",L464)),ISNUMBER(SEARCH("나중에",L464))),"보류(나중에 풀기)",IF(AND(F464="",G464="",H464="",I464=""),"미완료",IF(I464&lt;&gt;"","복습3(마스터)",IF(H464&lt;&gt;"","복습2",IF(G464&lt;&gt;"","복습1",IF(ISNUMBER(SEARCH("제미나이",K464)),"복습대기(AI도움)",IF(ISNUMBER(SEARCH("간당간당",K464)),"복습대기(간당간당)",IF(OR(ISNUMBER(SEARCH("아이디어",K464)),ISNUMBER(SEARCH("시간초과",K464)),ISNUMBER(SEARCH("자료구조",K464)),ISNUMBER(SEARCH("경계값",K464)),ISNUMBER(SEARCH("다른 풀이",K464)),ISNUMBER(SEARCH("또풀기",K464))),"복습대기",IF(OR(ISNUMBER(SEARCH("복습필요없음",K464)),ISNUMBER(SEARCH("자력완벽",K464))),"품(복습불필요)",IF(F464&lt;&gt;"","품","미완료"))))))))))</f>
        <v/>
      </c>
      <c r="K464" s="32" t="inlineStr">
        <is>
          <t>-</t>
        </is>
      </c>
      <c r="L464" s="32" t="n"/>
      <c r="M464" s="28">
        <f>IF(OR(LEFT(J464,2)="보류", LEFT(J464,4)="복습대기", LEFT(J464,3)="복습1", LEFT(J464,3)="복습2"), MAX($M$3:M463)+1, "")</f>
        <v/>
      </c>
      <c r="N464" s="28" t="inlineStr">
        <is>
          <t>W13</t>
        </is>
      </c>
      <c r="O464" s="36" t="n">
        <v>46343</v>
      </c>
      <c r="P464" s="30">
        <f>IF(F464&lt;&gt;"","✅ 완료",IF(O464="","-",IF(TODAY()&gt;O464,"🚨 지연","⏳ 예정")))</f>
        <v/>
      </c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 ht="21.75" customHeight="1" s="209">
      <c r="A465" s="28" t="n">
        <v>462</v>
      </c>
      <c r="B465" s="28" t="inlineStr">
        <is>
          <t>7988</t>
        </is>
      </c>
      <c r="C465" s="30" t="inlineStr">
        <is>
          <t>D4</t>
        </is>
      </c>
      <c r="D465" s="32" t="inlineStr">
        <is>
          <t>내전 경기</t>
        </is>
      </c>
      <c r="E465" s="28" t="inlineStr">
        <is>
          <t>DFS / BFS / 백트래킹</t>
        </is>
      </c>
      <c r="F465" s="28" t="n"/>
      <c r="G465" s="28" t="n"/>
      <c r="H465" s="28" t="n"/>
      <c r="I465" s="28" t="n"/>
      <c r="J465" s="54">
        <f>IF(OR(ISNUMBER(SEARCH("보류",K465)),ISNUMBER(SEARCH("미룸",K465)),ISNUMBER(SEARCH("나중에",K465)),ISNUMBER(SEARCH("보류",L465)),ISNUMBER(SEARCH("미룸",L465)),ISNUMBER(SEARCH("나중에",L465))),"보류(나중에 풀기)",IF(AND(F465="",G465="",H465="",I465=""),"미완료",IF(I465&lt;&gt;"","복습3(마스터)",IF(H465&lt;&gt;"","복습2",IF(G465&lt;&gt;"","복습1",IF(ISNUMBER(SEARCH("제미나이",K465)),"복습대기(AI도움)",IF(ISNUMBER(SEARCH("간당간당",K465)),"복습대기(간당간당)",IF(OR(ISNUMBER(SEARCH("아이디어",K465)),ISNUMBER(SEARCH("시간초과",K465)),ISNUMBER(SEARCH("자료구조",K465)),ISNUMBER(SEARCH("경계값",K465)),ISNUMBER(SEARCH("다른 풀이",K465)),ISNUMBER(SEARCH("또풀기",K465))),"복습대기",IF(OR(ISNUMBER(SEARCH("복습필요없음",K465)),ISNUMBER(SEARCH("자력완벽",K465))),"품(복습불필요)",IF(F465&lt;&gt;"","품","미완료"))))))))))</f>
        <v/>
      </c>
      <c r="K465" s="32" t="inlineStr">
        <is>
          <t>-</t>
        </is>
      </c>
      <c r="L465" s="32" t="n"/>
      <c r="M465" s="28">
        <f>IF(OR(LEFT(J465,2)="보류", LEFT(J465,4)="복습대기", LEFT(J465,3)="복습1", LEFT(J465,3)="복습2"), MAX($M$3:M464)+1, "")</f>
        <v/>
      </c>
      <c r="N465" s="28" t="inlineStr">
        <is>
          <t>W13</t>
        </is>
      </c>
      <c r="O465" s="36" t="n">
        <v>46343</v>
      </c>
      <c r="P465" s="30">
        <f>IF(F465&lt;&gt;"","✅ 완료",IF(O465="","-",IF(TODAY()&gt;O465,"🚨 지연","⏳ 예정")))</f>
        <v/>
      </c>
      <c r="Q465" s="7" t="n"/>
      <c r="R465" s="7" t="n"/>
      <c r="S465" s="7" t="n"/>
      <c r="T465" s="7" t="n"/>
      <c r="U465" s="7" t="n"/>
      <c r="V465" s="7" t="n"/>
      <c r="W465" s="7" t="n"/>
      <c r="X465" s="7" t="n"/>
    </row>
    <row r="466" ht="21.75" customHeight="1" s="209">
      <c r="A466" s="28" t="n">
        <v>463</v>
      </c>
      <c r="B466" s="28" t="inlineStr">
        <is>
          <t>8049</t>
        </is>
      </c>
      <c r="C466" s="30" t="inlineStr">
        <is>
          <t>D4</t>
        </is>
      </c>
      <c r="D466" s="32" t="inlineStr">
        <is>
          <t>폭탄 감식반</t>
        </is>
      </c>
      <c r="E466" s="28" t="inlineStr">
        <is>
          <t>DFS / BFS / 백트래킹</t>
        </is>
      </c>
      <c r="F466" s="28" t="n"/>
      <c r="G466" s="28" t="n"/>
      <c r="H466" s="28" t="n"/>
      <c r="I466" s="28" t="n"/>
      <c r="J466" s="54">
        <f>IF(OR(ISNUMBER(SEARCH("보류",K466)),ISNUMBER(SEARCH("미룸",K466)),ISNUMBER(SEARCH("나중에",K466)),ISNUMBER(SEARCH("보류",L466)),ISNUMBER(SEARCH("미룸",L466)),ISNUMBER(SEARCH("나중에",L466))),"보류(나중에 풀기)",IF(AND(F466="",G466="",H466="",I466=""),"미완료",IF(I466&lt;&gt;"","복습3(마스터)",IF(H466&lt;&gt;"","복습2",IF(G466&lt;&gt;"","복습1",IF(ISNUMBER(SEARCH("제미나이",K466)),"복습대기(AI도움)",IF(ISNUMBER(SEARCH("간당간당",K466)),"복습대기(간당간당)",IF(OR(ISNUMBER(SEARCH("아이디어",K466)),ISNUMBER(SEARCH("시간초과",K466)),ISNUMBER(SEARCH("자료구조",K466)),ISNUMBER(SEARCH("경계값",K466)),ISNUMBER(SEARCH("다른 풀이",K466)),ISNUMBER(SEARCH("또풀기",K466))),"복습대기",IF(OR(ISNUMBER(SEARCH("복습필요없음",K466)),ISNUMBER(SEARCH("자력완벽",K466))),"품(복습불필요)",IF(F466&lt;&gt;"","품","미완료"))))))))))</f>
        <v/>
      </c>
      <c r="K466" s="32" t="inlineStr">
        <is>
          <t>-</t>
        </is>
      </c>
      <c r="L466" s="32" t="n"/>
      <c r="M466" s="28">
        <f>IF(OR(LEFT(J466,2)="보류", LEFT(J466,4)="복습대기", LEFT(J466,3)="복습1", LEFT(J466,3)="복습2"), MAX($M$3:M465)+1, "")</f>
        <v/>
      </c>
      <c r="N466" s="28" t="inlineStr">
        <is>
          <t>W13</t>
        </is>
      </c>
      <c r="O466" s="36" t="n">
        <v>46343</v>
      </c>
      <c r="P466" s="30">
        <f>IF(F466&lt;&gt;"","✅ 완료",IF(O466="","-",IF(TODAY()&gt;O466,"🚨 지연","⏳ 예정")))</f>
        <v/>
      </c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 ht="21.75" customHeight="1" s="209">
      <c r="A467" s="28" t="n">
        <v>464</v>
      </c>
      <c r="B467" s="28" t="inlineStr">
        <is>
          <t>8189</t>
        </is>
      </c>
      <c r="C467" s="30" t="inlineStr">
        <is>
          <t>D4</t>
        </is>
      </c>
      <c r="D467" s="32" t="inlineStr">
        <is>
          <t>우편함</t>
        </is>
      </c>
      <c r="E467" s="28" t="inlineStr">
        <is>
          <t>DFS / BFS / 백트래킹</t>
        </is>
      </c>
      <c r="F467" s="28" t="n"/>
      <c r="G467" s="28" t="n"/>
      <c r="H467" s="28" t="n"/>
      <c r="I467" s="28" t="n"/>
      <c r="J467" s="54">
        <f>IF(OR(ISNUMBER(SEARCH("보류",K467)),ISNUMBER(SEARCH("미룸",K467)),ISNUMBER(SEARCH("나중에",K467)),ISNUMBER(SEARCH("보류",L467)),ISNUMBER(SEARCH("미룸",L467)),ISNUMBER(SEARCH("나중에",L467))),"보류(나중에 풀기)",IF(AND(F467="",G467="",H467="",I467=""),"미완료",IF(I467&lt;&gt;"","복습3(마스터)",IF(H467&lt;&gt;"","복습2",IF(G467&lt;&gt;"","복습1",IF(ISNUMBER(SEARCH("제미나이",K467)),"복습대기(AI도움)",IF(ISNUMBER(SEARCH("간당간당",K467)),"복습대기(간당간당)",IF(OR(ISNUMBER(SEARCH("아이디어",K467)),ISNUMBER(SEARCH("시간초과",K467)),ISNUMBER(SEARCH("자료구조",K467)),ISNUMBER(SEARCH("경계값",K467)),ISNUMBER(SEARCH("다른 풀이",K467)),ISNUMBER(SEARCH("또풀기",K467))),"복습대기",IF(OR(ISNUMBER(SEARCH("복습필요없음",K467)),ISNUMBER(SEARCH("자력완벽",K467))),"품(복습불필요)",IF(F467&lt;&gt;"","품","미완료"))))))))))</f>
        <v/>
      </c>
      <c r="K467" s="32" t="inlineStr">
        <is>
          <t>-</t>
        </is>
      </c>
      <c r="L467" s="32" t="n"/>
      <c r="M467" s="28">
        <f>IF(OR(LEFT(J467,2)="보류", LEFT(J467,4)="복습대기", LEFT(J467,3)="복습1", LEFT(J467,3)="복습2"), MAX($M$3:M466)+1, "")</f>
        <v/>
      </c>
      <c r="N467" s="28" t="inlineStr">
        <is>
          <t>W13</t>
        </is>
      </c>
      <c r="O467" s="36" t="n">
        <v>46343</v>
      </c>
      <c r="P467" s="30">
        <f>IF(F467&lt;&gt;"","✅ 완료",IF(O467="","-",IF(TODAY()&gt;O467,"🚨 지연","⏳ 예정")))</f>
        <v/>
      </c>
      <c r="Q467" s="7" t="n"/>
      <c r="R467" s="7" t="n"/>
      <c r="S467" s="7" t="n"/>
      <c r="T467" s="7" t="n"/>
      <c r="U467" s="7" t="n"/>
      <c r="V467" s="7" t="n"/>
      <c r="W467" s="7" t="n"/>
      <c r="X467" s="7" t="n"/>
    </row>
    <row r="468" ht="21.75" customHeight="1" s="209">
      <c r="A468" s="28" t="n">
        <v>465</v>
      </c>
      <c r="B468" s="28" t="inlineStr">
        <is>
          <t>8382</t>
        </is>
      </c>
      <c r="C468" s="30" t="inlineStr">
        <is>
          <t>D4</t>
        </is>
      </c>
      <c r="D468" s="32" t="inlineStr">
        <is>
          <t>방향 전환</t>
        </is>
      </c>
      <c r="E468" s="28" t="inlineStr">
        <is>
          <t>BFS / 시뮬레이션 (방향 전환)</t>
        </is>
      </c>
      <c r="F468" s="28" t="n"/>
      <c r="G468" s="28" t="n"/>
      <c r="H468" s="28" t="n"/>
      <c r="I468" s="28" t="n"/>
      <c r="J468" s="54">
        <f>IF(OR(ISNUMBER(SEARCH("보류",K468)),ISNUMBER(SEARCH("미룸",K468)),ISNUMBER(SEARCH("나중에",K468)),ISNUMBER(SEARCH("보류",L468)),ISNUMBER(SEARCH("미룸",L468)),ISNUMBER(SEARCH("나중에",L468))),"보류(나중에 풀기)",IF(AND(F468="",G468="",H468="",I468=""),"미완료",IF(I468&lt;&gt;"","복습3(마스터)",IF(H468&lt;&gt;"","복습2",IF(G468&lt;&gt;"","복습1",IF(ISNUMBER(SEARCH("제미나이",K468)),"복습대기(AI도움)",IF(ISNUMBER(SEARCH("간당간당",K468)),"복습대기(간당간당)",IF(OR(ISNUMBER(SEARCH("아이디어",K468)),ISNUMBER(SEARCH("시간초과",K468)),ISNUMBER(SEARCH("자료구조",K468)),ISNUMBER(SEARCH("경계값",K468)),ISNUMBER(SEARCH("다른 풀이",K468)),ISNUMBER(SEARCH("또풀기",K468))),"복습대기",IF(OR(ISNUMBER(SEARCH("복습필요없음",K468)),ISNUMBER(SEARCH("자력완벽",K468))),"품(복습불필요)",IF(F468&lt;&gt;"","품","미완료"))))))))))</f>
        <v/>
      </c>
      <c r="K468" s="32" t="inlineStr">
        <is>
          <t>-</t>
        </is>
      </c>
      <c r="L468" s="32" t="n"/>
      <c r="M468" s="28">
        <f>IF(OR(LEFT(J468,2)="보류", LEFT(J468,4)="복습대기", LEFT(J468,3)="복습1", LEFT(J468,3)="복습2"), MAX($M$3:M467)+1, "")</f>
        <v/>
      </c>
      <c r="N468" s="28" t="inlineStr">
        <is>
          <t>W13</t>
        </is>
      </c>
      <c r="O468" s="36" t="n">
        <v>46344</v>
      </c>
      <c r="P468" s="30">
        <f>IF(F468&lt;&gt;"","✅ 완료",IF(O468="","-",IF(TODAY()&gt;O468,"🚨 지연","⏳ 예정")))</f>
        <v/>
      </c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 ht="21.75" customHeight="1" s="209">
      <c r="A469" s="28" t="n">
        <v>466</v>
      </c>
      <c r="B469" s="28" t="inlineStr">
        <is>
          <t>8424</t>
        </is>
      </c>
      <c r="C469" s="30" t="inlineStr">
        <is>
          <t>D4</t>
        </is>
      </c>
      <c r="D469" s="32" t="inlineStr">
        <is>
          <t>유일한 사이클</t>
        </is>
      </c>
      <c r="E469" s="28" t="inlineStr">
        <is>
          <t>DFS / BFS / 백트래킹</t>
        </is>
      </c>
      <c r="F469" s="28" t="n"/>
      <c r="G469" s="28" t="n"/>
      <c r="H469" s="28" t="n"/>
      <c r="I469" s="28" t="n"/>
      <c r="J469" s="54">
        <f>IF(OR(ISNUMBER(SEARCH("보류",K469)),ISNUMBER(SEARCH("미룸",K469)),ISNUMBER(SEARCH("나중에",K469)),ISNUMBER(SEARCH("보류",L469)),ISNUMBER(SEARCH("미룸",L469)),ISNUMBER(SEARCH("나중에",L469))),"보류(나중에 풀기)",IF(AND(F469="",G469="",H469="",I469=""),"미완료",IF(I469&lt;&gt;"","복습3(마스터)",IF(H469&lt;&gt;"","복습2",IF(G469&lt;&gt;"","복습1",IF(ISNUMBER(SEARCH("제미나이",K469)),"복습대기(AI도움)",IF(ISNUMBER(SEARCH("간당간당",K469)),"복습대기(간당간당)",IF(OR(ISNUMBER(SEARCH("아이디어",K469)),ISNUMBER(SEARCH("시간초과",K469)),ISNUMBER(SEARCH("자료구조",K469)),ISNUMBER(SEARCH("경계값",K469)),ISNUMBER(SEARCH("다른 풀이",K469)),ISNUMBER(SEARCH("또풀기",K469))),"복습대기",IF(OR(ISNUMBER(SEARCH("복습필요없음",K469)),ISNUMBER(SEARCH("자력완벽",K469))),"품(복습불필요)",IF(F469&lt;&gt;"","품","미완료"))))))))))</f>
        <v/>
      </c>
      <c r="K469" s="32" t="inlineStr">
        <is>
          <t>-</t>
        </is>
      </c>
      <c r="L469" s="32" t="n"/>
      <c r="M469" s="28">
        <f>IF(OR(LEFT(J469,2)="보류", LEFT(J469,4)="복습대기", LEFT(J469,3)="복습1", LEFT(J469,3)="복습2"), MAX($M$3:M468)+1, "")</f>
        <v/>
      </c>
      <c r="N469" s="28" t="inlineStr">
        <is>
          <t>W13</t>
        </is>
      </c>
      <c r="O469" s="36" t="n">
        <v>46344</v>
      </c>
      <c r="P469" s="30">
        <f>IF(F469&lt;&gt;"","✅ 완료",IF(O469="","-",IF(TODAY()&gt;O469,"🚨 지연","⏳ 예정")))</f>
        <v/>
      </c>
      <c r="Q469" s="7" t="n"/>
      <c r="R469" s="7" t="n"/>
      <c r="S469" s="7" t="n"/>
      <c r="T469" s="7" t="n"/>
      <c r="U469" s="7" t="n"/>
      <c r="V469" s="7" t="n"/>
      <c r="W469" s="7" t="n"/>
      <c r="X469" s="7" t="n"/>
    </row>
    <row r="470" ht="21.75" customHeight="1" s="209">
      <c r="A470" s="28" t="n">
        <v>467</v>
      </c>
      <c r="B470" s="28" t="inlineStr">
        <is>
          <t>8425</t>
        </is>
      </c>
      <c r="C470" s="30" t="inlineStr">
        <is>
          <t>D4</t>
        </is>
      </c>
      <c r="D470" s="32" t="inlineStr">
        <is>
          <t>님 게임</t>
        </is>
      </c>
      <c r="E470" s="28" t="inlineStr">
        <is>
          <t>시뮬레이션 / 구현</t>
        </is>
      </c>
      <c r="F470" s="28" t="n"/>
      <c r="G470" s="28" t="n"/>
      <c r="H470" s="28" t="n"/>
      <c r="I470" s="28" t="n"/>
      <c r="J470" s="54">
        <f>IF(OR(ISNUMBER(SEARCH("보류",K470)),ISNUMBER(SEARCH("미룸",K470)),ISNUMBER(SEARCH("나중에",K470)),ISNUMBER(SEARCH("보류",L470)),ISNUMBER(SEARCH("미룸",L470)),ISNUMBER(SEARCH("나중에",L470))),"보류(나중에 풀기)",IF(AND(F470="",G470="",H470="",I470=""),"미완료",IF(I470&lt;&gt;"","복습3(마스터)",IF(H470&lt;&gt;"","복습2",IF(G470&lt;&gt;"","복습1",IF(ISNUMBER(SEARCH("제미나이",K470)),"복습대기(AI도움)",IF(ISNUMBER(SEARCH("간당간당",K470)),"복습대기(간당간당)",IF(OR(ISNUMBER(SEARCH("아이디어",K470)),ISNUMBER(SEARCH("시간초과",K470)),ISNUMBER(SEARCH("자료구조",K470)),ISNUMBER(SEARCH("경계값",K470)),ISNUMBER(SEARCH("다른 풀이",K470)),ISNUMBER(SEARCH("또풀기",K470))),"복습대기",IF(OR(ISNUMBER(SEARCH("복습필요없음",K470)),ISNUMBER(SEARCH("자력완벽",K470))),"품(복습불필요)",IF(F470&lt;&gt;"","품","미완료"))))))))))</f>
        <v/>
      </c>
      <c r="K470" s="32" t="inlineStr">
        <is>
          <t>-</t>
        </is>
      </c>
      <c r="L470" s="32" t="n"/>
      <c r="M470" s="28">
        <f>IF(OR(LEFT(J470,2)="보류", LEFT(J470,4)="복습대기", LEFT(J470,3)="복습1", LEFT(J470,3)="복습2"), MAX($M$3:M469)+1, "")</f>
        <v/>
      </c>
      <c r="N470" s="28" t="inlineStr">
        <is>
          <t>W13</t>
        </is>
      </c>
      <c r="O470" s="36" t="n">
        <v>46344</v>
      </c>
      <c r="P470" s="30">
        <f>IF(F470&lt;&gt;"","✅ 완료",IF(O470="","-",IF(TODAY()&gt;O470,"🚨 지연","⏳ 예정")))</f>
        <v/>
      </c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 ht="21.75" customHeight="1" s="209">
      <c r="A471" s="28" t="n">
        <v>468</v>
      </c>
      <c r="B471" s="28" t="inlineStr">
        <is>
          <t>8458</t>
        </is>
      </c>
      <c r="C471" s="30" t="inlineStr">
        <is>
          <t>D4</t>
        </is>
      </c>
      <c r="D471" s="32" t="inlineStr">
        <is>
          <t>원점으로 집합</t>
        </is>
      </c>
      <c r="E471" s="28" t="inlineStr">
        <is>
          <t>수학 / 정수론</t>
        </is>
      </c>
      <c r="F471" s="28" t="n"/>
      <c r="G471" s="28" t="n"/>
      <c r="H471" s="28" t="n"/>
      <c r="I471" s="28" t="n"/>
      <c r="J471" s="54">
        <f>IF(OR(ISNUMBER(SEARCH("보류",K471)),ISNUMBER(SEARCH("미룸",K471)),ISNUMBER(SEARCH("나중에",K471)),ISNUMBER(SEARCH("보류",L471)),ISNUMBER(SEARCH("미룸",L471)),ISNUMBER(SEARCH("나중에",L471))),"보류(나중에 풀기)",IF(AND(F471="",G471="",H471="",I471=""),"미완료",IF(I471&lt;&gt;"","복습3(마스터)",IF(H471&lt;&gt;"","복습2",IF(G471&lt;&gt;"","복습1",IF(ISNUMBER(SEARCH("제미나이",K471)),"복습대기(AI도움)",IF(ISNUMBER(SEARCH("간당간당",K471)),"복습대기(간당간당)",IF(OR(ISNUMBER(SEARCH("아이디어",K471)),ISNUMBER(SEARCH("시간초과",K471)),ISNUMBER(SEARCH("자료구조",K471)),ISNUMBER(SEARCH("경계값",K471)),ISNUMBER(SEARCH("다른 풀이",K471)),ISNUMBER(SEARCH("또풀기",K471))),"복습대기",IF(OR(ISNUMBER(SEARCH("복습필요없음",K471)),ISNUMBER(SEARCH("자력완벽",K471))),"품(복습불필요)",IF(F471&lt;&gt;"","품","미완료"))))))))))</f>
        <v/>
      </c>
      <c r="K471" s="32" t="inlineStr">
        <is>
          <t>-</t>
        </is>
      </c>
      <c r="L471" s="32" t="n"/>
      <c r="M471" s="28">
        <f>IF(OR(LEFT(J471,2)="보류", LEFT(J471,4)="복습대기", LEFT(J471,3)="복습1", LEFT(J471,3)="복습2"), MAX($M$3:M470)+1, "")</f>
        <v/>
      </c>
      <c r="N471" s="28" t="inlineStr">
        <is>
          <t>W13</t>
        </is>
      </c>
      <c r="O471" s="36" t="n">
        <v>46344</v>
      </c>
      <c r="P471" s="30">
        <f>IF(F471&lt;&gt;"","✅ 완료",IF(O471="","-",IF(TODAY()&gt;O471,"🚨 지연","⏳ 예정")))</f>
        <v/>
      </c>
      <c r="Q471" s="7" t="n"/>
      <c r="R471" s="7" t="n"/>
      <c r="S471" s="7" t="n"/>
      <c r="T471" s="7" t="n"/>
      <c r="U471" s="7" t="n"/>
      <c r="V471" s="7" t="n"/>
      <c r="W471" s="7" t="n"/>
      <c r="X471" s="7" t="n"/>
    </row>
    <row r="472" ht="21.75" customHeight="1" s="209">
      <c r="A472" s="28" t="n">
        <v>469</v>
      </c>
      <c r="B472" s="28" t="inlineStr">
        <is>
          <t>8501</t>
        </is>
      </c>
      <c r="C472" s="30" t="inlineStr">
        <is>
          <t>D4</t>
        </is>
      </c>
      <c r="D472" s="32" t="inlineStr">
        <is>
          <t>은비의 동전 뒤집기</t>
        </is>
      </c>
      <c r="E472" s="28" t="inlineStr">
        <is>
          <t>DFS / BFS / 백트래킹</t>
        </is>
      </c>
      <c r="F472" s="28" t="n"/>
      <c r="G472" s="28" t="n"/>
      <c r="H472" s="28" t="n"/>
      <c r="I472" s="28" t="n"/>
      <c r="J472" s="54">
        <f>IF(OR(ISNUMBER(SEARCH("보류",K472)),ISNUMBER(SEARCH("미룸",K472)),ISNUMBER(SEARCH("나중에",K472)),ISNUMBER(SEARCH("보류",L472)),ISNUMBER(SEARCH("미룸",L472)),ISNUMBER(SEARCH("나중에",L472))),"보류(나중에 풀기)",IF(AND(F472="",G472="",H472="",I472=""),"미완료",IF(I472&lt;&gt;"","복습3(마스터)",IF(H472&lt;&gt;"","복습2",IF(G472&lt;&gt;"","복습1",IF(ISNUMBER(SEARCH("제미나이",K472)),"복습대기(AI도움)",IF(ISNUMBER(SEARCH("간당간당",K472)),"복습대기(간당간당)",IF(OR(ISNUMBER(SEARCH("아이디어",K472)),ISNUMBER(SEARCH("시간초과",K472)),ISNUMBER(SEARCH("자료구조",K472)),ISNUMBER(SEARCH("경계값",K472)),ISNUMBER(SEARCH("다른 풀이",K472)),ISNUMBER(SEARCH("또풀기",K472))),"복습대기",IF(OR(ISNUMBER(SEARCH("복습필요없음",K472)),ISNUMBER(SEARCH("자력완벽",K472))),"품(복습불필요)",IF(F472&lt;&gt;"","품","미완료"))))))))))</f>
        <v/>
      </c>
      <c r="K472" s="32" t="inlineStr">
        <is>
          <t>-</t>
        </is>
      </c>
      <c r="L472" s="32" t="n"/>
      <c r="M472" s="28">
        <f>IF(OR(LEFT(J472,2)="보류", LEFT(J472,4)="복습대기", LEFT(J472,3)="복습1", LEFT(J472,3)="복습2"), MAX($M$3:M471)+1, "")</f>
        <v/>
      </c>
      <c r="N472" s="28" t="inlineStr">
        <is>
          <t>W13</t>
        </is>
      </c>
      <c r="O472" s="36" t="n">
        <v>46344</v>
      </c>
      <c r="P472" s="30">
        <f>IF(F472&lt;&gt;"","✅ 완료",IF(O472="","-",IF(TODAY()&gt;O472,"🚨 지연","⏳ 예정")))</f>
        <v/>
      </c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 ht="21.75" customHeight="1" s="209">
      <c r="A473" s="28" t="n">
        <v>470</v>
      </c>
      <c r="B473" s="28" t="inlineStr">
        <is>
          <t>8567</t>
        </is>
      </c>
      <c r="C473" s="30" t="inlineStr">
        <is>
          <t>D4</t>
        </is>
      </c>
      <c r="D473" s="32" t="inlineStr">
        <is>
          <t>약수의 개수가 많은 수</t>
        </is>
      </c>
      <c r="E473" s="28" t="inlineStr">
        <is>
          <t>수학 / 정수론</t>
        </is>
      </c>
      <c r="F473" s="28" t="n"/>
      <c r="G473" s="28" t="n"/>
      <c r="H473" s="28" t="n"/>
      <c r="I473" s="28" t="n"/>
      <c r="J473" s="54">
        <f>IF(OR(ISNUMBER(SEARCH("보류",K473)),ISNUMBER(SEARCH("미룸",K473)),ISNUMBER(SEARCH("나중에",K473)),ISNUMBER(SEARCH("보류",L473)),ISNUMBER(SEARCH("미룸",L473)),ISNUMBER(SEARCH("나중에",L473))),"보류(나중에 풀기)",IF(AND(F473="",G473="",H473="",I473=""),"미완료",IF(I473&lt;&gt;"","복습3(마스터)",IF(H473&lt;&gt;"","복습2",IF(G473&lt;&gt;"","복습1",IF(ISNUMBER(SEARCH("제미나이",K473)),"복습대기(AI도움)",IF(ISNUMBER(SEARCH("간당간당",K473)),"복습대기(간당간당)",IF(OR(ISNUMBER(SEARCH("아이디어",K473)),ISNUMBER(SEARCH("시간초과",K473)),ISNUMBER(SEARCH("자료구조",K473)),ISNUMBER(SEARCH("경계값",K473)),ISNUMBER(SEARCH("다른 풀이",K473)),ISNUMBER(SEARCH("또풀기",K473))),"복습대기",IF(OR(ISNUMBER(SEARCH("복습필요없음",K473)),ISNUMBER(SEARCH("자력완벽",K473))),"품(복습불필요)",IF(F473&lt;&gt;"","품","미완료"))))))))))</f>
        <v/>
      </c>
      <c r="K473" s="32" t="inlineStr">
        <is>
          <t>-</t>
        </is>
      </c>
      <c r="L473" s="32" t="n"/>
      <c r="M473" s="28">
        <f>IF(OR(LEFT(J473,2)="보류", LEFT(J473,4)="복습대기", LEFT(J473,3)="복습1", LEFT(J473,3)="복습2"), MAX($M$3:M472)+1, "")</f>
        <v/>
      </c>
      <c r="N473" s="28" t="inlineStr">
        <is>
          <t>W13</t>
        </is>
      </c>
      <c r="O473" s="36" t="n">
        <v>46344</v>
      </c>
      <c r="P473" s="30">
        <f>IF(F473&lt;&gt;"","✅ 완료",IF(O473="","-",IF(TODAY()&gt;O473,"🚨 지연","⏳ 예정")))</f>
        <v/>
      </c>
      <c r="Q473" s="7" t="n"/>
      <c r="R473" s="7" t="n"/>
      <c r="S473" s="7" t="n"/>
      <c r="T473" s="7" t="n"/>
      <c r="U473" s="7" t="n"/>
      <c r="V473" s="7" t="n"/>
      <c r="W473" s="7" t="n"/>
      <c r="X473" s="7" t="n"/>
    </row>
    <row r="474" ht="21.75" customHeight="1" s="209">
      <c r="A474" s="28" t="n">
        <v>471</v>
      </c>
      <c r="B474" s="28" t="inlineStr">
        <is>
          <t>8659</t>
        </is>
      </c>
      <c r="C474" s="30" t="inlineStr">
        <is>
          <t>D4</t>
        </is>
      </c>
      <c r="D474" s="32" t="inlineStr">
        <is>
          <t>GCD</t>
        </is>
      </c>
      <c r="E474" s="28" t="inlineStr">
        <is>
          <t>DFS / BFS / 백트래킹</t>
        </is>
      </c>
      <c r="F474" s="28" t="n"/>
      <c r="G474" s="28" t="n"/>
      <c r="H474" s="28" t="n"/>
      <c r="I474" s="28" t="n"/>
      <c r="J474" s="54">
        <f>IF(OR(ISNUMBER(SEARCH("보류",K474)),ISNUMBER(SEARCH("미룸",K474)),ISNUMBER(SEARCH("나중에",K474)),ISNUMBER(SEARCH("보류",L474)),ISNUMBER(SEARCH("미룸",L474)),ISNUMBER(SEARCH("나중에",L474))),"보류(나중에 풀기)",IF(AND(F474="",G474="",H474="",I474=""),"미완료",IF(I474&lt;&gt;"","복습3(마스터)",IF(H474&lt;&gt;"","복습2",IF(G474&lt;&gt;"","복습1",IF(ISNUMBER(SEARCH("제미나이",K474)),"복습대기(AI도움)",IF(ISNUMBER(SEARCH("간당간당",K474)),"복습대기(간당간당)",IF(OR(ISNUMBER(SEARCH("아이디어",K474)),ISNUMBER(SEARCH("시간초과",K474)),ISNUMBER(SEARCH("자료구조",K474)),ISNUMBER(SEARCH("경계값",K474)),ISNUMBER(SEARCH("다른 풀이",K474)),ISNUMBER(SEARCH("또풀기",K474))),"복습대기",IF(OR(ISNUMBER(SEARCH("복습필요없음",K474)),ISNUMBER(SEARCH("자력완벽",K474))),"품(복습불필요)",IF(F474&lt;&gt;"","품","미완료"))))))))))</f>
        <v/>
      </c>
      <c r="K474" s="32" t="inlineStr">
        <is>
          <t>-</t>
        </is>
      </c>
      <c r="L474" s="32" t="n"/>
      <c r="M474" s="28">
        <f>IF(OR(LEFT(J474,2)="보류", LEFT(J474,4)="복습대기", LEFT(J474,3)="복습1", LEFT(J474,3)="복습2"), MAX($M$3:M473)+1, "")</f>
        <v/>
      </c>
      <c r="N474" s="28" t="inlineStr">
        <is>
          <t>W13</t>
        </is>
      </c>
      <c r="O474" s="36" t="n">
        <v>46344</v>
      </c>
      <c r="P474" s="30">
        <f>IF(F474&lt;&gt;"","✅ 완료",IF(O474="","-",IF(TODAY()&gt;O474,"🚨 지연","⏳ 예정")))</f>
        <v/>
      </c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 ht="21.75" customHeight="1" s="209">
      <c r="A475" s="28" t="n">
        <v>472</v>
      </c>
      <c r="B475" s="28" t="inlineStr">
        <is>
          <t>8676</t>
        </is>
      </c>
      <c r="C475" s="30" t="inlineStr">
        <is>
          <t>D4</t>
        </is>
      </c>
      <c r="D475" s="32" t="inlineStr">
        <is>
          <t>동현이와 한결이는 아이돌</t>
        </is>
      </c>
      <c r="E475" s="28" t="inlineStr">
        <is>
          <t>DFS / BFS / 백트래킹</t>
        </is>
      </c>
      <c r="F475" s="28" t="n"/>
      <c r="G475" s="28" t="n"/>
      <c r="H475" s="28" t="n"/>
      <c r="I475" s="28" t="n"/>
      <c r="J475" s="54">
        <f>IF(OR(ISNUMBER(SEARCH("보류",K475)),ISNUMBER(SEARCH("미룸",K475)),ISNUMBER(SEARCH("나중에",K475)),ISNUMBER(SEARCH("보류",L475)),ISNUMBER(SEARCH("미룸",L475)),ISNUMBER(SEARCH("나중에",L475))),"보류(나중에 풀기)",IF(AND(F475="",G475="",H475="",I475=""),"미완료",IF(I475&lt;&gt;"","복습3(마스터)",IF(H475&lt;&gt;"","복습2",IF(G475&lt;&gt;"","복습1",IF(ISNUMBER(SEARCH("제미나이",K475)),"복습대기(AI도움)",IF(ISNUMBER(SEARCH("간당간당",K475)),"복습대기(간당간당)",IF(OR(ISNUMBER(SEARCH("아이디어",K475)),ISNUMBER(SEARCH("시간초과",K475)),ISNUMBER(SEARCH("자료구조",K475)),ISNUMBER(SEARCH("경계값",K475)),ISNUMBER(SEARCH("다른 풀이",K475)),ISNUMBER(SEARCH("또풀기",K475))),"복습대기",IF(OR(ISNUMBER(SEARCH("복습필요없음",K475)),ISNUMBER(SEARCH("자력완벽",K475))),"품(복습불필요)",IF(F475&lt;&gt;"","품","미완료"))))))))))</f>
        <v/>
      </c>
      <c r="K475" s="32" t="inlineStr">
        <is>
          <t>-</t>
        </is>
      </c>
      <c r="L475" s="32" t="n"/>
      <c r="M475" s="28">
        <f>IF(OR(LEFT(J475,2)="보류", LEFT(J475,4)="복습대기", LEFT(J475,3)="복습1", LEFT(J475,3)="복습2"), MAX($M$3:M474)+1, "")</f>
        <v/>
      </c>
      <c r="N475" s="28" t="inlineStr">
        <is>
          <t>W13</t>
        </is>
      </c>
      <c r="O475" s="36" t="n">
        <v>46345</v>
      </c>
      <c r="P475" s="30">
        <f>IF(F475&lt;&gt;"","✅ 완료",IF(O475="","-",IF(TODAY()&gt;O475,"🚨 지연","⏳ 예정")))</f>
        <v/>
      </c>
      <c r="Q475" s="7" t="n"/>
      <c r="R475" s="7" t="n"/>
      <c r="S475" s="7" t="n"/>
      <c r="T475" s="7" t="n"/>
      <c r="U475" s="7" t="n"/>
      <c r="V475" s="7" t="n"/>
      <c r="W475" s="7" t="n"/>
      <c r="X475" s="7" t="n"/>
    </row>
    <row r="476" ht="21.75" customHeight="1" s="209">
      <c r="A476" s="28" t="n">
        <v>473</v>
      </c>
      <c r="B476" s="28" t="inlineStr">
        <is>
          <t>8743</t>
        </is>
      </c>
      <c r="C476" s="30" t="inlineStr">
        <is>
          <t>D4</t>
        </is>
      </c>
      <c r="D476" s="32" t="inlineStr">
        <is>
          <t>경재와 대환이의 돌게임</t>
        </is>
      </c>
      <c r="E476" s="28" t="inlineStr">
        <is>
          <t>시뮬레이션 / 구현</t>
        </is>
      </c>
      <c r="F476" s="28" t="n"/>
      <c r="G476" s="28" t="n"/>
      <c r="H476" s="28" t="n"/>
      <c r="I476" s="28" t="n"/>
      <c r="J476" s="54">
        <f>IF(OR(ISNUMBER(SEARCH("보류",K476)),ISNUMBER(SEARCH("미룸",K476)),ISNUMBER(SEARCH("나중에",K476)),ISNUMBER(SEARCH("보류",L476)),ISNUMBER(SEARCH("미룸",L476)),ISNUMBER(SEARCH("나중에",L476))),"보류(나중에 풀기)",IF(AND(F476="",G476="",H476="",I476=""),"미완료",IF(I476&lt;&gt;"","복습3(마스터)",IF(H476&lt;&gt;"","복습2",IF(G476&lt;&gt;"","복습1",IF(ISNUMBER(SEARCH("제미나이",K476)),"복습대기(AI도움)",IF(ISNUMBER(SEARCH("간당간당",K476)),"복습대기(간당간당)",IF(OR(ISNUMBER(SEARCH("아이디어",K476)),ISNUMBER(SEARCH("시간초과",K476)),ISNUMBER(SEARCH("자료구조",K476)),ISNUMBER(SEARCH("경계값",K476)),ISNUMBER(SEARCH("다른 풀이",K476)),ISNUMBER(SEARCH("또풀기",K476))),"복습대기",IF(OR(ISNUMBER(SEARCH("복습필요없음",K476)),ISNUMBER(SEARCH("자력완벽",K476))),"품(복습불필요)",IF(F476&lt;&gt;"","품","미완료"))))))))))</f>
        <v/>
      </c>
      <c r="K476" s="32" t="inlineStr">
        <is>
          <t>-</t>
        </is>
      </c>
      <c r="L476" s="32" t="n"/>
      <c r="M476" s="28">
        <f>IF(OR(LEFT(J476,2)="보류", LEFT(J476,4)="복습대기", LEFT(J476,3)="복습1", LEFT(J476,3)="복습2"), MAX($M$3:M475)+1, "")</f>
        <v/>
      </c>
      <c r="N476" s="28" t="inlineStr">
        <is>
          <t>W13</t>
        </is>
      </c>
      <c r="O476" s="36" t="n">
        <v>46345</v>
      </c>
      <c r="P476" s="30">
        <f>IF(F476&lt;&gt;"","✅ 완료",IF(O476="","-",IF(TODAY()&gt;O476,"🚨 지연","⏳ 예정")))</f>
        <v/>
      </c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 ht="21.75" customHeight="1" s="209">
      <c r="A477" s="28" t="n">
        <v>474</v>
      </c>
      <c r="B477" s="28" t="inlineStr">
        <is>
          <t>8771</t>
        </is>
      </c>
      <c r="C477" s="30" t="inlineStr">
        <is>
          <t>D4</t>
        </is>
      </c>
      <c r="D477" s="32" t="inlineStr">
        <is>
          <t>덧셈 문제</t>
        </is>
      </c>
      <c r="E477" s="28" t="inlineStr">
        <is>
          <t>DFS / BFS / 백트래킹</t>
        </is>
      </c>
      <c r="F477" s="28" t="n"/>
      <c r="G477" s="28" t="n"/>
      <c r="H477" s="28" t="n"/>
      <c r="I477" s="28" t="n"/>
      <c r="J477" s="54">
        <f>IF(OR(ISNUMBER(SEARCH("보류",K477)),ISNUMBER(SEARCH("미룸",K477)),ISNUMBER(SEARCH("나중에",K477)),ISNUMBER(SEARCH("보류",L477)),ISNUMBER(SEARCH("미룸",L477)),ISNUMBER(SEARCH("나중에",L477))),"보류(나중에 풀기)",IF(AND(F477="",G477="",H477="",I477=""),"미완료",IF(I477&lt;&gt;"","복습3(마스터)",IF(H477&lt;&gt;"","복습2",IF(G477&lt;&gt;"","복습1",IF(ISNUMBER(SEARCH("제미나이",K477)),"복습대기(AI도움)",IF(ISNUMBER(SEARCH("간당간당",K477)),"복습대기(간당간당)",IF(OR(ISNUMBER(SEARCH("아이디어",K477)),ISNUMBER(SEARCH("시간초과",K477)),ISNUMBER(SEARCH("자료구조",K477)),ISNUMBER(SEARCH("경계값",K477)),ISNUMBER(SEARCH("다른 풀이",K477)),ISNUMBER(SEARCH("또풀기",K477))),"복습대기",IF(OR(ISNUMBER(SEARCH("복습필요없음",K477)),ISNUMBER(SEARCH("자력완벽",K477))),"품(복습불필요)",IF(F477&lt;&gt;"","품","미완료"))))))))))</f>
        <v/>
      </c>
      <c r="K477" s="32" t="inlineStr">
        <is>
          <t>-</t>
        </is>
      </c>
      <c r="L477" s="32" t="n"/>
      <c r="M477" s="28">
        <f>IF(OR(LEFT(J477,2)="보류", LEFT(J477,4)="복습대기", LEFT(J477,3)="복습1", LEFT(J477,3)="복습2"), MAX($M$3:M476)+1, "")</f>
        <v/>
      </c>
      <c r="N477" s="28" t="inlineStr">
        <is>
          <t>W13</t>
        </is>
      </c>
      <c r="O477" s="36" t="n">
        <v>46345</v>
      </c>
      <c r="P477" s="30">
        <f>IF(F477&lt;&gt;"","✅ 완료",IF(O477="","-",IF(TODAY()&gt;O477,"🚨 지연","⏳ 예정")))</f>
        <v/>
      </c>
      <c r="Q477" s="7" t="n"/>
      <c r="R477" s="7" t="n"/>
      <c r="S477" s="7" t="n"/>
      <c r="T477" s="7" t="n"/>
      <c r="U477" s="7" t="n"/>
      <c r="V477" s="7" t="n"/>
      <c r="W477" s="7" t="n"/>
      <c r="X477" s="7" t="n"/>
    </row>
    <row r="478" ht="21.75" customHeight="1" s="209">
      <c r="A478" s="28" t="n">
        <v>475</v>
      </c>
      <c r="B478" s="28" t="inlineStr">
        <is>
          <t>8822</t>
        </is>
      </c>
      <c r="C478" s="30" t="inlineStr">
        <is>
          <t>D4</t>
        </is>
      </c>
      <c r="D478" s="32" t="inlineStr">
        <is>
          <t>홀수 중간값 피라미드 1</t>
        </is>
      </c>
      <c r="E478" s="28" t="inlineStr">
        <is>
          <t>DFS / BFS / 백트래킹</t>
        </is>
      </c>
      <c r="F478" s="28" t="n"/>
      <c r="G478" s="28" t="n"/>
      <c r="H478" s="28" t="n"/>
      <c r="I478" s="28" t="n"/>
      <c r="J478" s="54">
        <f>IF(OR(ISNUMBER(SEARCH("보류",K478)),ISNUMBER(SEARCH("미룸",K478)),ISNUMBER(SEARCH("나중에",K478)),ISNUMBER(SEARCH("보류",L478)),ISNUMBER(SEARCH("미룸",L478)),ISNUMBER(SEARCH("나중에",L478))),"보류(나중에 풀기)",IF(AND(F478="",G478="",H478="",I478=""),"미완료",IF(I478&lt;&gt;"","복습3(마스터)",IF(H478&lt;&gt;"","복습2",IF(G478&lt;&gt;"","복습1",IF(ISNUMBER(SEARCH("제미나이",K478)),"복습대기(AI도움)",IF(ISNUMBER(SEARCH("간당간당",K478)),"복습대기(간당간당)",IF(OR(ISNUMBER(SEARCH("아이디어",K478)),ISNUMBER(SEARCH("시간초과",K478)),ISNUMBER(SEARCH("자료구조",K478)),ISNUMBER(SEARCH("경계값",K478)),ISNUMBER(SEARCH("다른 풀이",K478)),ISNUMBER(SEARCH("또풀기",K478))),"복습대기",IF(OR(ISNUMBER(SEARCH("복습필요없음",K478)),ISNUMBER(SEARCH("자력완벽",K478))),"품(복습불필요)",IF(F478&lt;&gt;"","품","미완료"))))))))))</f>
        <v/>
      </c>
      <c r="K478" s="32" t="inlineStr">
        <is>
          <t>-</t>
        </is>
      </c>
      <c r="L478" s="32" t="n"/>
      <c r="M478" s="28">
        <f>IF(OR(LEFT(J478,2)="보류", LEFT(J478,4)="복습대기", LEFT(J478,3)="복습1", LEFT(J478,3)="복습2"), MAX($M$3:M477)+1, "")</f>
        <v/>
      </c>
      <c r="N478" s="28" t="inlineStr">
        <is>
          <t>W13</t>
        </is>
      </c>
      <c r="O478" s="36" t="n">
        <v>46345</v>
      </c>
      <c r="P478" s="30">
        <f>IF(F478&lt;&gt;"","✅ 완료",IF(O478="","-",IF(TODAY()&gt;O478,"🚨 지연","⏳ 예정")))</f>
        <v/>
      </c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 ht="21.75" customHeight="1" s="209">
      <c r="A479" s="28" t="n">
        <v>476</v>
      </c>
      <c r="B479" s="28" t="inlineStr">
        <is>
          <t>8852</t>
        </is>
      </c>
      <c r="C479" s="30" t="inlineStr">
        <is>
          <t>D4</t>
        </is>
      </c>
      <c r="D479" s="32" t="inlineStr">
        <is>
          <t>단어 단위 회문</t>
        </is>
      </c>
      <c r="E479" s="28" t="inlineStr">
        <is>
          <t>문자열 / 파싱</t>
        </is>
      </c>
      <c r="F479" s="28" t="n"/>
      <c r="G479" s="28" t="n"/>
      <c r="H479" s="28" t="n"/>
      <c r="I479" s="28" t="n"/>
      <c r="J479" s="54">
        <f>IF(OR(ISNUMBER(SEARCH("보류",K479)),ISNUMBER(SEARCH("미룸",K479)),ISNUMBER(SEARCH("나중에",K479)),ISNUMBER(SEARCH("보류",L479)),ISNUMBER(SEARCH("미룸",L479)),ISNUMBER(SEARCH("나중에",L479))),"보류(나중에 풀기)",IF(AND(F479="",G479="",H479="",I479=""),"미완료",IF(I479&lt;&gt;"","복습3(마스터)",IF(H479&lt;&gt;"","복습2",IF(G479&lt;&gt;"","복습1",IF(ISNUMBER(SEARCH("제미나이",K479)),"복습대기(AI도움)",IF(ISNUMBER(SEARCH("간당간당",K479)),"복습대기(간당간당)",IF(OR(ISNUMBER(SEARCH("아이디어",K479)),ISNUMBER(SEARCH("시간초과",K479)),ISNUMBER(SEARCH("자료구조",K479)),ISNUMBER(SEARCH("경계값",K479)),ISNUMBER(SEARCH("다른 풀이",K479)),ISNUMBER(SEARCH("또풀기",K479))),"복습대기",IF(OR(ISNUMBER(SEARCH("복습필요없음",K479)),ISNUMBER(SEARCH("자력완벽",K479))),"품(복습불필요)",IF(F479&lt;&gt;"","품","미완료"))))))))))</f>
        <v/>
      </c>
      <c r="K479" s="32" t="inlineStr">
        <is>
          <t>-</t>
        </is>
      </c>
      <c r="L479" s="32" t="n"/>
      <c r="M479" s="28">
        <f>IF(OR(LEFT(J479,2)="보류", LEFT(J479,4)="복습대기", LEFT(J479,3)="복습1", LEFT(J479,3)="복습2"), MAX($M$3:M478)+1, "")</f>
        <v/>
      </c>
      <c r="N479" s="28" t="inlineStr">
        <is>
          <t>W13</t>
        </is>
      </c>
      <c r="O479" s="36" t="n">
        <v>46345</v>
      </c>
      <c r="P479" s="30">
        <f>IF(F479&lt;&gt;"","✅ 완료",IF(O479="","-",IF(TODAY()&gt;O479,"🚨 지연","⏳ 예정")))</f>
        <v/>
      </c>
      <c r="Q479" s="7" t="n"/>
      <c r="R479" s="7" t="n"/>
      <c r="S479" s="7" t="n"/>
      <c r="T479" s="7" t="n"/>
      <c r="U479" s="7" t="n"/>
      <c r="V479" s="7" t="n"/>
      <c r="W479" s="7" t="n"/>
      <c r="X479" s="7" t="n"/>
    </row>
    <row r="480" ht="21.75" customHeight="1" s="209">
      <c r="A480" s="28" t="n">
        <v>477</v>
      </c>
      <c r="B480" s="28" t="inlineStr">
        <is>
          <t>8898</t>
        </is>
      </c>
      <c r="C480" s="30" t="inlineStr">
        <is>
          <t>D4</t>
        </is>
      </c>
      <c r="D480" s="32" t="inlineStr">
        <is>
          <t>3차원 농부</t>
        </is>
      </c>
      <c r="E480" s="28" t="inlineStr">
        <is>
          <t>DFS / BFS / 백트래킹</t>
        </is>
      </c>
      <c r="F480" s="28" t="n"/>
      <c r="G480" s="28" t="n"/>
      <c r="H480" s="28" t="n"/>
      <c r="I480" s="28" t="n"/>
      <c r="J480" s="54">
        <f>IF(OR(ISNUMBER(SEARCH("보류",K480)),ISNUMBER(SEARCH("미룸",K480)),ISNUMBER(SEARCH("나중에",K480)),ISNUMBER(SEARCH("보류",L480)),ISNUMBER(SEARCH("미룸",L480)),ISNUMBER(SEARCH("나중에",L480))),"보류(나중에 풀기)",IF(AND(F480="",G480="",H480="",I480=""),"미완료",IF(I480&lt;&gt;"","복습3(마스터)",IF(H480&lt;&gt;"","복습2",IF(G480&lt;&gt;"","복습1",IF(ISNUMBER(SEARCH("제미나이",K480)),"복습대기(AI도움)",IF(ISNUMBER(SEARCH("간당간당",K480)),"복습대기(간당간당)",IF(OR(ISNUMBER(SEARCH("아이디어",K480)),ISNUMBER(SEARCH("시간초과",K480)),ISNUMBER(SEARCH("자료구조",K480)),ISNUMBER(SEARCH("경계값",K480)),ISNUMBER(SEARCH("다른 풀이",K480)),ISNUMBER(SEARCH("또풀기",K480))),"복습대기",IF(OR(ISNUMBER(SEARCH("복습필요없음",K480)),ISNUMBER(SEARCH("자력완벽",K480))),"품(복습불필요)",IF(F480&lt;&gt;"","품","미완료"))))))))))</f>
        <v/>
      </c>
      <c r="K480" s="32" t="inlineStr">
        <is>
          <t>-</t>
        </is>
      </c>
      <c r="L480" s="32" t="n"/>
      <c r="M480" s="28">
        <f>IF(OR(LEFT(J480,2)="보류", LEFT(J480,4)="복습대기", LEFT(J480,3)="복습1", LEFT(J480,3)="복습2"), MAX($M$3:M479)+1, "")</f>
        <v/>
      </c>
      <c r="N480" s="28" t="inlineStr">
        <is>
          <t>W13</t>
        </is>
      </c>
      <c r="O480" s="36" t="n">
        <v>46345</v>
      </c>
      <c r="P480" s="30">
        <f>IF(F480&lt;&gt;"","✅ 완료",IF(O480="","-",IF(TODAY()&gt;O480,"🚨 지연","⏳ 예정")))</f>
        <v/>
      </c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 ht="21.75" customHeight="1" s="209">
      <c r="A481" s="28" t="n">
        <v>478</v>
      </c>
      <c r="B481" s="28" t="inlineStr">
        <is>
          <t>8934</t>
        </is>
      </c>
      <c r="C481" s="30" t="inlineStr">
        <is>
          <t>D4</t>
        </is>
      </c>
      <c r="D481" s="32" t="inlineStr">
        <is>
          <t>팰린드롬 공포증</t>
        </is>
      </c>
      <c r="E481" s="28" t="inlineStr">
        <is>
          <t>문자열 / 파싱</t>
        </is>
      </c>
      <c r="F481" s="28" t="n"/>
      <c r="G481" s="28" t="n"/>
      <c r="H481" s="28" t="n"/>
      <c r="I481" s="28" t="n"/>
      <c r="J481" s="54">
        <f>IF(OR(ISNUMBER(SEARCH("보류",K481)),ISNUMBER(SEARCH("미룸",K481)),ISNUMBER(SEARCH("나중에",K481)),ISNUMBER(SEARCH("보류",L481)),ISNUMBER(SEARCH("미룸",L481)),ISNUMBER(SEARCH("나중에",L481))),"보류(나중에 풀기)",IF(AND(F481="",G481="",H481="",I481=""),"미완료",IF(I481&lt;&gt;"","복습3(마스터)",IF(H481&lt;&gt;"","복습2",IF(G481&lt;&gt;"","복습1",IF(ISNUMBER(SEARCH("제미나이",K481)),"복습대기(AI도움)",IF(ISNUMBER(SEARCH("간당간당",K481)),"복습대기(간당간당)",IF(OR(ISNUMBER(SEARCH("아이디어",K481)),ISNUMBER(SEARCH("시간초과",K481)),ISNUMBER(SEARCH("자료구조",K481)),ISNUMBER(SEARCH("경계값",K481)),ISNUMBER(SEARCH("다른 풀이",K481)),ISNUMBER(SEARCH("또풀기",K481))),"복습대기",IF(OR(ISNUMBER(SEARCH("복습필요없음",K481)),ISNUMBER(SEARCH("자력완벽",K481))),"품(복습불필요)",IF(F481&lt;&gt;"","품","미완료"))))))))))</f>
        <v/>
      </c>
      <c r="K481" s="32" t="inlineStr">
        <is>
          <t>-</t>
        </is>
      </c>
      <c r="L481" s="32" t="n"/>
      <c r="M481" s="28">
        <f>IF(OR(LEFT(J481,2)="보류", LEFT(J481,4)="복습대기", LEFT(J481,3)="복습1", LEFT(J481,3)="복습2"), MAX($M$3:M480)+1, "")</f>
        <v/>
      </c>
      <c r="N481" s="28" t="inlineStr">
        <is>
          <t>W13</t>
        </is>
      </c>
      <c r="O481" s="36" t="n">
        <v>46345</v>
      </c>
      <c r="P481" s="30">
        <f>IF(F481&lt;&gt;"","✅ 완료",IF(O481="","-",IF(TODAY()&gt;O481,"🚨 지연","⏳ 예정")))</f>
        <v/>
      </c>
      <c r="Q481" s="7" t="n"/>
      <c r="R481" s="7" t="n"/>
      <c r="S481" s="7" t="n"/>
      <c r="T481" s="7" t="n"/>
      <c r="U481" s="7" t="n"/>
      <c r="V481" s="7" t="n"/>
      <c r="W481" s="7" t="n"/>
      <c r="X481" s="7" t="n"/>
    </row>
    <row r="482" ht="21.75" customHeight="1" s="209">
      <c r="A482" s="28" t="n">
        <v>479</v>
      </c>
      <c r="B482" s="28" t="inlineStr">
        <is>
          <t>8993</t>
        </is>
      </c>
      <c r="C482" s="30" t="inlineStr">
        <is>
          <t>D4</t>
        </is>
      </c>
      <c r="D482" s="32" t="inlineStr">
        <is>
          <t>하지 추측</t>
        </is>
      </c>
      <c r="E482" s="28" t="inlineStr">
        <is>
          <t>DFS / BFS / 백트래킹</t>
        </is>
      </c>
      <c r="F482" s="28" t="n"/>
      <c r="G482" s="28" t="n"/>
      <c r="H482" s="28" t="n"/>
      <c r="I482" s="28" t="n"/>
      <c r="J482" s="54">
        <f>IF(OR(ISNUMBER(SEARCH("보류",K482)),ISNUMBER(SEARCH("미룸",K482)),ISNUMBER(SEARCH("나중에",K482)),ISNUMBER(SEARCH("보류",L482)),ISNUMBER(SEARCH("미룸",L482)),ISNUMBER(SEARCH("나중에",L482))),"보류(나중에 풀기)",IF(AND(F482="",G482="",H482="",I482=""),"미완료",IF(I482&lt;&gt;"","복습3(마스터)",IF(H482&lt;&gt;"","복습2",IF(G482&lt;&gt;"","복습1",IF(ISNUMBER(SEARCH("제미나이",K482)),"복습대기(AI도움)",IF(ISNUMBER(SEARCH("간당간당",K482)),"복습대기(간당간당)",IF(OR(ISNUMBER(SEARCH("아이디어",K482)),ISNUMBER(SEARCH("시간초과",K482)),ISNUMBER(SEARCH("자료구조",K482)),ISNUMBER(SEARCH("경계값",K482)),ISNUMBER(SEARCH("다른 풀이",K482)),ISNUMBER(SEARCH("또풀기",K482))),"복습대기",IF(OR(ISNUMBER(SEARCH("복습필요없음",K482)),ISNUMBER(SEARCH("자력완벽",K482))),"품(복습불필요)",IF(F482&lt;&gt;"","품","미완료"))))))))))</f>
        <v/>
      </c>
      <c r="K482" s="32" t="inlineStr">
        <is>
          <t>-</t>
        </is>
      </c>
      <c r="L482" s="32" t="n"/>
      <c r="M482" s="28">
        <f>IF(OR(LEFT(J482,2)="보류", LEFT(J482,4)="복습대기", LEFT(J482,3)="복습1", LEFT(J482,3)="복습2"), MAX($M$3:M481)+1, "")</f>
        <v/>
      </c>
      <c r="N482" s="28" t="inlineStr">
        <is>
          <t>W13</t>
        </is>
      </c>
      <c r="O482" s="36" t="n">
        <v>46346</v>
      </c>
      <c r="P482" s="30">
        <f>IF(F482&lt;&gt;"","✅ 완료",IF(O482="","-",IF(TODAY()&gt;O482,"🚨 지연","⏳ 예정")))</f>
        <v/>
      </c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 ht="21.75" customHeight="1" s="209">
      <c r="A483" s="28" t="n">
        <v>480</v>
      </c>
      <c r="B483" s="28" t="inlineStr">
        <is>
          <t>8998</t>
        </is>
      </c>
      <c r="C483" s="30" t="inlineStr">
        <is>
          <t>D4</t>
        </is>
      </c>
      <c r="D483" s="32" t="inlineStr">
        <is>
          <t>세운이는 내일 할거야</t>
        </is>
      </c>
      <c r="E483" s="28" t="inlineStr">
        <is>
          <t>DFS / BFS / 백트래킹</t>
        </is>
      </c>
      <c r="F483" s="28" t="n"/>
      <c r="G483" s="28" t="n"/>
      <c r="H483" s="28" t="n"/>
      <c r="I483" s="28" t="n"/>
      <c r="J483" s="54">
        <f>IF(OR(ISNUMBER(SEARCH("보류",K483)),ISNUMBER(SEARCH("미룸",K483)),ISNUMBER(SEARCH("나중에",K483)),ISNUMBER(SEARCH("보류",L483)),ISNUMBER(SEARCH("미룸",L483)),ISNUMBER(SEARCH("나중에",L483))),"보류(나중에 풀기)",IF(AND(F483="",G483="",H483="",I483=""),"미완료",IF(I483&lt;&gt;"","복습3(마스터)",IF(H483&lt;&gt;"","복습2",IF(G483&lt;&gt;"","복습1",IF(ISNUMBER(SEARCH("제미나이",K483)),"복습대기(AI도움)",IF(ISNUMBER(SEARCH("간당간당",K483)),"복습대기(간당간당)",IF(OR(ISNUMBER(SEARCH("아이디어",K483)),ISNUMBER(SEARCH("시간초과",K483)),ISNUMBER(SEARCH("자료구조",K483)),ISNUMBER(SEARCH("경계값",K483)),ISNUMBER(SEARCH("다른 풀이",K483)),ISNUMBER(SEARCH("또풀기",K483))),"복습대기",IF(OR(ISNUMBER(SEARCH("복습필요없음",K483)),ISNUMBER(SEARCH("자력완벽",K483))),"품(복습불필요)",IF(F483&lt;&gt;"","품","미완료"))))))))))</f>
        <v/>
      </c>
      <c r="K483" s="32" t="inlineStr">
        <is>
          <t>-</t>
        </is>
      </c>
      <c r="L483" s="32" t="n"/>
      <c r="M483" s="28">
        <f>IF(OR(LEFT(J483,2)="보류", LEFT(J483,4)="복습대기", LEFT(J483,3)="복습1", LEFT(J483,3)="복습2"), MAX($M$3:M482)+1, "")</f>
        <v/>
      </c>
      <c r="N483" s="28" t="inlineStr">
        <is>
          <t>W13</t>
        </is>
      </c>
      <c r="O483" s="36" t="n">
        <v>46346</v>
      </c>
      <c r="P483" s="30">
        <f>IF(F483&lt;&gt;"","✅ 완료",IF(O483="","-",IF(TODAY()&gt;O483,"🚨 지연","⏳ 예정")))</f>
        <v/>
      </c>
      <c r="Q483" s="7" t="n"/>
      <c r="R483" s="7" t="n"/>
      <c r="S483" s="7" t="n"/>
      <c r="T483" s="7" t="n"/>
      <c r="U483" s="7" t="n"/>
      <c r="V483" s="7" t="n"/>
      <c r="W483" s="7" t="n"/>
      <c r="X483" s="7" t="n"/>
    </row>
    <row r="484" ht="21.75" customHeight="1" s="209">
      <c r="A484" s="28" t="n">
        <v>481</v>
      </c>
      <c r="B484" s="28" t="inlineStr">
        <is>
          <t>9088</t>
        </is>
      </c>
      <c r="C484" s="30" t="inlineStr">
        <is>
          <t>D4</t>
        </is>
      </c>
      <c r="D484" s="32" t="inlineStr">
        <is>
          <t>다이아몬드</t>
        </is>
      </c>
      <c r="E484" s="28" t="inlineStr">
        <is>
          <t>DFS / BFS / 백트래킹</t>
        </is>
      </c>
      <c r="F484" s="28" t="n"/>
      <c r="G484" s="28" t="n"/>
      <c r="H484" s="28" t="n"/>
      <c r="I484" s="28" t="n"/>
      <c r="J484" s="54">
        <f>IF(OR(ISNUMBER(SEARCH("보류",K484)),ISNUMBER(SEARCH("미룸",K484)),ISNUMBER(SEARCH("나중에",K484)),ISNUMBER(SEARCH("보류",L484)),ISNUMBER(SEARCH("미룸",L484)),ISNUMBER(SEARCH("나중에",L484))),"보류(나중에 풀기)",IF(AND(F484="",G484="",H484="",I484=""),"미완료",IF(I484&lt;&gt;"","복습3(마스터)",IF(H484&lt;&gt;"","복습2",IF(G484&lt;&gt;"","복습1",IF(ISNUMBER(SEARCH("제미나이",K484)),"복습대기(AI도움)",IF(ISNUMBER(SEARCH("간당간당",K484)),"복습대기(간당간당)",IF(OR(ISNUMBER(SEARCH("아이디어",K484)),ISNUMBER(SEARCH("시간초과",K484)),ISNUMBER(SEARCH("자료구조",K484)),ISNUMBER(SEARCH("경계값",K484)),ISNUMBER(SEARCH("다른 풀이",K484)),ISNUMBER(SEARCH("또풀기",K484))),"복습대기",IF(OR(ISNUMBER(SEARCH("복습필요없음",K484)),ISNUMBER(SEARCH("자력완벽",K484))),"품(복습불필요)",IF(F484&lt;&gt;"","품","미완료"))))))))))</f>
        <v/>
      </c>
      <c r="K484" s="32" t="inlineStr">
        <is>
          <t>-</t>
        </is>
      </c>
      <c r="L484" s="32" t="n"/>
      <c r="M484" s="28">
        <f>IF(OR(LEFT(J484,2)="보류", LEFT(J484,4)="복습대기", LEFT(J484,3)="복습1", LEFT(J484,3)="복습2"), MAX($M$3:M483)+1, "")</f>
        <v/>
      </c>
      <c r="N484" s="28" t="inlineStr">
        <is>
          <t>W13</t>
        </is>
      </c>
      <c r="O484" s="36" t="n">
        <v>46346</v>
      </c>
      <c r="P484" s="30">
        <f>IF(F484&lt;&gt;"","✅ 완료",IF(O484="","-",IF(TODAY()&gt;O484,"🚨 지연","⏳ 예정")))</f>
        <v/>
      </c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 ht="21.75" customHeight="1" s="209">
      <c r="A485" s="28" t="n">
        <v>482</v>
      </c>
      <c r="B485" s="28" t="inlineStr">
        <is>
          <t>9282</t>
        </is>
      </c>
      <c r="C485" s="30" t="inlineStr">
        <is>
          <t>D4</t>
        </is>
      </c>
      <c r="D485" s="32" t="inlineStr">
        <is>
          <t>초콜릿과 건포도</t>
        </is>
      </c>
      <c r="E485" s="28" t="inlineStr">
        <is>
          <t>DFS / BFS / 백트래킹</t>
        </is>
      </c>
      <c r="F485" s="28" t="n"/>
      <c r="G485" s="28" t="n"/>
      <c r="H485" s="28" t="n"/>
      <c r="I485" s="28" t="n"/>
      <c r="J485" s="54">
        <f>IF(OR(ISNUMBER(SEARCH("보류",K485)),ISNUMBER(SEARCH("미룸",K485)),ISNUMBER(SEARCH("나중에",K485)),ISNUMBER(SEARCH("보류",L485)),ISNUMBER(SEARCH("미룸",L485)),ISNUMBER(SEARCH("나중에",L485))),"보류(나중에 풀기)",IF(AND(F485="",G485="",H485="",I485=""),"미완료",IF(I485&lt;&gt;"","복습3(마스터)",IF(H485&lt;&gt;"","복습2",IF(G485&lt;&gt;"","복습1",IF(ISNUMBER(SEARCH("제미나이",K485)),"복습대기(AI도움)",IF(ISNUMBER(SEARCH("간당간당",K485)),"복습대기(간당간당)",IF(OR(ISNUMBER(SEARCH("아이디어",K485)),ISNUMBER(SEARCH("시간초과",K485)),ISNUMBER(SEARCH("자료구조",K485)),ISNUMBER(SEARCH("경계값",K485)),ISNUMBER(SEARCH("다른 풀이",K485)),ISNUMBER(SEARCH("또풀기",K485))),"복습대기",IF(OR(ISNUMBER(SEARCH("복습필요없음",K485)),ISNUMBER(SEARCH("자력완벽",K485))),"품(복습불필요)",IF(F485&lt;&gt;"","품","미완료"))))))))))</f>
        <v/>
      </c>
      <c r="K485" s="32" t="inlineStr">
        <is>
          <t>-</t>
        </is>
      </c>
      <c r="L485" s="32" t="n"/>
      <c r="M485" s="28">
        <f>IF(OR(LEFT(J485,2)="보류", LEFT(J485,4)="복습대기", LEFT(J485,3)="복습1", LEFT(J485,3)="복습2"), MAX($M$3:M484)+1, "")</f>
        <v/>
      </c>
      <c r="N485" s="28" t="inlineStr">
        <is>
          <t>W13</t>
        </is>
      </c>
      <c r="O485" s="36" t="n">
        <v>46346</v>
      </c>
      <c r="P485" s="30">
        <f>IF(F485&lt;&gt;"","✅ 완료",IF(O485="","-",IF(TODAY()&gt;O485,"🚨 지연","⏳ 예정")))</f>
        <v/>
      </c>
      <c r="Q485" s="7" t="n"/>
      <c r="R485" s="7" t="n"/>
      <c r="S485" s="7" t="n"/>
      <c r="T485" s="7" t="n"/>
      <c r="U485" s="7" t="n"/>
      <c r="V485" s="7" t="n"/>
      <c r="W485" s="7" t="n"/>
      <c r="X485" s="7" t="n"/>
    </row>
    <row r="486" ht="21.75" customHeight="1" s="209">
      <c r="A486" s="28" t="n">
        <v>483</v>
      </c>
      <c r="B486" s="28" t="inlineStr">
        <is>
          <t>9482</t>
        </is>
      </c>
      <c r="C486" s="30" t="inlineStr">
        <is>
          <t>D4</t>
        </is>
      </c>
      <c r="D486" s="32" t="inlineStr">
        <is>
          <t>전구 끄기</t>
        </is>
      </c>
      <c r="E486" s="28" t="inlineStr">
        <is>
          <t>DFS / BFS / 백트래킹</t>
        </is>
      </c>
      <c r="F486" s="28" t="n"/>
      <c r="G486" s="28" t="n"/>
      <c r="H486" s="28" t="n"/>
      <c r="I486" s="28" t="n"/>
      <c r="J486" s="54">
        <f>IF(OR(ISNUMBER(SEARCH("보류",K486)),ISNUMBER(SEARCH("미룸",K486)),ISNUMBER(SEARCH("나중에",K486)),ISNUMBER(SEARCH("보류",L486)),ISNUMBER(SEARCH("미룸",L486)),ISNUMBER(SEARCH("나중에",L486))),"보류(나중에 풀기)",IF(AND(F486="",G486="",H486="",I486=""),"미완료",IF(I486&lt;&gt;"","복습3(마스터)",IF(H486&lt;&gt;"","복습2",IF(G486&lt;&gt;"","복습1",IF(ISNUMBER(SEARCH("제미나이",K486)),"복습대기(AI도움)",IF(ISNUMBER(SEARCH("간당간당",K486)),"복습대기(간당간당)",IF(OR(ISNUMBER(SEARCH("아이디어",K486)),ISNUMBER(SEARCH("시간초과",K486)),ISNUMBER(SEARCH("자료구조",K486)),ISNUMBER(SEARCH("경계값",K486)),ISNUMBER(SEARCH("다른 풀이",K486)),ISNUMBER(SEARCH("또풀기",K486))),"복습대기",IF(OR(ISNUMBER(SEARCH("복습필요없음",K486)),ISNUMBER(SEARCH("자력완벽",K486))),"품(복습불필요)",IF(F486&lt;&gt;"","품","미완료"))))))))))</f>
        <v/>
      </c>
      <c r="K486" s="32" t="inlineStr">
        <is>
          <t>-</t>
        </is>
      </c>
      <c r="L486" s="32" t="n"/>
      <c r="M486" s="28">
        <f>IF(OR(LEFT(J486,2)="보류", LEFT(J486,4)="복습대기", LEFT(J486,3)="복습1", LEFT(J486,3)="복습2"), MAX($M$3:M485)+1, "")</f>
        <v/>
      </c>
      <c r="N486" s="28" t="inlineStr">
        <is>
          <t>W13</t>
        </is>
      </c>
      <c r="O486" s="36" t="n">
        <v>46346</v>
      </c>
      <c r="P486" s="30">
        <f>IF(F486&lt;&gt;"","✅ 완료",IF(O486="","-",IF(TODAY()&gt;O486,"🚨 지연","⏳ 예정")))</f>
        <v/>
      </c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 ht="21.75" customHeight="1" s="209">
      <c r="A487" s="28" t="n">
        <v>484</v>
      </c>
      <c r="B487" s="28" t="inlineStr">
        <is>
          <t>9614</t>
        </is>
      </c>
      <c r="C487" s="30" t="inlineStr">
        <is>
          <t>D4</t>
        </is>
      </c>
      <c r="D487" s="32" t="inlineStr">
        <is>
          <t>다채로운 구간</t>
        </is>
      </c>
      <c r="E487" s="28" t="inlineStr">
        <is>
          <t>DFS / BFS / 백트래킹</t>
        </is>
      </c>
      <c r="F487" s="28" t="n"/>
      <c r="G487" s="28" t="n"/>
      <c r="H487" s="28" t="n"/>
      <c r="I487" s="28" t="n"/>
      <c r="J487" s="54">
        <f>IF(OR(ISNUMBER(SEARCH("보류",K487)),ISNUMBER(SEARCH("미룸",K487)),ISNUMBER(SEARCH("나중에",K487)),ISNUMBER(SEARCH("보류",L487)),ISNUMBER(SEARCH("미룸",L487)),ISNUMBER(SEARCH("나중에",L487))),"보류(나중에 풀기)",IF(AND(F487="",G487="",H487="",I487=""),"미완료",IF(I487&lt;&gt;"","복습3(마스터)",IF(H487&lt;&gt;"","복습2",IF(G487&lt;&gt;"","복습1",IF(ISNUMBER(SEARCH("제미나이",K487)),"복습대기(AI도움)",IF(ISNUMBER(SEARCH("간당간당",K487)),"복습대기(간당간당)",IF(OR(ISNUMBER(SEARCH("아이디어",K487)),ISNUMBER(SEARCH("시간초과",K487)),ISNUMBER(SEARCH("자료구조",K487)),ISNUMBER(SEARCH("경계값",K487)),ISNUMBER(SEARCH("다른 풀이",K487)),ISNUMBER(SEARCH("또풀기",K487))),"복습대기",IF(OR(ISNUMBER(SEARCH("복습필요없음",K487)),ISNUMBER(SEARCH("자력완벽",K487))),"품(복습불필요)",IF(F487&lt;&gt;"","품","미완료"))))))))))</f>
        <v/>
      </c>
      <c r="K487" s="32" t="inlineStr">
        <is>
          <t>-</t>
        </is>
      </c>
      <c r="L487" s="32" t="n"/>
      <c r="M487" s="28">
        <f>IF(OR(LEFT(J487,2)="보류", LEFT(J487,4)="복습대기", LEFT(J487,3)="복습1", LEFT(J487,3)="복습2"), MAX($M$3:M486)+1, "")</f>
        <v/>
      </c>
      <c r="N487" s="28" t="inlineStr">
        <is>
          <t>W13</t>
        </is>
      </c>
      <c r="O487" s="36" t="n">
        <v>46346</v>
      </c>
      <c r="P487" s="30">
        <f>IF(F487&lt;&gt;"","✅ 완료",IF(O487="","-",IF(TODAY()&gt;O487,"🚨 지연","⏳ 예정")))</f>
        <v/>
      </c>
      <c r="Q487" s="7" t="n"/>
      <c r="R487" s="7" t="n"/>
      <c r="S487" s="7" t="n"/>
      <c r="T487" s="7" t="n"/>
      <c r="U487" s="7" t="n"/>
      <c r="V487" s="7" t="n"/>
      <c r="W487" s="7" t="n"/>
      <c r="X487" s="7" t="n"/>
    </row>
    <row r="488" ht="21.75" customHeight="1" s="209">
      <c r="A488" s="28" t="n">
        <v>485</v>
      </c>
      <c r="B488" s="28" t="inlineStr">
        <is>
          <t>9659</t>
        </is>
      </c>
      <c r="C488" s="30" t="inlineStr">
        <is>
          <t>D4</t>
        </is>
      </c>
      <c r="D488" s="32" t="inlineStr">
        <is>
          <t>다항식 계산</t>
        </is>
      </c>
      <c r="E488" s="28" t="inlineStr">
        <is>
          <t>DFS / BFS / 백트래킹</t>
        </is>
      </c>
      <c r="F488" s="28" t="n"/>
      <c r="G488" s="28" t="n"/>
      <c r="H488" s="28" t="n"/>
      <c r="I488" s="28" t="n"/>
      <c r="J488" s="54">
        <f>IF(OR(ISNUMBER(SEARCH("보류",K488)),ISNUMBER(SEARCH("미룸",K488)),ISNUMBER(SEARCH("나중에",K488)),ISNUMBER(SEARCH("보류",L488)),ISNUMBER(SEARCH("미룸",L488)),ISNUMBER(SEARCH("나중에",L488))),"보류(나중에 풀기)",IF(AND(F488="",G488="",H488="",I488=""),"미완료",IF(I488&lt;&gt;"","복습3(마스터)",IF(H488&lt;&gt;"","복습2",IF(G488&lt;&gt;"","복습1",IF(ISNUMBER(SEARCH("제미나이",K488)),"복습대기(AI도움)",IF(ISNUMBER(SEARCH("간당간당",K488)),"복습대기(간당간당)",IF(OR(ISNUMBER(SEARCH("아이디어",K488)),ISNUMBER(SEARCH("시간초과",K488)),ISNUMBER(SEARCH("자료구조",K488)),ISNUMBER(SEARCH("경계값",K488)),ISNUMBER(SEARCH("다른 풀이",K488)),ISNUMBER(SEARCH("또풀기",K488))),"복습대기",IF(OR(ISNUMBER(SEARCH("복습필요없음",K488)),ISNUMBER(SEARCH("자력완벽",K488))),"품(복습불필요)",IF(F488&lt;&gt;"","품","미완료"))))))))))</f>
        <v/>
      </c>
      <c r="K488" s="32" t="inlineStr">
        <is>
          <t>-</t>
        </is>
      </c>
      <c r="L488" s="32" t="n"/>
      <c r="M488" s="28">
        <f>IF(OR(LEFT(J488,2)="보류", LEFT(J488,4)="복습대기", LEFT(J488,3)="복습1", LEFT(J488,3)="복습2"), MAX($M$3:M487)+1, "")</f>
        <v/>
      </c>
      <c r="N488" s="28" t="inlineStr">
        <is>
          <t>W13</t>
        </is>
      </c>
      <c r="O488" s="36" t="n">
        <v>46346</v>
      </c>
      <c r="P488" s="30">
        <f>IF(F488&lt;&gt;"","✅ 완료",IF(O488="","-",IF(TODAY()&gt;O488,"🚨 지연","⏳ 예정")))</f>
        <v/>
      </c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 ht="21.75" customHeight="1" s="209">
      <c r="A489" s="28" t="n">
        <v>486</v>
      </c>
      <c r="B489" s="28" t="inlineStr">
        <is>
          <t>9708</t>
        </is>
      </c>
      <c r="C489" s="30" t="inlineStr">
        <is>
          <t>D4</t>
        </is>
      </c>
      <c r="D489" s="32" t="inlineStr">
        <is>
          <t>가장 긴 수열</t>
        </is>
      </c>
      <c r="E489" s="28" t="inlineStr">
        <is>
          <t>동적계획법 (DP)</t>
        </is>
      </c>
      <c r="F489" s="28" t="n"/>
      <c r="G489" s="28" t="n"/>
      <c r="H489" s="28" t="n"/>
      <c r="I489" s="28" t="n"/>
      <c r="J489" s="54">
        <f>IF(OR(ISNUMBER(SEARCH("보류",K489)),ISNUMBER(SEARCH("미룸",K489)),ISNUMBER(SEARCH("나중에",K489)),ISNUMBER(SEARCH("보류",L489)),ISNUMBER(SEARCH("미룸",L489)),ISNUMBER(SEARCH("나중에",L489))),"보류(나중에 풀기)",IF(AND(F489="",G489="",H489="",I489=""),"미완료",IF(I489&lt;&gt;"","복습3(마스터)",IF(H489&lt;&gt;"","복습2",IF(G489&lt;&gt;"","복습1",IF(ISNUMBER(SEARCH("제미나이",K489)),"복습대기(AI도움)",IF(ISNUMBER(SEARCH("간당간당",K489)),"복습대기(간당간당)",IF(OR(ISNUMBER(SEARCH("아이디어",K489)),ISNUMBER(SEARCH("시간초과",K489)),ISNUMBER(SEARCH("자료구조",K489)),ISNUMBER(SEARCH("경계값",K489)),ISNUMBER(SEARCH("다른 풀이",K489)),ISNUMBER(SEARCH("또풀기",K489))),"복습대기",IF(OR(ISNUMBER(SEARCH("복습필요없음",K489)),ISNUMBER(SEARCH("자력완벽",K489))),"품(복습불필요)",IF(F489&lt;&gt;"","품","미완료"))))))))))</f>
        <v/>
      </c>
      <c r="K489" s="32" t="inlineStr">
        <is>
          <t>-</t>
        </is>
      </c>
      <c r="L489" s="32" t="n"/>
      <c r="M489" s="28">
        <f>IF(OR(LEFT(J489,2)="보류", LEFT(J489,4)="복습대기", LEFT(J489,3)="복습1", LEFT(J489,3)="복습2"), MAX($M$3:M488)+1, "")</f>
        <v/>
      </c>
      <c r="N489" s="28" t="inlineStr">
        <is>
          <t>W13</t>
        </is>
      </c>
      <c r="O489" s="36" t="n">
        <v>46347</v>
      </c>
      <c r="P489" s="30">
        <f>IF(F489&lt;&gt;"","✅ 완료",IF(O489="","-",IF(TODAY()&gt;O489,"🚨 지연","⏳ 예정")))</f>
        <v/>
      </c>
      <c r="Q489" s="7" t="n"/>
      <c r="R489" s="7" t="n"/>
      <c r="S489" s="7" t="n"/>
      <c r="T489" s="7" t="n"/>
      <c r="U489" s="7" t="n"/>
      <c r="V489" s="7" t="n"/>
      <c r="W489" s="7" t="n"/>
      <c r="X489" s="7" t="n"/>
    </row>
    <row r="490" ht="21.75" customHeight="1" s="209">
      <c r="A490" s="28" t="n">
        <v>487</v>
      </c>
      <c r="B490" s="28" t="inlineStr">
        <is>
          <t>9942</t>
        </is>
      </c>
      <c r="C490" s="30" t="inlineStr">
        <is>
          <t>D4</t>
        </is>
      </c>
      <c r="D490" s="32" t="inlineStr">
        <is>
          <t>순열2</t>
        </is>
      </c>
      <c r="E490" s="28" t="inlineStr">
        <is>
          <t>DFS / 백트래킹</t>
        </is>
      </c>
      <c r="F490" s="28" t="n"/>
      <c r="G490" s="28" t="n"/>
      <c r="H490" s="28" t="n"/>
      <c r="I490" s="28" t="n"/>
      <c r="J490" s="54">
        <f>IF(OR(ISNUMBER(SEARCH("보류",K490)),ISNUMBER(SEARCH("미룸",K490)),ISNUMBER(SEARCH("나중에",K490)),ISNUMBER(SEARCH("보류",L490)),ISNUMBER(SEARCH("미룸",L490)),ISNUMBER(SEARCH("나중에",L490))),"보류(나중에 풀기)",IF(AND(F490="",G490="",H490="",I490=""),"미완료",IF(I490&lt;&gt;"","복습3(마스터)",IF(H490&lt;&gt;"","복습2",IF(G490&lt;&gt;"","복습1",IF(ISNUMBER(SEARCH("제미나이",K490)),"복습대기(AI도움)",IF(ISNUMBER(SEARCH("간당간당",K490)),"복습대기(간당간당)",IF(OR(ISNUMBER(SEARCH("아이디어",K490)),ISNUMBER(SEARCH("시간초과",K490)),ISNUMBER(SEARCH("자료구조",K490)),ISNUMBER(SEARCH("경계값",K490)),ISNUMBER(SEARCH("다른 풀이",K490)),ISNUMBER(SEARCH("또풀기",K490))),"복습대기",IF(OR(ISNUMBER(SEARCH("복습필요없음",K490)),ISNUMBER(SEARCH("자력완벽",K490))),"품(복습불필요)",IF(F490&lt;&gt;"","품","미완료"))))))))))</f>
        <v/>
      </c>
      <c r="K490" s="32" t="inlineStr">
        <is>
          <t>-</t>
        </is>
      </c>
      <c r="L490" s="32" t="n"/>
      <c r="M490" s="28">
        <f>IF(OR(LEFT(J490,2)="보류", LEFT(J490,4)="복습대기", LEFT(J490,3)="복습1", LEFT(J490,3)="복습2"), MAX($M$3:M489)+1, "")</f>
        <v/>
      </c>
      <c r="N490" s="28" t="inlineStr">
        <is>
          <t>W13</t>
        </is>
      </c>
      <c r="O490" s="36" t="n">
        <v>46347</v>
      </c>
      <c r="P490" s="30">
        <f>IF(F490&lt;&gt;"","✅ 완료",IF(O490="","-",IF(TODAY()&gt;O490,"🚨 지연","⏳ 예정")))</f>
        <v/>
      </c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 ht="21.75" customHeight="1" s="209">
      <c r="A491" s="28" t="n">
        <v>488</v>
      </c>
      <c r="B491" s="28" t="inlineStr">
        <is>
          <t>10571</t>
        </is>
      </c>
      <c r="C491" s="30" t="inlineStr">
        <is>
          <t>D4</t>
        </is>
      </c>
      <c r="D491" s="32" t="inlineStr">
        <is>
          <t>잔디 깎기</t>
        </is>
      </c>
      <c r="E491" s="34" t="inlineStr">
        <is>
          <t>DFS / BFS / 백트래킹</t>
        </is>
      </c>
      <c r="F491" s="28" t="n"/>
      <c r="G491" s="28" t="n"/>
      <c r="H491" s="28" t="n"/>
      <c r="I491" s="28" t="n"/>
      <c r="J491" s="54">
        <f>IF(OR(ISNUMBER(SEARCH("보류",K491)),ISNUMBER(SEARCH("미룸",K491)),ISNUMBER(SEARCH("나중에",K491)),ISNUMBER(SEARCH("보류",L491)),ISNUMBER(SEARCH("미룸",L491)),ISNUMBER(SEARCH("나중에",L491))),"보류(나중에 풀기)",IF(AND(F491="",G491="",H491="",I491=""),"미완료",IF(I491&lt;&gt;"","복습3(마스터)",IF(H491&lt;&gt;"","복습2",IF(G491&lt;&gt;"","복습1",IF(ISNUMBER(SEARCH("제미나이",K491)),"복습대기(AI도움)",IF(ISNUMBER(SEARCH("간당간당",K491)),"복습대기(간당간당)",IF(OR(ISNUMBER(SEARCH("아이디어",K491)),ISNUMBER(SEARCH("시간초과",K491)),ISNUMBER(SEARCH("자료구조",K491)),ISNUMBER(SEARCH("경계값",K491)),ISNUMBER(SEARCH("다른 풀이",K491)),ISNUMBER(SEARCH("또풀기",K491))),"복습대기",IF(OR(ISNUMBER(SEARCH("복습필요없음",K491)),ISNUMBER(SEARCH("자력완벽",K491))),"품(복습불필요)",IF(F491&lt;&gt;"","품","미완료"))))))))))</f>
        <v/>
      </c>
      <c r="K491" s="32" t="inlineStr">
        <is>
          <t>-</t>
        </is>
      </c>
      <c r="L491" s="32" t="n"/>
      <c r="M491" s="28">
        <f>IF(OR(LEFT(J491,2)="보류", LEFT(J491,4)="복습대기", LEFT(J491,3)="복습1", LEFT(J491,3)="복습2"), MAX($M$3:M490)+1, "")</f>
        <v/>
      </c>
      <c r="N491" s="28" t="inlineStr">
        <is>
          <t>W13</t>
        </is>
      </c>
      <c r="O491" s="36" t="n">
        <v>46347</v>
      </c>
      <c r="P491" s="30">
        <f>IF(F491&lt;&gt;"","✅ 완료",IF(O491="","-",IF(TODAY()&gt;O491,"🚨 지연","⏳ 예정")))</f>
        <v/>
      </c>
      <c r="Q491" s="7" t="n"/>
      <c r="R491" s="7" t="n"/>
      <c r="S491" s="7" t="n"/>
      <c r="T491" s="7" t="n"/>
      <c r="U491" s="7" t="n"/>
      <c r="V491" s="7" t="n"/>
      <c r="W491" s="7" t="n"/>
      <c r="X491" s="7" t="n"/>
    </row>
    <row r="492" ht="21.75" customHeight="1" s="209">
      <c r="A492" s="28" t="n">
        <v>489</v>
      </c>
      <c r="B492" s="28" t="inlineStr">
        <is>
          <t>10581</t>
        </is>
      </c>
      <c r="C492" s="30" t="inlineStr">
        <is>
          <t>D4</t>
        </is>
      </c>
      <c r="D492" s="32" t="inlineStr">
        <is>
          <t>부하 테스트</t>
        </is>
      </c>
      <c r="E492" s="66" t="inlineStr">
        <is>
          <t>DFS / BFS / 백트래킹</t>
        </is>
      </c>
      <c r="F492" s="28" t="n"/>
      <c r="G492" s="28" t="n"/>
      <c r="H492" s="28" t="n"/>
      <c r="I492" s="28" t="n"/>
      <c r="J492" s="54">
        <f>IF(OR(ISNUMBER(SEARCH("보류",K492)),ISNUMBER(SEARCH("미룸",K492)),ISNUMBER(SEARCH("나중에",K492)),ISNUMBER(SEARCH("보류",L492)),ISNUMBER(SEARCH("미룸",L492)),ISNUMBER(SEARCH("나중에",L492))),"보류(나중에 풀기)",IF(AND(F492="",G492="",H492="",I492=""),"미완료",IF(I492&lt;&gt;"","복습3(마스터)",IF(H492&lt;&gt;"","복습2",IF(G492&lt;&gt;"","복습1",IF(ISNUMBER(SEARCH("제미나이",K492)),"복습대기(AI도움)",IF(ISNUMBER(SEARCH("간당간당",K492)),"복습대기(간당간당)",IF(OR(ISNUMBER(SEARCH("아이디어",K492)),ISNUMBER(SEARCH("시간초과",K492)),ISNUMBER(SEARCH("자료구조",K492)),ISNUMBER(SEARCH("경계값",K492)),ISNUMBER(SEARCH("다른 풀이",K492)),ISNUMBER(SEARCH("또풀기",K492))),"복습대기",IF(OR(ISNUMBER(SEARCH("복습필요없음",K492)),ISNUMBER(SEARCH("자력완벽",K492))),"품(복습불필요)",IF(F492&lt;&gt;"","품","미완료"))))))))))</f>
        <v/>
      </c>
      <c r="K492" s="32" t="inlineStr">
        <is>
          <t>-</t>
        </is>
      </c>
      <c r="L492" s="32" t="n"/>
      <c r="M492" s="28">
        <f>IF(OR(LEFT(J492,2)="보류", LEFT(J492,4)="복습대기", LEFT(J492,3)="복습1", LEFT(J492,3)="복습2"), MAX($M$3:M491)+1, "")</f>
        <v/>
      </c>
      <c r="N492" s="28" t="inlineStr">
        <is>
          <t>W13</t>
        </is>
      </c>
      <c r="O492" s="36" t="n">
        <v>46347</v>
      </c>
      <c r="P492" s="30">
        <f>IF(F492&lt;&gt;"","✅ 완료",IF(O492="","-",IF(TODAY()&gt;O492,"🚨 지연","⏳ 예정")))</f>
        <v/>
      </c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 ht="21.75" customHeight="1" s="209">
      <c r="A493" s="28" t="n">
        <v>490</v>
      </c>
      <c r="B493" s="28" t="inlineStr">
        <is>
          <t>10762</t>
        </is>
      </c>
      <c r="C493" s="30" t="inlineStr">
        <is>
          <t>D4</t>
        </is>
      </c>
      <c r="D493" s="32" t="inlineStr">
        <is>
          <t>사탕 나누기</t>
        </is>
      </c>
      <c r="E493" s="66" t="inlineStr">
        <is>
          <t>DFS / BFS / 백트래킹</t>
        </is>
      </c>
      <c r="F493" s="28" t="n"/>
      <c r="G493" s="28" t="n"/>
      <c r="H493" s="28" t="n"/>
      <c r="I493" s="28" t="n"/>
      <c r="J493" s="54">
        <f>IF(OR(ISNUMBER(SEARCH("보류",K493)),ISNUMBER(SEARCH("미룸",K493)),ISNUMBER(SEARCH("나중에",K493)),ISNUMBER(SEARCH("보류",L493)),ISNUMBER(SEARCH("미룸",L493)),ISNUMBER(SEARCH("나중에",L493))),"보류(나중에 풀기)",IF(AND(F493="",G493="",H493="",I493=""),"미완료",IF(I493&lt;&gt;"","복습3(마스터)",IF(H493&lt;&gt;"","복습2",IF(G493&lt;&gt;"","복습1",IF(ISNUMBER(SEARCH("제미나이",K493)),"복습대기(AI도움)",IF(ISNUMBER(SEARCH("간당간당",K493)),"복습대기(간당간당)",IF(OR(ISNUMBER(SEARCH("아이디어",K493)),ISNUMBER(SEARCH("시간초과",K493)),ISNUMBER(SEARCH("자료구조",K493)),ISNUMBER(SEARCH("경계값",K493)),ISNUMBER(SEARCH("다른 풀이",K493)),ISNUMBER(SEARCH("또풀기",K493))),"복습대기",IF(OR(ISNUMBER(SEARCH("복습필요없음",K493)),ISNUMBER(SEARCH("자력완벽",K493))),"품(복습불필요)",IF(F493&lt;&gt;"","품","미완료"))))))))))</f>
        <v/>
      </c>
      <c r="K493" s="32" t="inlineStr">
        <is>
          <t>-</t>
        </is>
      </c>
      <c r="L493" s="32" t="n"/>
      <c r="M493" s="28">
        <f>IF(OR(LEFT(J493,2)="보류", LEFT(J493,4)="복습대기", LEFT(J493,3)="복습1", LEFT(J493,3)="복습2"), MAX($M$3:M492)+1, "")</f>
        <v/>
      </c>
      <c r="N493" s="28" t="inlineStr">
        <is>
          <t>W13</t>
        </is>
      </c>
      <c r="O493" s="36" t="n">
        <v>46347</v>
      </c>
      <c r="P493" s="30">
        <f>IF(F493&lt;&gt;"","✅ 완료",IF(O493="","-",IF(TODAY()&gt;O493,"🚨 지연","⏳ 예정")))</f>
        <v/>
      </c>
      <c r="Q493" s="7" t="n"/>
      <c r="R493" s="7" t="n"/>
      <c r="S493" s="7" t="n"/>
      <c r="T493" s="7" t="n"/>
      <c r="U493" s="7" t="n"/>
      <c r="V493" s="7" t="n"/>
      <c r="W493" s="7" t="n"/>
      <c r="X493" s="7" t="n"/>
    </row>
    <row r="494" ht="21.75" customHeight="1" s="209">
      <c r="A494" s="28" t="n">
        <v>491</v>
      </c>
      <c r="B494" s="28" t="inlineStr">
        <is>
          <t>10805</t>
        </is>
      </c>
      <c r="C494" s="30" t="inlineStr">
        <is>
          <t>D4</t>
        </is>
      </c>
      <c r="D494" s="32" t="inlineStr">
        <is>
          <t>야바위</t>
        </is>
      </c>
      <c r="E494" s="66" t="inlineStr">
        <is>
          <t>DFS / BFS / 백트래킹</t>
        </is>
      </c>
      <c r="F494" s="28" t="n"/>
      <c r="G494" s="28" t="n"/>
      <c r="H494" s="28" t="n"/>
      <c r="I494" s="28" t="n"/>
      <c r="J494" s="54">
        <f>IF(OR(ISNUMBER(SEARCH("보류",K494)),ISNUMBER(SEARCH("미룸",K494)),ISNUMBER(SEARCH("나중에",K494)),ISNUMBER(SEARCH("보류",L494)),ISNUMBER(SEARCH("미룸",L494)),ISNUMBER(SEARCH("나중에",L494))),"보류(나중에 풀기)",IF(AND(F494="",G494="",H494="",I494=""),"미완료",IF(I494&lt;&gt;"","복습3(마스터)",IF(H494&lt;&gt;"","복습2",IF(G494&lt;&gt;"","복습1",IF(ISNUMBER(SEARCH("제미나이",K494)),"복습대기(AI도움)",IF(ISNUMBER(SEARCH("간당간당",K494)),"복습대기(간당간당)",IF(OR(ISNUMBER(SEARCH("아이디어",K494)),ISNUMBER(SEARCH("시간초과",K494)),ISNUMBER(SEARCH("자료구조",K494)),ISNUMBER(SEARCH("경계값",K494)),ISNUMBER(SEARCH("다른 풀이",K494)),ISNUMBER(SEARCH("또풀기",K494))),"복습대기",IF(OR(ISNUMBER(SEARCH("복습필요없음",K494)),ISNUMBER(SEARCH("자력완벽",K494))),"품(복습불필요)",IF(F494&lt;&gt;"","품","미완료"))))))))))</f>
        <v/>
      </c>
      <c r="K494" s="32" t="inlineStr">
        <is>
          <t>-</t>
        </is>
      </c>
      <c r="L494" s="32" t="n"/>
      <c r="M494" s="28">
        <f>IF(OR(LEFT(J494,2)="보류", LEFT(J494,4)="복습대기", LEFT(J494,3)="복습1", LEFT(J494,3)="복습2"), MAX($M$3:M493)+1, "")</f>
        <v/>
      </c>
      <c r="N494" s="28" t="inlineStr">
        <is>
          <t>W13</t>
        </is>
      </c>
      <c r="O494" s="36" t="n">
        <v>46347</v>
      </c>
      <c r="P494" s="30">
        <f>IF(F494&lt;&gt;"","✅ 완료",IF(O494="","-",IF(TODAY()&gt;O494,"🚨 지연","⏳ 예정")))</f>
        <v/>
      </c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 ht="21.75" customHeight="1" s="209">
      <c r="A495" s="28" t="n">
        <v>492</v>
      </c>
      <c r="B495" s="28" t="inlineStr">
        <is>
          <t>10908</t>
        </is>
      </c>
      <c r="C495" s="30" t="inlineStr">
        <is>
          <t>D4</t>
        </is>
      </c>
      <c r="D495" s="32" t="inlineStr">
        <is>
          <t>짝수인 이항 계수</t>
        </is>
      </c>
      <c r="E495" s="34" t="inlineStr">
        <is>
          <t>DFS / BFS / 백트래킹</t>
        </is>
      </c>
      <c r="F495" s="28" t="n"/>
      <c r="G495" s="28" t="n"/>
      <c r="H495" s="28" t="n"/>
      <c r="I495" s="28" t="n"/>
      <c r="J495" s="54">
        <f>IF(OR(ISNUMBER(SEARCH("보류",K495)),ISNUMBER(SEARCH("미룸",K495)),ISNUMBER(SEARCH("나중에",K495)),ISNUMBER(SEARCH("보류",L495)),ISNUMBER(SEARCH("미룸",L495)),ISNUMBER(SEARCH("나중에",L495))),"보류(나중에 풀기)",IF(AND(F495="",G495="",H495="",I495=""),"미완료",IF(I495&lt;&gt;"","복습3(마스터)",IF(H495&lt;&gt;"","복습2",IF(G495&lt;&gt;"","복습1",IF(ISNUMBER(SEARCH("제미나이",K495)),"복습대기(AI도움)",IF(ISNUMBER(SEARCH("간당간당",K495)),"복습대기(간당간당)",IF(OR(ISNUMBER(SEARCH("아이디어",K495)),ISNUMBER(SEARCH("시간초과",K495)),ISNUMBER(SEARCH("자료구조",K495)),ISNUMBER(SEARCH("경계값",K495)),ISNUMBER(SEARCH("다른 풀이",K495)),ISNUMBER(SEARCH("또풀기",K495))),"복습대기",IF(OR(ISNUMBER(SEARCH("복습필요없음",K495)),ISNUMBER(SEARCH("자력완벽",K495))),"품(복습불필요)",IF(F495&lt;&gt;"","품","미완료"))))))))))</f>
        <v/>
      </c>
      <c r="K495" s="32" t="inlineStr">
        <is>
          <t>-</t>
        </is>
      </c>
      <c r="L495" s="32" t="n"/>
      <c r="M495" s="28">
        <f>IF(OR(LEFT(J495,2)="보류", LEFT(J495,4)="복습대기", LEFT(J495,3)="복습1", LEFT(J495,3)="복습2"), MAX($M$3:M494)+1, "")</f>
        <v/>
      </c>
      <c r="N495" s="28" t="inlineStr">
        <is>
          <t>W13</t>
        </is>
      </c>
      <c r="O495" s="36" t="n">
        <v>46347</v>
      </c>
      <c r="P495" s="30">
        <f>IF(F495&lt;&gt;"","✅ 완료",IF(O495="","-",IF(TODAY()&gt;O495,"🚨 지연","⏳ 예정")))</f>
        <v/>
      </c>
      <c r="Q495" s="7" t="n"/>
      <c r="R495" s="7" t="n"/>
      <c r="S495" s="7" t="n"/>
      <c r="T495" s="7" t="n"/>
      <c r="U495" s="7" t="n"/>
      <c r="V495" s="7" t="n"/>
      <c r="W495" s="7" t="n"/>
      <c r="X495" s="7" t="n"/>
    </row>
    <row r="496" ht="21.75" customHeight="1" s="209">
      <c r="A496" s="28" t="n">
        <v>493</v>
      </c>
      <c r="B496" s="28" t="inlineStr">
        <is>
          <t>10966</t>
        </is>
      </c>
      <c r="C496" s="30" t="inlineStr">
        <is>
          <t>D4</t>
        </is>
      </c>
      <c r="D496" s="32" t="inlineStr">
        <is>
          <t>물놀이를 가자</t>
        </is>
      </c>
      <c r="E496" s="34" t="inlineStr">
        <is>
          <t>DFS / BFS / 백트래킹</t>
        </is>
      </c>
      <c r="F496" s="28" t="n"/>
      <c r="G496" s="28" t="n"/>
      <c r="H496" s="28" t="n"/>
      <c r="I496" s="28" t="n"/>
      <c r="J496" s="54">
        <f>IF(OR(ISNUMBER(SEARCH("보류",K496)),ISNUMBER(SEARCH("미룸",K496)),ISNUMBER(SEARCH("나중에",K496)),ISNUMBER(SEARCH("보류",L496)),ISNUMBER(SEARCH("미룸",L496)),ISNUMBER(SEARCH("나중에",L496))),"보류(나중에 풀기)",IF(AND(F496="",G496="",H496="",I496=""),"미완료",IF(I496&lt;&gt;"","복습3(마스터)",IF(H496&lt;&gt;"","복습2",IF(G496&lt;&gt;"","복습1",IF(ISNUMBER(SEARCH("제미나이",K496)),"복습대기(AI도움)",IF(ISNUMBER(SEARCH("간당간당",K496)),"복습대기(간당간당)",IF(OR(ISNUMBER(SEARCH("아이디어",K496)),ISNUMBER(SEARCH("시간초과",K496)),ISNUMBER(SEARCH("자료구조",K496)),ISNUMBER(SEARCH("경계값",K496)),ISNUMBER(SEARCH("다른 풀이",K496)),ISNUMBER(SEARCH("또풀기",K496))),"복습대기",IF(OR(ISNUMBER(SEARCH("복습필요없음",K496)),ISNUMBER(SEARCH("자력완벽",K496))),"품(복습불필요)",IF(F496&lt;&gt;"","품","미완료"))))))))))</f>
        <v/>
      </c>
      <c r="K496" s="32" t="inlineStr">
        <is>
          <t>-</t>
        </is>
      </c>
      <c r="L496" s="32" t="n"/>
      <c r="M496" s="28">
        <f>IF(OR(LEFT(J496,2)="보류", LEFT(J496,4)="복습대기", LEFT(J496,3)="복습1", LEFT(J496,3)="복습2"), MAX($M$3:M495)+1, "")</f>
        <v/>
      </c>
      <c r="N496" s="28" t="inlineStr">
        <is>
          <t>W13</t>
        </is>
      </c>
      <c r="O496" s="36" t="n">
        <v>46347</v>
      </c>
      <c r="P496" s="30">
        <f>IF(F496&lt;&gt;"","✅ 완료",IF(O496="","-",IF(TODAY()&gt;O496,"🚨 지연","⏳ 예정")))</f>
        <v/>
      </c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 ht="21.75" customHeight="1" s="209">
      <c r="A497" s="28" t="n">
        <v>494</v>
      </c>
      <c r="B497" s="28" t="inlineStr">
        <is>
          <t>10994</t>
        </is>
      </c>
      <c r="C497" s="30" t="inlineStr">
        <is>
          <t>D4</t>
        </is>
      </c>
      <c r="D497" s="32" t="inlineStr">
        <is>
          <t>동전 수집</t>
        </is>
      </c>
      <c r="E497" s="28" t="inlineStr">
        <is>
          <t>DFS / BFS / 백트래킹</t>
        </is>
      </c>
      <c r="F497" s="28" t="n"/>
      <c r="G497" s="28" t="n"/>
      <c r="H497" s="28" t="n"/>
      <c r="I497" s="28" t="n"/>
      <c r="J497" s="54">
        <f>IF(OR(ISNUMBER(SEARCH("보류",K497)),ISNUMBER(SEARCH("미룸",K497)),ISNUMBER(SEARCH("나중에",K497)),ISNUMBER(SEARCH("보류",L497)),ISNUMBER(SEARCH("미룸",L497)),ISNUMBER(SEARCH("나중에",L497))),"보류(나중에 풀기)",IF(AND(F497="",G497="",H497="",I497=""),"미완료",IF(I497&lt;&gt;"","복습3(마스터)",IF(H497&lt;&gt;"","복습2",IF(G497&lt;&gt;"","복습1",IF(ISNUMBER(SEARCH("제미나이",K497)),"복습대기(AI도움)",IF(ISNUMBER(SEARCH("간당간당",K497)),"복습대기(간당간당)",IF(OR(ISNUMBER(SEARCH("아이디어",K497)),ISNUMBER(SEARCH("시간초과",K497)),ISNUMBER(SEARCH("자료구조",K497)),ISNUMBER(SEARCH("경계값",K497)),ISNUMBER(SEARCH("다른 풀이",K497)),ISNUMBER(SEARCH("또풀기",K497))),"복습대기",IF(OR(ISNUMBER(SEARCH("복습필요없음",K497)),ISNUMBER(SEARCH("자력완벽",K497))),"품(복습불필요)",IF(F497&lt;&gt;"","품","미완료"))))))))))</f>
        <v/>
      </c>
      <c r="K497" s="32" t="inlineStr">
        <is>
          <t>-</t>
        </is>
      </c>
      <c r="L497" s="32" t="n"/>
      <c r="M497" s="28">
        <f>IF(OR(LEFT(J497,2)="보류", LEFT(J497,4)="복습대기", LEFT(J497,3)="복습1", LEFT(J497,3)="복습2"), MAX($M$3:M496)+1, "")</f>
        <v/>
      </c>
      <c r="N497" s="28" t="inlineStr">
        <is>
          <t>W13</t>
        </is>
      </c>
      <c r="O497" s="36" t="n">
        <v>46348</v>
      </c>
      <c r="P497" s="30">
        <f>IF(F497&lt;&gt;"","✅ 완료",IF(O497="","-",IF(TODAY()&gt;O497,"🚨 지연","⏳ 예정")))</f>
        <v/>
      </c>
      <c r="Q497" s="7" t="n"/>
      <c r="R497" s="7" t="n"/>
      <c r="S497" s="7" t="n"/>
      <c r="T497" s="7" t="n"/>
      <c r="U497" s="7" t="n"/>
      <c r="V497" s="7" t="n"/>
      <c r="W497" s="7" t="n"/>
      <c r="X497" s="7" t="n"/>
    </row>
    <row r="498" ht="21.75" customHeight="1" s="209">
      <c r="A498" s="28" t="n">
        <v>495</v>
      </c>
      <c r="B498" s="28" t="inlineStr">
        <is>
          <t>11112</t>
        </is>
      </c>
      <c r="C498" s="30" t="inlineStr">
        <is>
          <t>D4</t>
        </is>
      </c>
      <c r="D498" s="32" t="inlineStr">
        <is>
          <t>셀로판지</t>
        </is>
      </c>
      <c r="E498" s="28" t="inlineStr">
        <is>
          <t>DFS / BFS / 백트래킹</t>
        </is>
      </c>
      <c r="F498" s="28" t="n"/>
      <c r="G498" s="28" t="n"/>
      <c r="H498" s="28" t="n"/>
      <c r="I498" s="28" t="n"/>
      <c r="J498" s="54">
        <f>IF(OR(ISNUMBER(SEARCH("보류",K498)),ISNUMBER(SEARCH("미룸",K498)),ISNUMBER(SEARCH("나중에",K498)),ISNUMBER(SEARCH("보류",L498)),ISNUMBER(SEARCH("미룸",L498)),ISNUMBER(SEARCH("나중에",L498))),"보류(나중에 풀기)",IF(AND(F498="",G498="",H498="",I498=""),"미완료",IF(I498&lt;&gt;"","복습3(마스터)",IF(H498&lt;&gt;"","복습2",IF(G498&lt;&gt;"","복습1",IF(ISNUMBER(SEARCH("제미나이",K498)),"복습대기(AI도움)",IF(ISNUMBER(SEARCH("간당간당",K498)),"복습대기(간당간당)",IF(OR(ISNUMBER(SEARCH("아이디어",K498)),ISNUMBER(SEARCH("시간초과",K498)),ISNUMBER(SEARCH("자료구조",K498)),ISNUMBER(SEARCH("경계값",K498)),ISNUMBER(SEARCH("다른 풀이",K498)),ISNUMBER(SEARCH("또풀기",K498))),"복습대기",IF(OR(ISNUMBER(SEARCH("복습필요없음",K498)),ISNUMBER(SEARCH("자력완벽",K498))),"품(복습불필요)",IF(F498&lt;&gt;"","품","미완료"))))))))))</f>
        <v/>
      </c>
      <c r="K498" s="32" t="inlineStr">
        <is>
          <t>-</t>
        </is>
      </c>
      <c r="L498" s="32" t="n"/>
      <c r="M498" s="28">
        <f>IF(OR(LEFT(J498,2)="보류", LEFT(J498,4)="복습대기", LEFT(J498,3)="복습1", LEFT(J498,3)="복습2"), MAX($M$3:M497)+1, "")</f>
        <v/>
      </c>
      <c r="N498" s="28" t="inlineStr">
        <is>
          <t>W13</t>
        </is>
      </c>
      <c r="O498" s="36" t="n">
        <v>46348</v>
      </c>
      <c r="P498" s="30">
        <f>IF(F498&lt;&gt;"","✅ 완료",IF(O498="","-",IF(TODAY()&gt;O498,"🚨 지연","⏳ 예정")))</f>
        <v/>
      </c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 ht="21.75" customHeight="1" s="209">
      <c r="A499" s="28" t="n">
        <v>496</v>
      </c>
      <c r="B499" s="28" t="inlineStr">
        <is>
          <t>11316</t>
        </is>
      </c>
      <c r="C499" s="30" t="inlineStr">
        <is>
          <t>D4</t>
        </is>
      </c>
      <c r="D499" s="32" t="inlineStr">
        <is>
          <t>주기 찾기</t>
        </is>
      </c>
      <c r="E499" s="28" t="inlineStr">
        <is>
          <t>DFS / BFS / 백트래킹</t>
        </is>
      </c>
      <c r="F499" s="28" t="n"/>
      <c r="G499" s="28" t="n"/>
      <c r="H499" s="28" t="n"/>
      <c r="I499" s="28" t="n"/>
      <c r="J499" s="54">
        <f>IF(OR(ISNUMBER(SEARCH("보류",K499)),ISNUMBER(SEARCH("미룸",K499)),ISNUMBER(SEARCH("나중에",K499)),ISNUMBER(SEARCH("보류",L499)),ISNUMBER(SEARCH("미룸",L499)),ISNUMBER(SEARCH("나중에",L499))),"보류(나중에 풀기)",IF(AND(F499="",G499="",H499="",I499=""),"미완료",IF(I499&lt;&gt;"","복습3(마스터)",IF(H499&lt;&gt;"","복습2",IF(G499&lt;&gt;"","복습1",IF(ISNUMBER(SEARCH("제미나이",K499)),"복습대기(AI도움)",IF(ISNUMBER(SEARCH("간당간당",K499)),"복습대기(간당간당)",IF(OR(ISNUMBER(SEARCH("아이디어",K499)),ISNUMBER(SEARCH("시간초과",K499)),ISNUMBER(SEARCH("자료구조",K499)),ISNUMBER(SEARCH("경계값",K499)),ISNUMBER(SEARCH("다른 풀이",K499)),ISNUMBER(SEARCH("또풀기",K499))),"복습대기",IF(OR(ISNUMBER(SEARCH("복습필요없음",K499)),ISNUMBER(SEARCH("자력완벽",K499))),"품(복습불필요)",IF(F499&lt;&gt;"","품","미완료"))))))))))</f>
        <v/>
      </c>
      <c r="K499" s="32" t="inlineStr">
        <is>
          <t>-</t>
        </is>
      </c>
      <c r="L499" s="32" t="n"/>
      <c r="M499" s="28">
        <f>IF(OR(LEFT(J499,2)="보류", LEFT(J499,4)="복습대기", LEFT(J499,3)="복습1", LEFT(J499,3)="복습2"), MAX($M$3:M498)+1, "")</f>
        <v/>
      </c>
      <c r="N499" s="28" t="inlineStr">
        <is>
          <t>W13</t>
        </is>
      </c>
      <c r="O499" s="36" t="n">
        <v>46348</v>
      </c>
      <c r="P499" s="30">
        <f>IF(F499&lt;&gt;"","✅ 완료",IF(O499="","-",IF(TODAY()&gt;O499,"🚨 지연","⏳ 예정")))</f>
        <v/>
      </c>
      <c r="Q499" s="7" t="n"/>
      <c r="R499" s="7" t="n"/>
      <c r="S499" s="7" t="n"/>
      <c r="T499" s="7" t="n"/>
      <c r="U499" s="7" t="n"/>
      <c r="V499" s="7" t="n"/>
      <c r="W499" s="7" t="n"/>
      <c r="X499" s="7" t="n"/>
    </row>
    <row r="500" ht="21.75" customHeight="1" s="209">
      <c r="A500" s="28" t="n">
        <v>497</v>
      </c>
      <c r="B500" s="28" t="inlineStr">
        <is>
          <t>11446</t>
        </is>
      </c>
      <c r="C500" s="30" t="inlineStr">
        <is>
          <t>D4</t>
        </is>
      </c>
      <c r="D500" s="32" t="inlineStr">
        <is>
          <t>사탕 가방</t>
        </is>
      </c>
      <c r="E500" s="28" t="inlineStr">
        <is>
          <t>DFS / BFS / 백트래킹</t>
        </is>
      </c>
      <c r="F500" s="28" t="n"/>
      <c r="G500" s="28" t="n"/>
      <c r="H500" s="28" t="n"/>
      <c r="I500" s="28" t="n"/>
      <c r="J500" s="54">
        <f>IF(OR(ISNUMBER(SEARCH("보류",K500)),ISNUMBER(SEARCH("미룸",K500)),ISNUMBER(SEARCH("나중에",K500)),ISNUMBER(SEARCH("보류",L500)),ISNUMBER(SEARCH("미룸",L500)),ISNUMBER(SEARCH("나중에",L500))),"보류(나중에 풀기)",IF(AND(F500="",G500="",H500="",I500=""),"미완료",IF(I500&lt;&gt;"","복습3(마스터)",IF(H500&lt;&gt;"","복습2",IF(G500&lt;&gt;"","복습1",IF(ISNUMBER(SEARCH("제미나이",K500)),"복습대기(AI도움)",IF(ISNUMBER(SEARCH("간당간당",K500)),"복습대기(간당간당)",IF(OR(ISNUMBER(SEARCH("아이디어",K500)),ISNUMBER(SEARCH("시간초과",K500)),ISNUMBER(SEARCH("자료구조",K500)),ISNUMBER(SEARCH("경계값",K500)),ISNUMBER(SEARCH("다른 풀이",K500)),ISNUMBER(SEARCH("또풀기",K500))),"복습대기",IF(OR(ISNUMBER(SEARCH("복습필요없음",K500)),ISNUMBER(SEARCH("자력완벽",K500))),"품(복습불필요)",IF(F500&lt;&gt;"","품","미완료"))))))))))</f>
        <v/>
      </c>
      <c r="K500" s="32" t="inlineStr">
        <is>
          <t>-</t>
        </is>
      </c>
      <c r="L500" s="32" t="n"/>
      <c r="M500" s="28">
        <f>IF(OR(LEFT(J500,2)="보류", LEFT(J500,4)="복습대기", LEFT(J500,3)="복습1", LEFT(J500,3)="복습2"), MAX($M$3:M499)+1, "")</f>
        <v/>
      </c>
      <c r="N500" s="28" t="inlineStr">
        <is>
          <t>W13</t>
        </is>
      </c>
      <c r="O500" s="36" t="n">
        <v>46348</v>
      </c>
      <c r="P500" s="30">
        <f>IF(F500&lt;&gt;"","✅ 완료",IF(O500="","-",IF(TODAY()&gt;O500,"🚨 지연","⏳ 예정")))</f>
        <v/>
      </c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 ht="21.75" customHeight="1" s="209">
      <c r="A501" s="28" t="n">
        <v>498</v>
      </c>
      <c r="B501" s="28" t="inlineStr">
        <is>
          <t>11545</t>
        </is>
      </c>
      <c r="C501" s="30" t="inlineStr">
        <is>
          <t>D4</t>
        </is>
      </c>
      <c r="D501" s="32" t="inlineStr">
        <is>
          <t>틱택톰</t>
        </is>
      </c>
      <c r="E501" s="28" t="inlineStr">
        <is>
          <t>DFS / BFS / 백트래킹</t>
        </is>
      </c>
      <c r="F501" s="28" t="n"/>
      <c r="G501" s="28" t="n"/>
      <c r="H501" s="28" t="n"/>
      <c r="I501" s="28" t="n"/>
      <c r="J501" s="54">
        <f>IF(OR(ISNUMBER(SEARCH("보류",K501)),ISNUMBER(SEARCH("미룸",K501)),ISNUMBER(SEARCH("나중에",K501)),ISNUMBER(SEARCH("보류",L501)),ISNUMBER(SEARCH("미룸",L501)),ISNUMBER(SEARCH("나중에",L501))),"보류(나중에 풀기)",IF(AND(F501="",G501="",H501="",I501=""),"미완료",IF(I501&lt;&gt;"","복습3(마스터)",IF(H501&lt;&gt;"","복습2",IF(G501&lt;&gt;"","복습1",IF(ISNUMBER(SEARCH("제미나이",K501)),"복습대기(AI도움)",IF(ISNUMBER(SEARCH("간당간당",K501)),"복습대기(간당간당)",IF(OR(ISNUMBER(SEARCH("아이디어",K501)),ISNUMBER(SEARCH("시간초과",K501)),ISNUMBER(SEARCH("자료구조",K501)),ISNUMBER(SEARCH("경계값",K501)),ISNUMBER(SEARCH("다른 풀이",K501)),ISNUMBER(SEARCH("또풀기",K501))),"복습대기",IF(OR(ISNUMBER(SEARCH("복습필요없음",K501)),ISNUMBER(SEARCH("자력완벽",K501))),"품(복습불필요)",IF(F501&lt;&gt;"","품","미완료"))))))))))</f>
        <v/>
      </c>
      <c r="K501" s="32" t="inlineStr">
        <is>
          <t>-</t>
        </is>
      </c>
      <c r="L501" s="32" t="n"/>
      <c r="M501" s="28">
        <f>IF(OR(LEFT(J501,2)="보류", LEFT(J501,4)="복습대기", LEFT(J501,3)="복습1", LEFT(J501,3)="복습2"), MAX($M$3:M500)+1, "")</f>
        <v/>
      </c>
      <c r="N501" s="28" t="inlineStr">
        <is>
          <t>W13</t>
        </is>
      </c>
      <c r="O501" s="36" t="n">
        <v>46348</v>
      </c>
      <c r="P501" s="30">
        <f>IF(F501&lt;&gt;"","✅ 완료",IF(O501="","-",IF(TODAY()&gt;O501,"🚨 지연","⏳ 예정")))</f>
        <v/>
      </c>
      <c r="Q501" s="7" t="n"/>
      <c r="R501" s="7" t="n"/>
      <c r="S501" s="7" t="n"/>
      <c r="T501" s="7" t="n"/>
      <c r="U501" s="7" t="n"/>
      <c r="V501" s="7" t="n"/>
      <c r="W501" s="7" t="n"/>
      <c r="X501" s="7" t="n"/>
    </row>
    <row r="502" ht="21.75" customHeight="1" s="209">
      <c r="A502" s="28" t="n">
        <v>499</v>
      </c>
      <c r="B502" s="28" t="inlineStr">
        <is>
          <t>11592</t>
        </is>
      </c>
      <c r="C502" s="30" t="inlineStr">
        <is>
          <t>D4</t>
        </is>
      </c>
      <c r="D502" s="32" t="inlineStr">
        <is>
          <t>크루즈 컨트롤</t>
        </is>
      </c>
      <c r="E502" s="28" t="inlineStr">
        <is>
          <t>DFS / BFS / 백트래킹</t>
        </is>
      </c>
      <c r="F502" s="28" t="n"/>
      <c r="G502" s="28" t="n"/>
      <c r="H502" s="28" t="n"/>
      <c r="I502" s="28" t="n"/>
      <c r="J502" s="54">
        <f>IF(OR(ISNUMBER(SEARCH("보류",K502)),ISNUMBER(SEARCH("미룸",K502)),ISNUMBER(SEARCH("나중에",K502)),ISNUMBER(SEARCH("보류",L502)),ISNUMBER(SEARCH("미룸",L502)),ISNUMBER(SEARCH("나중에",L502))),"보류(나중에 풀기)",IF(AND(F502="",G502="",H502="",I502=""),"미완료",IF(I502&lt;&gt;"","복습3(마스터)",IF(H502&lt;&gt;"","복습2",IF(G502&lt;&gt;"","복습1",IF(ISNUMBER(SEARCH("제미나이",K502)),"복습대기(AI도움)",IF(ISNUMBER(SEARCH("간당간당",K502)),"복습대기(간당간당)",IF(OR(ISNUMBER(SEARCH("아이디어",K502)),ISNUMBER(SEARCH("시간초과",K502)),ISNUMBER(SEARCH("자료구조",K502)),ISNUMBER(SEARCH("경계값",K502)),ISNUMBER(SEARCH("다른 풀이",K502)),ISNUMBER(SEARCH("또풀기",K502))),"복습대기",IF(OR(ISNUMBER(SEARCH("복습필요없음",K502)),ISNUMBER(SEARCH("자력완벽",K502))),"품(복습불필요)",IF(F502&lt;&gt;"","품","미완료"))))))))))</f>
        <v/>
      </c>
      <c r="K502" s="32" t="inlineStr">
        <is>
          <t>-</t>
        </is>
      </c>
      <c r="L502" s="32" t="n"/>
      <c r="M502" s="28">
        <f>IF(OR(LEFT(J502,2)="보류", LEFT(J502,4)="복습대기", LEFT(J502,3)="복습1", LEFT(J502,3)="복습2"), MAX($M$3:M501)+1, "")</f>
        <v/>
      </c>
      <c r="N502" s="28" t="inlineStr">
        <is>
          <t>W13</t>
        </is>
      </c>
      <c r="O502" s="36" t="n">
        <v>46348</v>
      </c>
      <c r="P502" s="30">
        <f>IF(F502&lt;&gt;"","✅ 완료",IF(O502="","-",IF(TODAY()&gt;O502,"🚨 지연","⏳ 예정")))</f>
        <v/>
      </c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 ht="21.75" customHeight="1" s="209">
      <c r="A503" s="28" t="n">
        <v>500</v>
      </c>
      <c r="B503" s="28" t="inlineStr">
        <is>
          <t>12005</t>
        </is>
      </c>
      <c r="C503" s="30" t="inlineStr">
        <is>
          <t>D4</t>
        </is>
      </c>
      <c r="D503" s="32" t="inlineStr">
        <is>
          <t>서로소 XOR 방정식</t>
        </is>
      </c>
      <c r="E503" s="28" t="inlineStr">
        <is>
          <t>DFS / BFS / 백트래킹</t>
        </is>
      </c>
      <c r="F503" s="28" t="n"/>
      <c r="G503" s="28" t="n"/>
      <c r="H503" s="28" t="n"/>
      <c r="I503" s="28" t="n"/>
      <c r="J503" s="54">
        <f>IF(OR(ISNUMBER(SEARCH("보류",K503)),ISNUMBER(SEARCH("미룸",K503)),ISNUMBER(SEARCH("나중에",K503)),ISNUMBER(SEARCH("보류",L503)),ISNUMBER(SEARCH("미룸",L503)),ISNUMBER(SEARCH("나중에",L503))),"보류(나중에 풀기)",IF(AND(F503="",G503="",H503="",I503=""),"미완료",IF(I503&lt;&gt;"","복습3(마스터)",IF(H503&lt;&gt;"","복습2",IF(G503&lt;&gt;"","복습1",IF(ISNUMBER(SEARCH("제미나이",K503)),"복습대기(AI도움)",IF(ISNUMBER(SEARCH("간당간당",K503)),"복습대기(간당간당)",IF(OR(ISNUMBER(SEARCH("아이디어",K503)),ISNUMBER(SEARCH("시간초과",K503)),ISNUMBER(SEARCH("자료구조",K503)),ISNUMBER(SEARCH("경계값",K503)),ISNUMBER(SEARCH("다른 풀이",K503)),ISNUMBER(SEARCH("또풀기",K503))),"복습대기",IF(OR(ISNUMBER(SEARCH("복습필요없음",K503)),ISNUMBER(SEARCH("자력완벽",K503))),"품(복습불필요)",IF(F503&lt;&gt;"","품","미완료"))))))))))</f>
        <v/>
      </c>
      <c r="K503" s="32" t="inlineStr">
        <is>
          <t>-</t>
        </is>
      </c>
      <c r="L503" s="32" t="n"/>
      <c r="M503" s="28">
        <f>IF(OR(LEFT(J503,2)="보류", LEFT(J503,4)="복습대기", LEFT(J503,3)="복습1", LEFT(J503,3)="복습2"), MAX($M$3:M502)+1, "")</f>
        <v/>
      </c>
      <c r="N503" s="28" t="inlineStr">
        <is>
          <t>W13</t>
        </is>
      </c>
      <c r="O503" s="36" t="n">
        <v>46348</v>
      </c>
      <c r="P503" s="30">
        <f>IF(F503&lt;&gt;"","✅ 완료",IF(O503="","-",IF(TODAY()&gt;O503,"🚨 지연","⏳ 예정")))</f>
        <v/>
      </c>
      <c r="Q503" s="7" t="n"/>
      <c r="R503" s="7" t="n"/>
      <c r="S503" s="7" t="n"/>
      <c r="T503" s="7" t="n"/>
      <c r="U503" s="7" t="n"/>
      <c r="V503" s="7" t="n"/>
      <c r="W503" s="7" t="n"/>
      <c r="X503" s="7" t="n"/>
    </row>
    <row r="504" ht="21.75" customHeight="1" s="209">
      <c r="A504" s="28" t="n">
        <v>501</v>
      </c>
      <c r="B504" s="28" t="inlineStr">
        <is>
          <t>12052</t>
        </is>
      </c>
      <c r="C504" s="30" t="inlineStr">
        <is>
          <t>D4</t>
        </is>
      </c>
      <c r="D504" s="32" t="inlineStr">
        <is>
          <t>부서진 타일</t>
        </is>
      </c>
      <c r="E504" s="28" t="inlineStr">
        <is>
          <t>DFS / BFS / 백트래킹</t>
        </is>
      </c>
      <c r="F504" s="28" t="n"/>
      <c r="G504" s="28" t="n"/>
      <c r="H504" s="28" t="n"/>
      <c r="I504" s="28" t="n"/>
      <c r="J504" s="54">
        <f>IF(OR(ISNUMBER(SEARCH("보류",K504)),ISNUMBER(SEARCH("미룸",K504)),ISNUMBER(SEARCH("나중에",K504)),ISNUMBER(SEARCH("보류",L504)),ISNUMBER(SEARCH("미룸",L504)),ISNUMBER(SEARCH("나중에",L504))),"보류(나중에 풀기)",IF(AND(F504="",G504="",H504="",I504=""),"미완료",IF(I504&lt;&gt;"","복습3(마스터)",IF(H504&lt;&gt;"","복습2",IF(G504&lt;&gt;"","복습1",IF(ISNUMBER(SEARCH("제미나이",K504)),"복습대기(AI도움)",IF(ISNUMBER(SEARCH("간당간당",K504)),"복습대기(간당간당)",IF(OR(ISNUMBER(SEARCH("아이디어",K504)),ISNUMBER(SEARCH("시간초과",K504)),ISNUMBER(SEARCH("자료구조",K504)),ISNUMBER(SEARCH("경계값",K504)),ISNUMBER(SEARCH("다른 풀이",K504)),ISNUMBER(SEARCH("또풀기",K504))),"복습대기",IF(OR(ISNUMBER(SEARCH("복습필요없음",K504)),ISNUMBER(SEARCH("자력완벽",K504))),"품(복습불필요)",IF(F504&lt;&gt;"","품","미완료"))))))))))</f>
        <v/>
      </c>
      <c r="K504" s="32" t="inlineStr">
        <is>
          <t>-</t>
        </is>
      </c>
      <c r="L504" s="32" t="n"/>
      <c r="M504" s="28">
        <f>IF(OR(LEFT(J504,2)="보류", LEFT(J504,4)="복습대기", LEFT(J504,3)="복습1", LEFT(J504,3)="복습2"), MAX($M$3:M503)+1, "")</f>
        <v/>
      </c>
      <c r="N504" s="28" t="inlineStr">
        <is>
          <t>W14</t>
        </is>
      </c>
      <c r="O504" s="36" t="n">
        <v>46349</v>
      </c>
      <c r="P504" s="30">
        <f>IF(F504&lt;&gt;"","✅ 완료",IF(O504="","-",IF(TODAY()&gt;O504,"🚨 지연","⏳ 예정")))</f>
        <v/>
      </c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 ht="21.75" customHeight="1" s="209">
      <c r="A505" s="28" t="n">
        <v>502</v>
      </c>
      <c r="B505" s="28" t="inlineStr">
        <is>
          <t>12222</t>
        </is>
      </c>
      <c r="C505" s="30" t="inlineStr">
        <is>
          <t>D4</t>
        </is>
      </c>
      <c r="D505" s="32" t="inlineStr">
        <is>
          <t>문자열 나누기</t>
        </is>
      </c>
      <c r="E505" s="28" t="inlineStr">
        <is>
          <t>문자열 / 파싱</t>
        </is>
      </c>
      <c r="F505" s="28" t="n"/>
      <c r="G505" s="28" t="n"/>
      <c r="H505" s="28" t="n"/>
      <c r="I505" s="28" t="n"/>
      <c r="J505" s="54">
        <f>IF(OR(ISNUMBER(SEARCH("보류",K505)),ISNUMBER(SEARCH("미룸",K505)),ISNUMBER(SEARCH("나중에",K505)),ISNUMBER(SEARCH("보류",L505)),ISNUMBER(SEARCH("미룸",L505)),ISNUMBER(SEARCH("나중에",L505))),"보류(나중에 풀기)",IF(AND(F505="",G505="",H505="",I505=""),"미완료",IF(I505&lt;&gt;"","복습3(마스터)",IF(H505&lt;&gt;"","복습2",IF(G505&lt;&gt;"","복습1",IF(ISNUMBER(SEARCH("제미나이",K505)),"복습대기(AI도움)",IF(ISNUMBER(SEARCH("간당간당",K505)),"복습대기(간당간당)",IF(OR(ISNUMBER(SEARCH("아이디어",K505)),ISNUMBER(SEARCH("시간초과",K505)),ISNUMBER(SEARCH("자료구조",K505)),ISNUMBER(SEARCH("경계값",K505)),ISNUMBER(SEARCH("다른 풀이",K505)),ISNUMBER(SEARCH("또풀기",K505))),"복습대기",IF(OR(ISNUMBER(SEARCH("복습필요없음",K505)),ISNUMBER(SEARCH("자력완벽",K505))),"품(복습불필요)",IF(F505&lt;&gt;"","품","미완료"))))))))))</f>
        <v/>
      </c>
      <c r="K505" s="32" t="inlineStr">
        <is>
          <t>-</t>
        </is>
      </c>
      <c r="L505" s="32" t="n"/>
      <c r="M505" s="28">
        <f>IF(OR(LEFT(J505,2)="보류", LEFT(J505,4)="복습대기", LEFT(J505,3)="복습1", LEFT(J505,3)="복습2"), MAX($M$3:M504)+1, "")</f>
        <v/>
      </c>
      <c r="N505" s="28" t="inlineStr">
        <is>
          <t>W14</t>
        </is>
      </c>
      <c r="O505" s="36" t="n">
        <v>46349</v>
      </c>
      <c r="P505" s="30">
        <f>IF(F505&lt;&gt;"","✅ 완료",IF(O505="","-",IF(TODAY()&gt;O505,"🚨 지연","⏳ 예정")))</f>
        <v/>
      </c>
      <c r="Q505" s="7" t="n"/>
      <c r="R505" s="7" t="n"/>
      <c r="S505" s="7" t="n"/>
      <c r="T505" s="7" t="n"/>
      <c r="U505" s="7" t="n"/>
      <c r="V505" s="7" t="n"/>
      <c r="W505" s="7" t="n"/>
      <c r="X505" s="7" t="n"/>
    </row>
    <row r="506" ht="21.75" customHeight="1" s="209">
      <c r="A506" s="28" t="n">
        <v>503</v>
      </c>
      <c r="B506" s="28" t="inlineStr">
        <is>
          <t>12369</t>
        </is>
      </c>
      <c r="C506" s="30" t="inlineStr">
        <is>
          <t>D4</t>
        </is>
      </c>
      <c r="D506" s="32" t="inlineStr">
        <is>
          <t>일련번호 붙이기</t>
        </is>
      </c>
      <c r="E506" s="28" t="inlineStr">
        <is>
          <t>DFS / BFS / 백트래킹</t>
        </is>
      </c>
      <c r="F506" s="28" t="n"/>
      <c r="G506" s="28" t="n"/>
      <c r="H506" s="28" t="n"/>
      <c r="I506" s="28" t="n"/>
      <c r="J506" s="54">
        <f>IF(OR(ISNUMBER(SEARCH("보류",K506)),ISNUMBER(SEARCH("미룸",K506)),ISNUMBER(SEARCH("나중에",K506)),ISNUMBER(SEARCH("보류",L506)),ISNUMBER(SEARCH("미룸",L506)),ISNUMBER(SEARCH("나중에",L506))),"보류(나중에 풀기)",IF(AND(F506="",G506="",H506="",I506=""),"미완료",IF(I506&lt;&gt;"","복습3(마스터)",IF(H506&lt;&gt;"","복습2",IF(G506&lt;&gt;"","복습1",IF(ISNUMBER(SEARCH("제미나이",K506)),"복습대기(AI도움)",IF(ISNUMBER(SEARCH("간당간당",K506)),"복습대기(간당간당)",IF(OR(ISNUMBER(SEARCH("아이디어",K506)),ISNUMBER(SEARCH("시간초과",K506)),ISNUMBER(SEARCH("자료구조",K506)),ISNUMBER(SEARCH("경계값",K506)),ISNUMBER(SEARCH("다른 풀이",K506)),ISNUMBER(SEARCH("또풀기",K506))),"복습대기",IF(OR(ISNUMBER(SEARCH("복습필요없음",K506)),ISNUMBER(SEARCH("자력완벽",K506))),"품(복습불필요)",IF(F506&lt;&gt;"","품","미완료"))))))))))</f>
        <v/>
      </c>
      <c r="K506" s="32" t="inlineStr">
        <is>
          <t>-</t>
        </is>
      </c>
      <c r="L506" s="32" t="n"/>
      <c r="M506" s="28">
        <f>IF(OR(LEFT(J506,2)="보류", LEFT(J506,4)="복습대기", LEFT(J506,3)="복습1", LEFT(J506,3)="복습2"), MAX($M$3:M505)+1, "")</f>
        <v/>
      </c>
      <c r="N506" s="28" t="inlineStr">
        <is>
          <t>W14</t>
        </is>
      </c>
      <c r="O506" s="36" t="n">
        <v>46349</v>
      </c>
      <c r="P506" s="30">
        <f>IF(F506&lt;&gt;"","✅ 완료",IF(O506="","-",IF(TODAY()&gt;O506,"🚨 지연","⏳ 예정")))</f>
        <v/>
      </c>
      <c r="Q506" s="7" t="n"/>
      <c r="R506" s="7" t="n"/>
      <c r="S506" s="7" t="n"/>
      <c r="T506" s="7" t="n"/>
      <c r="U506" s="7" t="n"/>
      <c r="V506" s="7" t="n"/>
      <c r="W506" s="7" t="n"/>
      <c r="X506" s="7" t="n"/>
    </row>
    <row r="507" ht="21.75" customHeight="1" s="209">
      <c r="A507" s="28" t="n">
        <v>504</v>
      </c>
      <c r="B507" s="28" t="inlineStr">
        <is>
          <t>12742</t>
        </is>
      </c>
      <c r="C507" s="30" t="inlineStr">
        <is>
          <t>D4</t>
        </is>
      </c>
      <c r="D507" s="32" t="inlineStr">
        <is>
          <t>장마 속의 막대</t>
        </is>
      </c>
      <c r="E507" s="28" t="inlineStr">
        <is>
          <t>DFS / BFS / 백트래킹</t>
        </is>
      </c>
      <c r="F507" s="28" t="n"/>
      <c r="G507" s="28" t="n"/>
      <c r="H507" s="28" t="n"/>
      <c r="I507" s="28" t="n"/>
      <c r="J507" s="54">
        <f>IF(OR(ISNUMBER(SEARCH("보류",K507)),ISNUMBER(SEARCH("미룸",K507)),ISNUMBER(SEARCH("나중에",K507)),ISNUMBER(SEARCH("보류",L507)),ISNUMBER(SEARCH("미룸",L507)),ISNUMBER(SEARCH("나중에",L507))),"보류(나중에 풀기)",IF(AND(F507="",G507="",H507="",I507=""),"미완료",IF(I507&lt;&gt;"","복습3(마스터)",IF(H507&lt;&gt;"","복습2",IF(G507&lt;&gt;"","복습1",IF(ISNUMBER(SEARCH("제미나이",K507)),"복습대기(AI도움)",IF(ISNUMBER(SEARCH("간당간당",K507)),"복습대기(간당간당)",IF(OR(ISNUMBER(SEARCH("아이디어",K507)),ISNUMBER(SEARCH("시간초과",K507)),ISNUMBER(SEARCH("자료구조",K507)),ISNUMBER(SEARCH("경계값",K507)),ISNUMBER(SEARCH("다른 풀이",K507)),ISNUMBER(SEARCH("또풀기",K507))),"복습대기",IF(OR(ISNUMBER(SEARCH("복습필요없음",K507)),ISNUMBER(SEARCH("자력완벽",K507))),"품(복습불필요)",IF(F507&lt;&gt;"","품","미완료"))))))))))</f>
        <v/>
      </c>
      <c r="K507" s="32" t="inlineStr">
        <is>
          <t>-</t>
        </is>
      </c>
      <c r="L507" s="32" t="n"/>
      <c r="M507" s="28">
        <f>IF(OR(LEFT(J507,2)="보류", LEFT(J507,4)="복습대기", LEFT(J507,3)="복습1", LEFT(J507,3)="복습2"), MAX($M$3:M506)+1, "")</f>
        <v/>
      </c>
      <c r="N507" s="28" t="inlineStr">
        <is>
          <t>W14</t>
        </is>
      </c>
      <c r="O507" s="36" t="n">
        <v>46349</v>
      </c>
      <c r="P507" s="30">
        <f>IF(F507&lt;&gt;"","✅ 완료",IF(O507="","-",IF(TODAY()&gt;O507,"🚨 지연","⏳ 예정")))</f>
        <v/>
      </c>
      <c r="Q507" s="7" t="n"/>
      <c r="R507" s="7" t="n"/>
      <c r="S507" s="7" t="n"/>
      <c r="T507" s="7" t="n"/>
      <c r="U507" s="7" t="n"/>
      <c r="V507" s="7" t="n"/>
      <c r="W507" s="7" t="n"/>
      <c r="X507" s="7" t="n"/>
    </row>
    <row r="508" ht="21.75" customHeight="1" s="209">
      <c r="A508" s="28" t="n">
        <v>505</v>
      </c>
      <c r="B508" s="28" t="inlineStr">
        <is>
          <t>13041</t>
        </is>
      </c>
      <c r="C508" s="30" t="inlineStr">
        <is>
          <t>D4</t>
        </is>
      </c>
      <c r="D508" s="32" t="inlineStr">
        <is>
          <t>게으름뱅이 왕국</t>
        </is>
      </c>
      <c r="E508" s="28" t="inlineStr">
        <is>
          <t>DFS / BFS / 백트래킹</t>
        </is>
      </c>
      <c r="F508" s="28" t="n"/>
      <c r="G508" s="28" t="n"/>
      <c r="H508" s="28" t="n"/>
      <c r="I508" s="28" t="n"/>
      <c r="J508" s="54">
        <f>IF(OR(ISNUMBER(SEARCH("보류",K508)),ISNUMBER(SEARCH("미룸",K508)),ISNUMBER(SEARCH("나중에",K508)),ISNUMBER(SEARCH("보류",L508)),ISNUMBER(SEARCH("미룸",L508)),ISNUMBER(SEARCH("나중에",L508))),"보류(나중에 풀기)",IF(AND(F508="",G508="",H508="",I508=""),"미완료",IF(I508&lt;&gt;"","복습3(마스터)",IF(H508&lt;&gt;"","복습2",IF(G508&lt;&gt;"","복습1",IF(ISNUMBER(SEARCH("제미나이",K508)),"복습대기(AI도움)",IF(ISNUMBER(SEARCH("간당간당",K508)),"복습대기(간당간당)",IF(OR(ISNUMBER(SEARCH("아이디어",K508)),ISNUMBER(SEARCH("시간초과",K508)),ISNUMBER(SEARCH("자료구조",K508)),ISNUMBER(SEARCH("경계값",K508)),ISNUMBER(SEARCH("다른 풀이",K508)),ISNUMBER(SEARCH("또풀기",K508))),"복습대기",IF(OR(ISNUMBER(SEARCH("복습필요없음",K508)),ISNUMBER(SEARCH("자력완벽",K508))),"품(복습불필요)",IF(F508&lt;&gt;"","품","미완료"))))))))))</f>
        <v/>
      </c>
      <c r="K508" s="32" t="inlineStr">
        <is>
          <t>-</t>
        </is>
      </c>
      <c r="L508" s="32" t="n"/>
      <c r="M508" s="28">
        <f>IF(OR(LEFT(J508,2)="보류", LEFT(J508,4)="복습대기", LEFT(J508,3)="복습1", LEFT(J508,3)="복습2"), MAX($M$3:M507)+1, "")</f>
        <v/>
      </c>
      <c r="N508" s="28" t="inlineStr">
        <is>
          <t>W14</t>
        </is>
      </c>
      <c r="O508" s="36" t="n">
        <v>46349</v>
      </c>
      <c r="P508" s="30">
        <f>IF(F508&lt;&gt;"","✅ 완료",IF(O508="","-",IF(TODAY()&gt;O508,"🚨 지연","⏳ 예정")))</f>
        <v/>
      </c>
      <c r="Q508" s="7" t="n"/>
      <c r="R508" s="7" t="n"/>
      <c r="S508" s="7" t="n"/>
      <c r="T508" s="7" t="n"/>
      <c r="U508" s="7" t="n"/>
      <c r="V508" s="7" t="n"/>
      <c r="W508" s="7" t="n"/>
      <c r="X508" s="7" t="n"/>
    </row>
    <row r="509" ht="21.75" customHeight="1" s="209">
      <c r="A509" s="28" t="n">
        <v>506</v>
      </c>
      <c r="B509" s="28" t="inlineStr">
        <is>
          <t>13219</t>
        </is>
      </c>
      <c r="C509" s="30" t="inlineStr">
        <is>
          <t>D4</t>
        </is>
      </c>
      <c r="D509" s="32" t="inlineStr">
        <is>
          <t>진행률</t>
        </is>
      </c>
      <c r="E509" s="28" t="inlineStr">
        <is>
          <t>DFS / BFS / 백트래킹</t>
        </is>
      </c>
      <c r="F509" s="28" t="n"/>
      <c r="G509" s="28" t="n"/>
      <c r="H509" s="28" t="n"/>
      <c r="I509" s="28" t="n"/>
      <c r="J509" s="54">
        <f>IF(OR(ISNUMBER(SEARCH("보류",K509)),ISNUMBER(SEARCH("미룸",K509)),ISNUMBER(SEARCH("나중에",K509)),ISNUMBER(SEARCH("보류",L509)),ISNUMBER(SEARCH("미룸",L509)),ISNUMBER(SEARCH("나중에",L509))),"보류(나중에 풀기)",IF(AND(F509="",G509="",H509="",I509=""),"미완료",IF(I509&lt;&gt;"","복습3(마스터)",IF(H509&lt;&gt;"","복습2",IF(G509&lt;&gt;"","복습1",IF(ISNUMBER(SEARCH("제미나이",K509)),"복습대기(AI도움)",IF(ISNUMBER(SEARCH("간당간당",K509)),"복습대기(간당간당)",IF(OR(ISNUMBER(SEARCH("아이디어",K509)),ISNUMBER(SEARCH("시간초과",K509)),ISNUMBER(SEARCH("자료구조",K509)),ISNUMBER(SEARCH("경계값",K509)),ISNUMBER(SEARCH("다른 풀이",K509)),ISNUMBER(SEARCH("또풀기",K509))),"복습대기",IF(OR(ISNUMBER(SEARCH("복습필요없음",K509)),ISNUMBER(SEARCH("자력완벽",K509))),"품(복습불필요)",IF(F509&lt;&gt;"","품","미완료"))))))))))</f>
        <v/>
      </c>
      <c r="K509" s="32" t="inlineStr">
        <is>
          <t>-</t>
        </is>
      </c>
      <c r="L509" s="32" t="n"/>
      <c r="M509" s="28">
        <f>IF(OR(LEFT(J509,2)="보류", LEFT(J509,4)="복습대기", LEFT(J509,3)="복습1", LEFT(J509,3)="복습2"), MAX($M$3:M508)+1, "")</f>
        <v/>
      </c>
      <c r="N509" s="28" t="inlineStr">
        <is>
          <t>W14</t>
        </is>
      </c>
      <c r="O509" s="36" t="n">
        <v>46349</v>
      </c>
      <c r="P509" s="30">
        <f>IF(F509&lt;&gt;"","✅ 완료",IF(O509="","-",IF(TODAY()&gt;O509,"🚨 지연","⏳ 예정")))</f>
        <v/>
      </c>
      <c r="Q509" s="7" t="n"/>
      <c r="R509" s="7" t="n"/>
      <c r="S509" s="7" t="n"/>
      <c r="T509" s="7" t="n"/>
      <c r="U509" s="7" t="n"/>
      <c r="V509" s="7" t="n"/>
      <c r="W509" s="7" t="n"/>
      <c r="X509" s="7" t="n"/>
    </row>
    <row r="510" ht="21.75" customHeight="1" s="209">
      <c r="A510" s="28" t="n">
        <v>507</v>
      </c>
      <c r="B510" s="28" t="inlineStr">
        <is>
          <t>13240</t>
        </is>
      </c>
      <c r="C510" s="30" t="inlineStr">
        <is>
          <t>D4</t>
        </is>
      </c>
      <c r="D510" s="32" t="inlineStr">
        <is>
          <t>정사각형 글꼴</t>
        </is>
      </c>
      <c r="E510" s="28" t="inlineStr">
        <is>
          <t>DFS / BFS / 백트래킹</t>
        </is>
      </c>
      <c r="F510" s="28" t="n"/>
      <c r="G510" s="28" t="n"/>
      <c r="H510" s="28" t="n"/>
      <c r="I510" s="28" t="n"/>
      <c r="J510" s="54">
        <f>IF(OR(ISNUMBER(SEARCH("보류",K510)),ISNUMBER(SEARCH("미룸",K510)),ISNUMBER(SEARCH("나중에",K510)),ISNUMBER(SEARCH("보류",L510)),ISNUMBER(SEARCH("미룸",L510)),ISNUMBER(SEARCH("나중에",L510))),"보류(나중에 풀기)",IF(AND(F510="",G510="",H510="",I510=""),"미완료",IF(I510&lt;&gt;"","복습3(마스터)",IF(H510&lt;&gt;"","복습2",IF(G510&lt;&gt;"","복습1",IF(ISNUMBER(SEARCH("제미나이",K510)),"복습대기(AI도움)",IF(ISNUMBER(SEARCH("간당간당",K510)),"복습대기(간당간당)",IF(OR(ISNUMBER(SEARCH("아이디어",K510)),ISNUMBER(SEARCH("시간초과",K510)),ISNUMBER(SEARCH("자료구조",K510)),ISNUMBER(SEARCH("경계값",K510)),ISNUMBER(SEARCH("다른 풀이",K510)),ISNUMBER(SEARCH("또풀기",K510))),"복습대기",IF(OR(ISNUMBER(SEARCH("복습필요없음",K510)),ISNUMBER(SEARCH("자력완벽",K510))),"품(복습불필요)",IF(F510&lt;&gt;"","품","미완료"))))))))))</f>
        <v/>
      </c>
      <c r="K510" s="32" t="inlineStr">
        <is>
          <t>-</t>
        </is>
      </c>
      <c r="L510" s="32" t="n"/>
      <c r="M510" s="28">
        <f>IF(OR(LEFT(J510,2)="보류", LEFT(J510,4)="복습대기", LEFT(J510,3)="복습1", LEFT(J510,3)="복습2"), MAX($M$3:M509)+1, "")</f>
        <v/>
      </c>
      <c r="N510" s="28" t="inlineStr">
        <is>
          <t>W14</t>
        </is>
      </c>
      <c r="O510" s="36" t="n">
        <v>46349</v>
      </c>
      <c r="P510" s="30">
        <f>IF(F510&lt;&gt;"","✅ 완료",IF(O510="","-",IF(TODAY()&gt;O510,"🚨 지연","⏳ 예정")))</f>
        <v/>
      </c>
      <c r="Q510" s="7" t="n"/>
      <c r="R510" s="7" t="n"/>
      <c r="S510" s="7" t="n"/>
      <c r="T510" s="7" t="n"/>
      <c r="U510" s="7" t="n"/>
      <c r="V510" s="7" t="n"/>
      <c r="W510" s="7" t="n"/>
      <c r="X510" s="7" t="n"/>
    </row>
    <row r="511" ht="21.75" customHeight="1" s="209">
      <c r="A511" s="28" t="n">
        <v>508</v>
      </c>
      <c r="B511" s="28" t="inlineStr">
        <is>
          <t>13432</t>
        </is>
      </c>
      <c r="C511" s="30" t="inlineStr">
        <is>
          <t>D4</t>
        </is>
      </c>
      <c r="D511" s="32" t="inlineStr">
        <is>
          <t>비서로소 그래프</t>
        </is>
      </c>
      <c r="E511" s="28" t="inlineStr">
        <is>
          <t>그래프 / 최단경로 / 위상정렬</t>
        </is>
      </c>
      <c r="F511" s="28" t="n"/>
      <c r="G511" s="28" t="n"/>
      <c r="H511" s="28" t="n"/>
      <c r="I511" s="28" t="n"/>
      <c r="J511" s="54">
        <f>IF(OR(ISNUMBER(SEARCH("보류",K511)),ISNUMBER(SEARCH("미룸",K511)),ISNUMBER(SEARCH("나중에",K511)),ISNUMBER(SEARCH("보류",L511)),ISNUMBER(SEARCH("미룸",L511)),ISNUMBER(SEARCH("나중에",L511))),"보류(나중에 풀기)",IF(AND(F511="",G511="",H511="",I511=""),"미완료",IF(I511&lt;&gt;"","복습3(마스터)",IF(H511&lt;&gt;"","복습2",IF(G511&lt;&gt;"","복습1",IF(ISNUMBER(SEARCH("제미나이",K511)),"복습대기(AI도움)",IF(ISNUMBER(SEARCH("간당간당",K511)),"복습대기(간당간당)",IF(OR(ISNUMBER(SEARCH("아이디어",K511)),ISNUMBER(SEARCH("시간초과",K511)),ISNUMBER(SEARCH("자료구조",K511)),ISNUMBER(SEARCH("경계값",K511)),ISNUMBER(SEARCH("다른 풀이",K511)),ISNUMBER(SEARCH("또풀기",K511))),"복습대기",IF(OR(ISNUMBER(SEARCH("복습필요없음",K511)),ISNUMBER(SEARCH("자력완벽",K511))),"품(복습불필요)",IF(F511&lt;&gt;"","품","미완료"))))))))))</f>
        <v/>
      </c>
      <c r="K511" s="32" t="inlineStr">
        <is>
          <t>-</t>
        </is>
      </c>
      <c r="L511" s="32" t="n"/>
      <c r="M511" s="28">
        <f>IF(OR(LEFT(J511,2)="보류", LEFT(J511,4)="복습대기", LEFT(J511,3)="복습1", LEFT(J511,3)="복습2"), MAX($M$3:M510)+1, "")</f>
        <v/>
      </c>
      <c r="N511" s="28" t="inlineStr">
        <is>
          <t>W14</t>
        </is>
      </c>
      <c r="O511" s="36" t="n">
        <v>46350</v>
      </c>
      <c r="P511" s="30">
        <f>IF(F511&lt;&gt;"","✅ 완료",IF(O511="","-",IF(TODAY()&gt;O511,"🚨 지연","⏳ 예정")))</f>
        <v/>
      </c>
      <c r="Q511" s="7" t="n"/>
      <c r="R511" s="7" t="n"/>
      <c r="S511" s="7" t="n"/>
      <c r="T511" s="7" t="n"/>
      <c r="U511" s="7" t="n"/>
      <c r="V511" s="7" t="n"/>
      <c r="W511" s="7" t="n"/>
      <c r="X511" s="7" t="n"/>
    </row>
    <row r="512" ht="21.75" customHeight="1" s="209">
      <c r="A512" s="28" t="n">
        <v>509</v>
      </c>
      <c r="B512" s="28" t="inlineStr">
        <is>
          <t>13549</t>
        </is>
      </c>
      <c r="C512" s="30" t="inlineStr">
        <is>
          <t>D4</t>
        </is>
      </c>
      <c r="D512" s="32" t="inlineStr">
        <is>
          <t>최대공약수 최대화</t>
        </is>
      </c>
      <c r="E512" s="28" t="inlineStr">
        <is>
          <t>수학 / 정수론</t>
        </is>
      </c>
      <c r="F512" s="28" t="n"/>
      <c r="G512" s="28" t="n"/>
      <c r="H512" s="28" t="n"/>
      <c r="I512" s="28" t="n"/>
      <c r="J512" s="54">
        <f>IF(OR(ISNUMBER(SEARCH("보류",K512)),ISNUMBER(SEARCH("미룸",K512)),ISNUMBER(SEARCH("나중에",K512)),ISNUMBER(SEARCH("보류",L512)),ISNUMBER(SEARCH("미룸",L512)),ISNUMBER(SEARCH("나중에",L512))),"보류(나중에 풀기)",IF(AND(F512="",G512="",H512="",I512=""),"미완료",IF(I512&lt;&gt;"","복습3(마스터)",IF(H512&lt;&gt;"","복습2",IF(G512&lt;&gt;"","복습1",IF(ISNUMBER(SEARCH("제미나이",K512)),"복습대기(AI도움)",IF(ISNUMBER(SEARCH("간당간당",K512)),"복습대기(간당간당)",IF(OR(ISNUMBER(SEARCH("아이디어",K512)),ISNUMBER(SEARCH("시간초과",K512)),ISNUMBER(SEARCH("자료구조",K512)),ISNUMBER(SEARCH("경계값",K512)),ISNUMBER(SEARCH("다른 풀이",K512)),ISNUMBER(SEARCH("또풀기",K512))),"복습대기",IF(OR(ISNUMBER(SEARCH("복습필요없음",K512)),ISNUMBER(SEARCH("자력완벽",K512))),"품(복습불필요)",IF(F512&lt;&gt;"","품","미완료"))))))))))</f>
        <v/>
      </c>
      <c r="K512" s="32" t="inlineStr">
        <is>
          <t>-</t>
        </is>
      </c>
      <c r="L512" s="32" t="n"/>
      <c r="M512" s="28">
        <f>IF(OR(LEFT(J512,2)="보류", LEFT(J512,4)="복습대기", LEFT(J512,3)="복습1", LEFT(J512,3)="복습2"), MAX($M$3:M511)+1, "")</f>
        <v/>
      </c>
      <c r="N512" s="28" t="inlineStr">
        <is>
          <t>W14</t>
        </is>
      </c>
      <c r="O512" s="36" t="n">
        <v>46350</v>
      </c>
      <c r="P512" s="30">
        <f>IF(F512&lt;&gt;"","✅ 완료",IF(O512="","-",IF(TODAY()&gt;O512,"🚨 지연","⏳ 예정")))</f>
        <v/>
      </c>
      <c r="Q512" s="7" t="n"/>
      <c r="R512" s="7" t="n"/>
      <c r="S512" s="7" t="n"/>
      <c r="T512" s="7" t="n"/>
      <c r="U512" s="7" t="n"/>
      <c r="V512" s="7" t="n"/>
      <c r="W512" s="7" t="n"/>
      <c r="X512" s="7" t="n"/>
    </row>
    <row r="513" ht="21.75" customHeight="1" s="209">
      <c r="A513" s="28" t="n">
        <v>510</v>
      </c>
      <c r="B513" s="28" t="inlineStr">
        <is>
          <t>13736</t>
        </is>
      </c>
      <c r="C513" s="30" t="inlineStr">
        <is>
          <t>D4</t>
        </is>
      </c>
      <c r="D513" s="32" t="inlineStr">
        <is>
          <t>사탕 분배</t>
        </is>
      </c>
      <c r="E513" s="28" t="inlineStr">
        <is>
          <t>DFS / BFS / 백트래킹</t>
        </is>
      </c>
      <c r="F513" s="28" t="n"/>
      <c r="G513" s="28" t="n"/>
      <c r="H513" s="28" t="n"/>
      <c r="I513" s="28" t="n"/>
      <c r="J513" s="54">
        <f>IF(OR(ISNUMBER(SEARCH("보류",K513)),ISNUMBER(SEARCH("미룸",K513)),ISNUMBER(SEARCH("나중에",K513)),ISNUMBER(SEARCH("보류",L513)),ISNUMBER(SEARCH("미룸",L513)),ISNUMBER(SEARCH("나중에",L513))),"보류(나중에 풀기)",IF(AND(F513="",G513="",H513="",I513=""),"미완료",IF(I513&lt;&gt;"","복습3(마스터)",IF(H513&lt;&gt;"","복습2",IF(G513&lt;&gt;"","복습1",IF(ISNUMBER(SEARCH("제미나이",K513)),"복습대기(AI도움)",IF(ISNUMBER(SEARCH("간당간당",K513)),"복습대기(간당간당)",IF(OR(ISNUMBER(SEARCH("아이디어",K513)),ISNUMBER(SEARCH("시간초과",K513)),ISNUMBER(SEARCH("자료구조",K513)),ISNUMBER(SEARCH("경계값",K513)),ISNUMBER(SEARCH("다른 풀이",K513)),ISNUMBER(SEARCH("또풀기",K513))),"복습대기",IF(OR(ISNUMBER(SEARCH("복습필요없음",K513)),ISNUMBER(SEARCH("자력완벽",K513))),"품(복습불필요)",IF(F513&lt;&gt;"","품","미완료"))))))))))</f>
        <v/>
      </c>
      <c r="K513" s="32" t="inlineStr">
        <is>
          <t>-</t>
        </is>
      </c>
      <c r="L513" s="32" t="n"/>
      <c r="M513" s="28">
        <f>IF(OR(LEFT(J513,2)="보류", LEFT(J513,4)="복습대기", LEFT(J513,3)="복습1", LEFT(J513,3)="복습2"), MAX($M$3:M512)+1, "")</f>
        <v/>
      </c>
      <c r="N513" s="28" t="inlineStr">
        <is>
          <t>W14</t>
        </is>
      </c>
      <c r="O513" s="36" t="n">
        <v>46350</v>
      </c>
      <c r="P513" s="30">
        <f>IF(F513&lt;&gt;"","✅ 완료",IF(O513="","-",IF(TODAY()&gt;O513,"🚨 지연","⏳ 예정")))</f>
        <v/>
      </c>
      <c r="Q513" s="7" t="n"/>
      <c r="R513" s="7" t="n"/>
      <c r="S513" s="7" t="n"/>
      <c r="T513" s="7" t="n"/>
      <c r="U513" s="7" t="n"/>
      <c r="V513" s="7" t="n"/>
      <c r="W513" s="7" t="n"/>
      <c r="X513" s="7" t="n"/>
    </row>
    <row r="514" ht="21.75" customHeight="1" s="209">
      <c r="A514" s="28" t="n">
        <v>511</v>
      </c>
      <c r="B514" s="28" t="inlineStr">
        <is>
          <t>14179</t>
        </is>
      </c>
      <c r="C514" s="30" t="inlineStr">
        <is>
          <t>D4</t>
        </is>
      </c>
      <c r="D514" s="32" t="inlineStr">
        <is>
          <t>복제한 수열의 인버전 수</t>
        </is>
      </c>
      <c r="E514" s="28" t="inlineStr">
        <is>
          <t>동적계획법 (DP)</t>
        </is>
      </c>
      <c r="F514" s="28" t="n"/>
      <c r="G514" s="28" t="n"/>
      <c r="H514" s="28" t="n"/>
      <c r="I514" s="28" t="n"/>
      <c r="J514" s="54">
        <f>IF(OR(ISNUMBER(SEARCH("보류",K514)),ISNUMBER(SEARCH("미룸",K514)),ISNUMBER(SEARCH("나중에",K514)),ISNUMBER(SEARCH("보류",L514)),ISNUMBER(SEARCH("미룸",L514)),ISNUMBER(SEARCH("나중에",L514))),"보류(나중에 풀기)",IF(AND(F514="",G514="",H514="",I514=""),"미완료",IF(I514&lt;&gt;"","복습3(마스터)",IF(H514&lt;&gt;"","복습2",IF(G514&lt;&gt;"","복습1",IF(ISNUMBER(SEARCH("제미나이",K514)),"복습대기(AI도움)",IF(ISNUMBER(SEARCH("간당간당",K514)),"복습대기(간당간당)",IF(OR(ISNUMBER(SEARCH("아이디어",K514)),ISNUMBER(SEARCH("시간초과",K514)),ISNUMBER(SEARCH("자료구조",K514)),ISNUMBER(SEARCH("경계값",K514)),ISNUMBER(SEARCH("다른 풀이",K514)),ISNUMBER(SEARCH("또풀기",K514))),"복습대기",IF(OR(ISNUMBER(SEARCH("복습필요없음",K514)),ISNUMBER(SEARCH("자력완벽",K514))),"품(복습불필요)",IF(F514&lt;&gt;"","품","미완료"))))))))))</f>
        <v/>
      </c>
      <c r="K514" s="32" t="inlineStr">
        <is>
          <t>-</t>
        </is>
      </c>
      <c r="L514" s="32" t="n"/>
      <c r="M514" s="28">
        <f>IF(OR(LEFT(J514,2)="보류", LEFT(J514,4)="복습대기", LEFT(J514,3)="복습1", LEFT(J514,3)="복습2"), MAX($M$3:M513)+1, "")</f>
        <v/>
      </c>
      <c r="N514" s="28" t="inlineStr">
        <is>
          <t>W14</t>
        </is>
      </c>
      <c r="O514" s="36" t="n">
        <v>46350</v>
      </c>
      <c r="P514" s="30">
        <f>IF(F514&lt;&gt;"","✅ 완료",IF(O514="","-",IF(TODAY()&gt;O514,"🚨 지연","⏳ 예정")))</f>
        <v/>
      </c>
      <c r="Q514" s="7" t="n"/>
      <c r="R514" s="7" t="n"/>
      <c r="S514" s="7" t="n"/>
      <c r="T514" s="7" t="n"/>
      <c r="U514" s="7" t="n"/>
      <c r="V514" s="7" t="n"/>
      <c r="W514" s="7" t="n"/>
      <c r="X514" s="7" t="n"/>
    </row>
    <row r="515" ht="21.75" customHeight="1" s="209">
      <c r="A515" s="28" t="n">
        <v>512</v>
      </c>
      <c r="B515" s="28" t="inlineStr">
        <is>
          <t>14362</t>
        </is>
      </c>
      <c r="C515" s="30" t="inlineStr">
        <is>
          <t>D4</t>
        </is>
      </c>
      <c r="D515" s="32" t="inlineStr">
        <is>
          <t>무한로봇</t>
        </is>
      </c>
      <c r="E515" s="28" t="inlineStr">
        <is>
          <t>시뮬레이션 / 구현</t>
        </is>
      </c>
      <c r="F515" s="28" t="n"/>
      <c r="G515" s="28" t="n"/>
      <c r="H515" s="28" t="n"/>
      <c r="I515" s="28" t="n"/>
      <c r="J515" s="54">
        <f>IF(OR(ISNUMBER(SEARCH("보류",K515)),ISNUMBER(SEARCH("미룸",K515)),ISNUMBER(SEARCH("나중에",K515)),ISNUMBER(SEARCH("보류",L515)),ISNUMBER(SEARCH("미룸",L515)),ISNUMBER(SEARCH("나중에",L515))),"보류(나중에 풀기)",IF(AND(F515="",G515="",H515="",I515=""),"미완료",IF(I515&lt;&gt;"","복습3(마스터)",IF(H515&lt;&gt;"","복습2",IF(G515&lt;&gt;"","복습1",IF(ISNUMBER(SEARCH("제미나이",K515)),"복습대기(AI도움)",IF(ISNUMBER(SEARCH("간당간당",K515)),"복습대기(간당간당)",IF(OR(ISNUMBER(SEARCH("아이디어",K515)),ISNUMBER(SEARCH("시간초과",K515)),ISNUMBER(SEARCH("자료구조",K515)),ISNUMBER(SEARCH("경계값",K515)),ISNUMBER(SEARCH("다른 풀이",K515)),ISNUMBER(SEARCH("또풀기",K515))),"복습대기",IF(OR(ISNUMBER(SEARCH("복습필요없음",K515)),ISNUMBER(SEARCH("자력완벽",K515))),"품(복습불필요)",IF(F515&lt;&gt;"","품","미완료"))))))))))</f>
        <v/>
      </c>
      <c r="K515" s="32" t="inlineStr">
        <is>
          <t>-</t>
        </is>
      </c>
      <c r="L515" s="32" t="n"/>
      <c r="M515" s="28">
        <f>IF(OR(LEFT(J515,2)="보류", LEFT(J515,4)="복습대기", LEFT(J515,3)="복습1", LEFT(J515,3)="복습2"), MAX($M$3:M514)+1, "")</f>
        <v/>
      </c>
      <c r="N515" s="28" t="inlineStr">
        <is>
          <t>W14</t>
        </is>
      </c>
      <c r="O515" s="36" t="n">
        <v>46350</v>
      </c>
      <c r="P515" s="30">
        <f>IF(F515&lt;&gt;"","✅ 완료",IF(O515="","-",IF(TODAY()&gt;O515,"🚨 지연","⏳ 예정")))</f>
        <v/>
      </c>
      <c r="Q515" s="7" t="n"/>
      <c r="R515" s="7" t="n"/>
      <c r="S515" s="7" t="n"/>
      <c r="T515" s="7" t="n"/>
      <c r="U515" s="7" t="n"/>
      <c r="V515" s="7" t="n"/>
      <c r="W515" s="7" t="n"/>
      <c r="X515" s="7" t="n"/>
    </row>
    <row r="516" ht="21.75" customHeight="1" s="209">
      <c r="A516" s="28" t="n">
        <v>513</v>
      </c>
      <c r="B516" s="28" t="inlineStr">
        <is>
          <t>14450</t>
        </is>
      </c>
      <c r="C516" s="30" t="inlineStr">
        <is>
          <t>D4</t>
        </is>
      </c>
      <c r="D516" s="32" t="inlineStr">
        <is>
          <t>정수 입력기</t>
        </is>
      </c>
      <c r="E516" s="28" t="inlineStr">
        <is>
          <t>수학 / 정수론</t>
        </is>
      </c>
      <c r="F516" s="28" t="n"/>
      <c r="G516" s="28" t="n"/>
      <c r="H516" s="28" t="n"/>
      <c r="I516" s="28" t="n"/>
      <c r="J516" s="54">
        <f>IF(OR(ISNUMBER(SEARCH("보류",K516)),ISNUMBER(SEARCH("미룸",K516)),ISNUMBER(SEARCH("나중에",K516)),ISNUMBER(SEARCH("보류",L516)),ISNUMBER(SEARCH("미룸",L516)),ISNUMBER(SEARCH("나중에",L516))),"보류(나중에 풀기)",IF(AND(F516="",G516="",H516="",I516=""),"미완료",IF(I516&lt;&gt;"","복습3(마스터)",IF(H516&lt;&gt;"","복습2",IF(G516&lt;&gt;"","복습1",IF(ISNUMBER(SEARCH("제미나이",K516)),"복습대기(AI도움)",IF(ISNUMBER(SEARCH("간당간당",K516)),"복습대기(간당간당)",IF(OR(ISNUMBER(SEARCH("아이디어",K516)),ISNUMBER(SEARCH("시간초과",K516)),ISNUMBER(SEARCH("자료구조",K516)),ISNUMBER(SEARCH("경계값",K516)),ISNUMBER(SEARCH("다른 풀이",K516)),ISNUMBER(SEARCH("또풀기",K516))),"복습대기",IF(OR(ISNUMBER(SEARCH("복습필요없음",K516)),ISNUMBER(SEARCH("자력완벽",K516))),"품(복습불필요)",IF(F516&lt;&gt;"","품","미완료"))))))))))</f>
        <v/>
      </c>
      <c r="K516" s="32" t="inlineStr">
        <is>
          <t>-</t>
        </is>
      </c>
      <c r="L516" s="32" t="n"/>
      <c r="M516" s="28">
        <f>IF(OR(LEFT(J516,2)="보류", LEFT(J516,4)="복습대기", LEFT(J516,3)="복습1", LEFT(J516,3)="복습2"), MAX($M$3:M515)+1, "")</f>
        <v/>
      </c>
      <c r="N516" s="28" t="inlineStr">
        <is>
          <t>W14</t>
        </is>
      </c>
      <c r="O516" s="36" t="n">
        <v>46350</v>
      </c>
      <c r="P516" s="30">
        <f>IF(F516&lt;&gt;"","✅ 완료",IF(O516="","-",IF(TODAY()&gt;O516,"🚨 지연","⏳ 예정")))</f>
        <v/>
      </c>
      <c r="Q516" s="7" t="n"/>
      <c r="R516" s="7" t="n"/>
      <c r="S516" s="7" t="n"/>
      <c r="T516" s="7" t="n"/>
      <c r="U516" s="7" t="n"/>
      <c r="V516" s="7" t="n"/>
      <c r="W516" s="7" t="n"/>
      <c r="X516" s="7" t="n"/>
    </row>
    <row r="517" ht="21.75" customHeight="1" s="209">
      <c r="A517" s="28" t="n">
        <v>514</v>
      </c>
      <c r="B517" s="28" t="inlineStr">
        <is>
          <t>14557</t>
        </is>
      </c>
      <c r="C517" s="30" t="inlineStr">
        <is>
          <t>D4</t>
        </is>
      </c>
      <c r="D517" s="32" t="inlineStr">
        <is>
          <t>카드 제거</t>
        </is>
      </c>
      <c r="E517" s="28" t="inlineStr">
        <is>
          <t>DFS / BFS / 백트래킹</t>
        </is>
      </c>
      <c r="F517" s="28" t="n"/>
      <c r="G517" s="28" t="n"/>
      <c r="H517" s="28" t="n"/>
      <c r="I517" s="28" t="n"/>
      <c r="J517" s="54">
        <f>IF(OR(ISNUMBER(SEARCH("보류",K517)),ISNUMBER(SEARCH("미룸",K517)),ISNUMBER(SEARCH("나중에",K517)),ISNUMBER(SEARCH("보류",L517)),ISNUMBER(SEARCH("미룸",L517)),ISNUMBER(SEARCH("나중에",L517))),"보류(나중에 풀기)",IF(AND(F517="",G517="",H517="",I517=""),"미완료",IF(I517&lt;&gt;"","복습3(마스터)",IF(H517&lt;&gt;"","복습2",IF(G517&lt;&gt;"","복습1",IF(ISNUMBER(SEARCH("제미나이",K517)),"복습대기(AI도움)",IF(ISNUMBER(SEARCH("간당간당",K517)),"복습대기(간당간당)",IF(OR(ISNUMBER(SEARCH("아이디어",K517)),ISNUMBER(SEARCH("시간초과",K517)),ISNUMBER(SEARCH("자료구조",K517)),ISNUMBER(SEARCH("경계값",K517)),ISNUMBER(SEARCH("다른 풀이",K517)),ISNUMBER(SEARCH("또풀기",K517))),"복습대기",IF(OR(ISNUMBER(SEARCH("복습필요없음",K517)),ISNUMBER(SEARCH("자력완벽",K517))),"품(복습불필요)",IF(F517&lt;&gt;"","품","미완료"))))))))))</f>
        <v/>
      </c>
      <c r="K517" s="32" t="inlineStr">
        <is>
          <t>-</t>
        </is>
      </c>
      <c r="L517" s="32" t="n"/>
      <c r="M517" s="28">
        <f>IF(OR(LEFT(J517,2)="보류", LEFT(J517,4)="복습대기", LEFT(J517,3)="복습1", LEFT(J517,3)="복습2"), MAX($M$3:M516)+1, "")</f>
        <v/>
      </c>
      <c r="N517" s="28" t="inlineStr">
        <is>
          <t>W14</t>
        </is>
      </c>
      <c r="O517" s="36" t="n">
        <v>46350</v>
      </c>
      <c r="P517" s="30">
        <f>IF(F517&lt;&gt;"","✅ 완료",IF(O517="","-",IF(TODAY()&gt;O517,"🚨 지연","⏳ 예정")))</f>
        <v/>
      </c>
      <c r="Q517" s="7" t="n"/>
      <c r="R517" s="7" t="n"/>
      <c r="S517" s="7" t="n"/>
      <c r="T517" s="7" t="n"/>
      <c r="U517" s="7" t="n"/>
      <c r="V517" s="7" t="n"/>
      <c r="W517" s="7" t="n"/>
      <c r="X517" s="7" t="n"/>
    </row>
    <row r="518" ht="21.75" customHeight="1" s="209">
      <c r="A518" s="28" t="n">
        <v>515</v>
      </c>
      <c r="B518" s="28" t="inlineStr">
        <is>
          <t>14695</t>
        </is>
      </c>
      <c r="C518" s="30" t="inlineStr">
        <is>
          <t>D4</t>
        </is>
      </c>
      <c r="D518" s="32" t="inlineStr">
        <is>
          <t>거미</t>
        </is>
      </c>
      <c r="E518" s="28" t="inlineStr">
        <is>
          <t>DFS / BFS / 백트래킹</t>
        </is>
      </c>
      <c r="F518" s="28" t="n"/>
      <c r="G518" s="28" t="n"/>
      <c r="H518" s="28" t="n"/>
      <c r="I518" s="28" t="n"/>
      <c r="J518" s="54">
        <f>IF(OR(ISNUMBER(SEARCH("보류",K518)),ISNUMBER(SEARCH("미룸",K518)),ISNUMBER(SEARCH("나중에",K518)),ISNUMBER(SEARCH("보류",L518)),ISNUMBER(SEARCH("미룸",L518)),ISNUMBER(SEARCH("나중에",L518))),"보류(나중에 풀기)",IF(AND(F518="",G518="",H518="",I518=""),"미완료",IF(I518&lt;&gt;"","복습3(마스터)",IF(H518&lt;&gt;"","복습2",IF(G518&lt;&gt;"","복습1",IF(ISNUMBER(SEARCH("제미나이",K518)),"복습대기(AI도움)",IF(ISNUMBER(SEARCH("간당간당",K518)),"복습대기(간당간당)",IF(OR(ISNUMBER(SEARCH("아이디어",K518)),ISNUMBER(SEARCH("시간초과",K518)),ISNUMBER(SEARCH("자료구조",K518)),ISNUMBER(SEARCH("경계값",K518)),ISNUMBER(SEARCH("다른 풀이",K518)),ISNUMBER(SEARCH("또풀기",K518))),"복습대기",IF(OR(ISNUMBER(SEARCH("복습필요없음",K518)),ISNUMBER(SEARCH("자력완벽",K518))),"품(복습불필요)",IF(F518&lt;&gt;"","품","미완료"))))))))))</f>
        <v/>
      </c>
      <c r="K518" s="32" t="inlineStr">
        <is>
          <t>-</t>
        </is>
      </c>
      <c r="L518" s="32" t="n"/>
      <c r="M518" s="28">
        <f>IF(OR(LEFT(J518,2)="보류", LEFT(J518,4)="복습대기", LEFT(J518,3)="복습1", LEFT(J518,3)="복습2"), MAX($M$3:M517)+1, "")</f>
        <v/>
      </c>
      <c r="N518" s="28" t="inlineStr">
        <is>
          <t>W14</t>
        </is>
      </c>
      <c r="O518" s="36" t="n">
        <v>46351</v>
      </c>
      <c r="P518" s="30">
        <f>IF(F518&lt;&gt;"","✅ 완료",IF(O518="","-",IF(TODAY()&gt;O518,"🚨 지연","⏳ 예정")))</f>
        <v/>
      </c>
      <c r="Q518" s="7" t="n"/>
      <c r="R518" s="7" t="n"/>
      <c r="S518" s="7" t="n"/>
      <c r="T518" s="7" t="n"/>
      <c r="U518" s="7" t="n"/>
      <c r="V518" s="7" t="n"/>
      <c r="W518" s="7" t="n"/>
      <c r="X518" s="7" t="n"/>
    </row>
    <row r="519" ht="21.75" customHeight="1" s="209">
      <c r="A519" s="28" t="n">
        <v>516</v>
      </c>
      <c r="B519" s="28" t="inlineStr">
        <is>
          <t>15231</t>
        </is>
      </c>
      <c r="C519" s="30" t="inlineStr">
        <is>
          <t>D4</t>
        </is>
      </c>
      <c r="D519" s="32" t="inlineStr">
        <is>
          <t>바이너리 트리</t>
        </is>
      </c>
      <c r="E519" s="28" t="inlineStr">
        <is>
          <t>트리 / 힙 / 세그먼트트리</t>
        </is>
      </c>
      <c r="F519" s="28" t="n"/>
      <c r="G519" s="28" t="n"/>
      <c r="H519" s="28" t="n"/>
      <c r="I519" s="28" t="n"/>
      <c r="J519" s="54">
        <f>IF(OR(ISNUMBER(SEARCH("보류",K519)),ISNUMBER(SEARCH("미룸",K519)),ISNUMBER(SEARCH("나중에",K519)),ISNUMBER(SEARCH("보류",L519)),ISNUMBER(SEARCH("미룸",L519)),ISNUMBER(SEARCH("나중에",L519))),"보류(나중에 풀기)",IF(AND(F519="",G519="",H519="",I519=""),"미완료",IF(I519&lt;&gt;"","복습3(마스터)",IF(H519&lt;&gt;"","복습2",IF(G519&lt;&gt;"","복습1",IF(ISNUMBER(SEARCH("제미나이",K519)),"복습대기(AI도움)",IF(ISNUMBER(SEARCH("간당간당",K519)),"복습대기(간당간당)",IF(OR(ISNUMBER(SEARCH("아이디어",K519)),ISNUMBER(SEARCH("시간초과",K519)),ISNUMBER(SEARCH("자료구조",K519)),ISNUMBER(SEARCH("경계값",K519)),ISNUMBER(SEARCH("다른 풀이",K519)),ISNUMBER(SEARCH("또풀기",K519))),"복습대기",IF(OR(ISNUMBER(SEARCH("복습필요없음",K519)),ISNUMBER(SEARCH("자력완벽",K519))),"품(복습불필요)",IF(F519&lt;&gt;"","품","미완료"))))))))))</f>
        <v/>
      </c>
      <c r="K519" s="32" t="inlineStr">
        <is>
          <t>-</t>
        </is>
      </c>
      <c r="L519" s="32" t="n"/>
      <c r="M519" s="28">
        <f>IF(OR(LEFT(J519,2)="보류", LEFT(J519,4)="복습대기", LEFT(J519,3)="복습1", LEFT(J519,3)="복습2"), MAX($M$3:M518)+1, "")</f>
        <v/>
      </c>
      <c r="N519" s="28" t="inlineStr">
        <is>
          <t>W14</t>
        </is>
      </c>
      <c r="O519" s="36" t="n">
        <v>46351</v>
      </c>
      <c r="P519" s="30">
        <f>IF(F519&lt;&gt;"","✅ 완료",IF(O519="","-",IF(TODAY()&gt;O519,"🚨 지연","⏳ 예정")))</f>
        <v/>
      </c>
      <c r="Q519" s="7" t="n"/>
      <c r="R519" s="7" t="n"/>
      <c r="S519" s="7" t="n"/>
      <c r="T519" s="7" t="n"/>
      <c r="U519" s="7" t="n"/>
      <c r="V519" s="7" t="n"/>
      <c r="W519" s="7" t="n"/>
      <c r="X519" s="7" t="n"/>
    </row>
    <row r="520" ht="21.75" customHeight="1" s="209">
      <c r="A520" s="28" t="n">
        <v>517</v>
      </c>
      <c r="B520" s="28" t="inlineStr">
        <is>
          <t>15623</t>
        </is>
      </c>
      <c r="C520" s="30" t="inlineStr">
        <is>
          <t>D4</t>
        </is>
      </c>
      <c r="D520" s="32" t="inlineStr">
        <is>
          <t>이중 최단 경로 문제</t>
        </is>
      </c>
      <c r="E520" s="28" t="inlineStr">
        <is>
          <t>DFS / 백트래킹</t>
        </is>
      </c>
      <c r="F520" s="28" t="n"/>
      <c r="G520" s="28" t="n"/>
      <c r="H520" s="28" t="n"/>
      <c r="I520" s="28" t="n"/>
      <c r="J520" s="54">
        <f>IF(OR(ISNUMBER(SEARCH("보류",K520)),ISNUMBER(SEARCH("미룸",K520)),ISNUMBER(SEARCH("나중에",K520)),ISNUMBER(SEARCH("보류",L520)),ISNUMBER(SEARCH("미룸",L520)),ISNUMBER(SEARCH("나중에",L520))),"보류(나중에 풀기)",IF(AND(F520="",G520="",H520="",I520=""),"미완료",IF(I520&lt;&gt;"","복습3(마스터)",IF(H520&lt;&gt;"","복습2",IF(G520&lt;&gt;"","복습1",IF(ISNUMBER(SEARCH("제미나이",K520)),"복습대기(AI도움)",IF(ISNUMBER(SEARCH("간당간당",K520)),"복습대기(간당간당)",IF(OR(ISNUMBER(SEARCH("아이디어",K520)),ISNUMBER(SEARCH("시간초과",K520)),ISNUMBER(SEARCH("자료구조",K520)),ISNUMBER(SEARCH("경계값",K520)),ISNUMBER(SEARCH("다른 풀이",K520)),ISNUMBER(SEARCH("또풀기",K520))),"복습대기",IF(OR(ISNUMBER(SEARCH("복습필요없음",K520)),ISNUMBER(SEARCH("자력완벽",K520))),"품(복습불필요)",IF(F520&lt;&gt;"","품","미완료"))))))))))</f>
        <v/>
      </c>
      <c r="K520" s="32" t="inlineStr">
        <is>
          <t>-</t>
        </is>
      </c>
      <c r="L520" s="32" t="n"/>
      <c r="M520" s="28">
        <f>IF(OR(LEFT(J520,2)="보류", LEFT(J520,4)="복습대기", LEFT(J520,3)="복습1", LEFT(J520,3)="복습2"), MAX($M$3:M519)+1, "")</f>
        <v/>
      </c>
      <c r="N520" s="28" t="inlineStr">
        <is>
          <t>W14</t>
        </is>
      </c>
      <c r="O520" s="36" t="n">
        <v>46351</v>
      </c>
      <c r="P520" s="30">
        <f>IF(F520&lt;&gt;"","✅ 완료",IF(O520="","-",IF(TODAY()&gt;O520,"🚨 지연","⏳ 예정")))</f>
        <v/>
      </c>
      <c r="Q520" s="7" t="n"/>
      <c r="R520" s="7" t="n"/>
      <c r="S520" s="7" t="n"/>
      <c r="T520" s="7" t="n"/>
      <c r="U520" s="7" t="n"/>
      <c r="V520" s="7" t="n"/>
      <c r="W520" s="7" t="n"/>
      <c r="X520" s="7" t="n"/>
    </row>
    <row r="521" ht="21.75" customHeight="1" s="209">
      <c r="A521" s="28" t="n">
        <v>518</v>
      </c>
      <c r="B521" s="28" t="inlineStr">
        <is>
          <t>15761</t>
        </is>
      </c>
      <c r="C521" s="30" t="inlineStr">
        <is>
          <t>D4</t>
        </is>
      </c>
      <c r="D521" s="32" t="inlineStr">
        <is>
          <t>크고 작은 이진수의 곱셈</t>
        </is>
      </c>
      <c r="E521" s="28" t="inlineStr">
        <is>
          <t>이진탐색 (Binary Search)</t>
        </is>
      </c>
      <c r="F521" s="28" t="n"/>
      <c r="G521" s="28" t="n"/>
      <c r="H521" s="28" t="n"/>
      <c r="I521" s="28" t="n"/>
      <c r="J521" s="54">
        <f>IF(OR(ISNUMBER(SEARCH("보류",K521)),ISNUMBER(SEARCH("미룸",K521)),ISNUMBER(SEARCH("나중에",K521)),ISNUMBER(SEARCH("보류",L521)),ISNUMBER(SEARCH("미룸",L521)),ISNUMBER(SEARCH("나중에",L521))),"보류(나중에 풀기)",IF(AND(F521="",G521="",H521="",I521=""),"미완료",IF(I521&lt;&gt;"","복습3(마스터)",IF(H521&lt;&gt;"","복습2",IF(G521&lt;&gt;"","복습1",IF(ISNUMBER(SEARCH("제미나이",K521)),"복습대기(AI도움)",IF(ISNUMBER(SEARCH("간당간당",K521)),"복습대기(간당간당)",IF(OR(ISNUMBER(SEARCH("아이디어",K521)),ISNUMBER(SEARCH("시간초과",K521)),ISNUMBER(SEARCH("자료구조",K521)),ISNUMBER(SEARCH("경계값",K521)),ISNUMBER(SEARCH("다른 풀이",K521)),ISNUMBER(SEARCH("또풀기",K521))),"복습대기",IF(OR(ISNUMBER(SEARCH("복습필요없음",K521)),ISNUMBER(SEARCH("자력완벽",K521))),"품(복습불필요)",IF(F521&lt;&gt;"","품","미완료"))))))))))</f>
        <v/>
      </c>
      <c r="K521" s="32" t="inlineStr">
        <is>
          <t>-</t>
        </is>
      </c>
      <c r="L521" s="32" t="n"/>
      <c r="M521" s="28">
        <f>IF(OR(LEFT(J521,2)="보류", LEFT(J521,4)="복습대기", LEFT(J521,3)="복습1", LEFT(J521,3)="복습2"), MAX($M$3:M520)+1, "")</f>
        <v/>
      </c>
      <c r="N521" s="28" t="inlineStr">
        <is>
          <t>W14</t>
        </is>
      </c>
      <c r="O521" s="36" t="n">
        <v>46351</v>
      </c>
      <c r="P521" s="30">
        <f>IF(F521&lt;&gt;"","✅ 완료",IF(O521="","-",IF(TODAY()&gt;O521,"🚨 지연","⏳ 예정")))</f>
        <v/>
      </c>
      <c r="Q521" s="7" t="n"/>
      <c r="R521" s="7" t="n"/>
      <c r="S521" s="7" t="n"/>
      <c r="T521" s="7" t="n"/>
      <c r="U521" s="7" t="n"/>
      <c r="V521" s="7" t="n"/>
      <c r="W521" s="7" t="n"/>
      <c r="X521" s="7" t="n"/>
    </row>
    <row r="522" ht="21.75" customHeight="1" s="209">
      <c r="A522" s="28" t="n">
        <v>519</v>
      </c>
      <c r="B522" s="28" t="inlineStr">
        <is>
          <t>15869</t>
        </is>
      </c>
      <c r="C522" s="30" t="inlineStr">
        <is>
          <t>D4</t>
        </is>
      </c>
      <c r="D522" s="32" t="inlineStr">
        <is>
          <t>새로운 괄호 문자열 문제</t>
        </is>
      </c>
      <c r="E522" s="28" t="inlineStr">
        <is>
          <t>자료구조 (스택/큐/리스트)</t>
        </is>
      </c>
      <c r="F522" s="28" t="n"/>
      <c r="G522" s="28" t="n"/>
      <c r="H522" s="28" t="n"/>
      <c r="I522" s="28" t="n"/>
      <c r="J522" s="54">
        <f>IF(OR(ISNUMBER(SEARCH("보류",K522)),ISNUMBER(SEARCH("미룸",K522)),ISNUMBER(SEARCH("나중에",K522)),ISNUMBER(SEARCH("보류",L522)),ISNUMBER(SEARCH("미룸",L522)),ISNUMBER(SEARCH("나중에",L522))),"보류(나중에 풀기)",IF(AND(F522="",G522="",H522="",I522=""),"미완료",IF(I522&lt;&gt;"","복습3(마스터)",IF(H522&lt;&gt;"","복습2",IF(G522&lt;&gt;"","복습1",IF(ISNUMBER(SEARCH("제미나이",K522)),"복습대기(AI도움)",IF(ISNUMBER(SEARCH("간당간당",K522)),"복습대기(간당간당)",IF(OR(ISNUMBER(SEARCH("아이디어",K522)),ISNUMBER(SEARCH("시간초과",K522)),ISNUMBER(SEARCH("자료구조",K522)),ISNUMBER(SEARCH("경계값",K522)),ISNUMBER(SEARCH("다른 풀이",K522)),ISNUMBER(SEARCH("또풀기",K522))),"복습대기",IF(OR(ISNUMBER(SEARCH("복습필요없음",K522)),ISNUMBER(SEARCH("자력완벽",K522))),"품(복습불필요)",IF(F522&lt;&gt;"","품","미완료"))))))))))</f>
        <v/>
      </c>
      <c r="K522" s="32" t="inlineStr">
        <is>
          <t>-</t>
        </is>
      </c>
      <c r="L522" s="32" t="n"/>
      <c r="M522" s="28">
        <f>IF(OR(LEFT(J522,2)="보류", LEFT(J522,4)="복습대기", LEFT(J522,3)="복습1", LEFT(J522,3)="복습2"), MAX($M$3:M521)+1, "")</f>
        <v/>
      </c>
      <c r="N522" s="28" t="inlineStr">
        <is>
          <t>W14</t>
        </is>
      </c>
      <c r="O522" s="36" t="n">
        <v>46351</v>
      </c>
      <c r="P522" s="30">
        <f>IF(F522&lt;&gt;"","✅ 완료",IF(O522="","-",IF(TODAY()&gt;O522,"🚨 지연","⏳ 예정")))</f>
        <v/>
      </c>
      <c r="Q522" s="7" t="n"/>
      <c r="R522" s="7" t="n"/>
      <c r="S522" s="7" t="n"/>
      <c r="T522" s="7" t="n"/>
      <c r="U522" s="7" t="n"/>
      <c r="V522" s="7" t="n"/>
      <c r="W522" s="7" t="n"/>
      <c r="X522" s="7" t="n"/>
    </row>
    <row r="523" ht="21.75" customHeight="1" s="209">
      <c r="A523" s="28" t="n">
        <v>520</v>
      </c>
      <c r="B523" s="28" t="inlineStr">
        <is>
          <t>15942</t>
        </is>
      </c>
      <c r="C523" s="30" t="inlineStr">
        <is>
          <t>D4</t>
        </is>
      </c>
      <c r="D523" s="32" t="inlineStr">
        <is>
          <t>외계인 침공</t>
        </is>
      </c>
      <c r="E523" s="28" t="inlineStr">
        <is>
          <t>DFS / BFS / 백트래킹</t>
        </is>
      </c>
      <c r="F523" s="28" t="n"/>
      <c r="G523" s="28" t="n"/>
      <c r="H523" s="28" t="n"/>
      <c r="I523" s="28" t="n"/>
      <c r="J523" s="54">
        <f>IF(OR(ISNUMBER(SEARCH("보류",K523)),ISNUMBER(SEARCH("미룸",K523)),ISNUMBER(SEARCH("나중에",K523)),ISNUMBER(SEARCH("보류",L523)),ISNUMBER(SEARCH("미룸",L523)),ISNUMBER(SEARCH("나중에",L523))),"보류(나중에 풀기)",IF(AND(F523="",G523="",H523="",I523=""),"미완료",IF(I523&lt;&gt;"","복습3(마스터)",IF(H523&lt;&gt;"","복습2",IF(G523&lt;&gt;"","복습1",IF(ISNUMBER(SEARCH("제미나이",K523)),"복습대기(AI도움)",IF(ISNUMBER(SEARCH("간당간당",K523)),"복습대기(간당간당)",IF(OR(ISNUMBER(SEARCH("아이디어",K523)),ISNUMBER(SEARCH("시간초과",K523)),ISNUMBER(SEARCH("자료구조",K523)),ISNUMBER(SEARCH("경계값",K523)),ISNUMBER(SEARCH("다른 풀이",K523)),ISNUMBER(SEARCH("또풀기",K523))),"복습대기",IF(OR(ISNUMBER(SEARCH("복습필요없음",K523)),ISNUMBER(SEARCH("자력완벽",K523))),"품(복습불필요)",IF(F523&lt;&gt;"","품","미완료"))))))))))</f>
        <v/>
      </c>
      <c r="K523" s="32" t="inlineStr">
        <is>
          <t>-</t>
        </is>
      </c>
      <c r="L523" s="32" t="n"/>
      <c r="M523" s="28">
        <f>IF(OR(LEFT(J523,2)="보류", LEFT(J523,4)="복습대기", LEFT(J523,3)="복습1", LEFT(J523,3)="복습2"), MAX($M$3:M522)+1, "")</f>
        <v/>
      </c>
      <c r="N523" s="28" t="inlineStr">
        <is>
          <t>W14</t>
        </is>
      </c>
      <c r="O523" s="36" t="n">
        <v>46351</v>
      </c>
      <c r="P523" s="30">
        <f>IF(F523&lt;&gt;"","✅ 완료",IF(O523="","-",IF(TODAY()&gt;O523,"🚨 지연","⏳ 예정")))</f>
        <v/>
      </c>
      <c r="Q523" s="7" t="n"/>
      <c r="R523" s="7" t="n"/>
      <c r="S523" s="7" t="n"/>
      <c r="T523" s="7" t="n"/>
      <c r="U523" s="7" t="n"/>
      <c r="V523" s="7" t="n"/>
      <c r="W523" s="7" t="n"/>
      <c r="X523" s="7" t="n"/>
    </row>
    <row r="524" ht="21.75" customHeight="1" s="209">
      <c r="A524" s="28" t="n">
        <v>521</v>
      </c>
      <c r="B524" s="28" t="inlineStr">
        <is>
          <t>16003</t>
        </is>
      </c>
      <c r="C524" s="30" t="inlineStr">
        <is>
          <t>D4</t>
        </is>
      </c>
      <c r="D524" s="32" t="inlineStr">
        <is>
          <t>화면 캡쳐</t>
        </is>
      </c>
      <c r="E524" s="28" t="inlineStr">
        <is>
          <t>DFS / BFS / 백트래킹</t>
        </is>
      </c>
      <c r="F524" s="28" t="n"/>
      <c r="G524" s="28" t="n"/>
      <c r="H524" s="28" t="n"/>
      <c r="I524" s="28" t="n"/>
      <c r="J524" s="54">
        <f>IF(OR(ISNUMBER(SEARCH("보류",K524)),ISNUMBER(SEARCH("미룸",K524)),ISNUMBER(SEARCH("나중에",K524)),ISNUMBER(SEARCH("보류",L524)),ISNUMBER(SEARCH("미룸",L524)),ISNUMBER(SEARCH("나중에",L524))),"보류(나중에 풀기)",IF(AND(F524="",G524="",H524="",I524=""),"미완료",IF(I524&lt;&gt;"","복습3(마스터)",IF(H524&lt;&gt;"","복습2",IF(G524&lt;&gt;"","복습1",IF(ISNUMBER(SEARCH("제미나이",K524)),"복습대기(AI도움)",IF(ISNUMBER(SEARCH("간당간당",K524)),"복습대기(간당간당)",IF(OR(ISNUMBER(SEARCH("아이디어",K524)),ISNUMBER(SEARCH("시간초과",K524)),ISNUMBER(SEARCH("자료구조",K524)),ISNUMBER(SEARCH("경계값",K524)),ISNUMBER(SEARCH("다른 풀이",K524)),ISNUMBER(SEARCH("또풀기",K524))),"복습대기",IF(OR(ISNUMBER(SEARCH("복습필요없음",K524)),ISNUMBER(SEARCH("자력완벽",K524))),"품(복습불필요)",IF(F524&lt;&gt;"","품","미완료"))))))))))</f>
        <v/>
      </c>
      <c r="K524" s="32" t="inlineStr">
        <is>
          <t>-</t>
        </is>
      </c>
      <c r="L524" s="32" t="n"/>
      <c r="M524" s="28">
        <f>IF(OR(LEFT(J524,2)="보류", LEFT(J524,4)="복습대기", LEFT(J524,3)="복습1", LEFT(J524,3)="복습2"), MAX($M$3:M523)+1, "")</f>
        <v/>
      </c>
      <c r="N524" s="28" t="inlineStr">
        <is>
          <t>W14</t>
        </is>
      </c>
      <c r="O524" s="36" t="n">
        <v>46351</v>
      </c>
      <c r="P524" s="30">
        <f>IF(F524&lt;&gt;"","✅ 완료",IF(O524="","-",IF(TODAY()&gt;O524,"🚨 지연","⏳ 예정")))</f>
        <v/>
      </c>
      <c r="Q524" s="7" t="n"/>
      <c r="R524" s="7" t="n"/>
      <c r="S524" s="7" t="n"/>
      <c r="T524" s="7" t="n"/>
      <c r="U524" s="7" t="n"/>
      <c r="V524" s="7" t="n"/>
      <c r="W524" s="7" t="n"/>
      <c r="X524" s="7" t="n"/>
    </row>
    <row r="525" ht="21.75" customHeight="1" s="209">
      <c r="A525" s="28" t="n">
        <v>522</v>
      </c>
      <c r="B525" s="28" t="inlineStr">
        <is>
          <t>16801</t>
        </is>
      </c>
      <c r="C525" s="30" t="inlineStr">
        <is>
          <t>D4</t>
        </is>
      </c>
      <c r="D525" s="32" t="inlineStr">
        <is>
          <t>식신</t>
        </is>
      </c>
      <c r="E525" s="28" t="inlineStr">
        <is>
          <t>DFS / BFS / 백트래킹</t>
        </is>
      </c>
      <c r="F525" s="28" t="n"/>
      <c r="G525" s="28" t="n"/>
      <c r="H525" s="28" t="n"/>
      <c r="I525" s="28" t="n"/>
      <c r="J525" s="54">
        <f>IF(OR(ISNUMBER(SEARCH("보류",K525)),ISNUMBER(SEARCH("미룸",K525)),ISNUMBER(SEARCH("나중에",K525)),ISNUMBER(SEARCH("보류",L525)),ISNUMBER(SEARCH("미룸",L525)),ISNUMBER(SEARCH("나중에",L525))),"보류(나중에 풀기)",IF(AND(F525="",G525="",H525="",I525=""),"미완료",IF(I525&lt;&gt;"","복습3(마스터)",IF(H525&lt;&gt;"","복습2",IF(G525&lt;&gt;"","복습1",IF(ISNUMBER(SEARCH("제미나이",K525)),"복습대기(AI도움)",IF(ISNUMBER(SEARCH("간당간당",K525)),"복습대기(간당간당)",IF(OR(ISNUMBER(SEARCH("아이디어",K525)),ISNUMBER(SEARCH("시간초과",K525)),ISNUMBER(SEARCH("자료구조",K525)),ISNUMBER(SEARCH("경계값",K525)),ISNUMBER(SEARCH("다른 풀이",K525)),ISNUMBER(SEARCH("또풀기",K525))),"복습대기",IF(OR(ISNUMBER(SEARCH("복습필요없음",K525)),ISNUMBER(SEARCH("자력완벽",K525))),"품(복습불필요)",IF(F525&lt;&gt;"","품","미완료"))))))))))</f>
        <v/>
      </c>
      <c r="K525" s="32" t="inlineStr">
        <is>
          <t>-</t>
        </is>
      </c>
      <c r="L525" s="32" t="n"/>
      <c r="M525" s="28">
        <f>IF(OR(LEFT(J525,2)="보류", LEFT(J525,4)="복습대기", LEFT(J525,3)="복습1", LEFT(J525,3)="복습2"), MAX($M$3:M524)+1, "")</f>
        <v/>
      </c>
      <c r="N525" s="28" t="inlineStr">
        <is>
          <t>W14</t>
        </is>
      </c>
      <c r="O525" s="36" t="n">
        <v>46352</v>
      </c>
      <c r="P525" s="30">
        <f>IF(F525&lt;&gt;"","✅ 완료",IF(O525="","-",IF(TODAY()&gt;O525,"🚨 지연","⏳ 예정")))</f>
        <v/>
      </c>
      <c r="Q525" s="7" t="n"/>
      <c r="R525" s="7" t="n"/>
      <c r="S525" s="7" t="n"/>
      <c r="T525" s="7" t="n"/>
      <c r="U525" s="7" t="n"/>
      <c r="V525" s="7" t="n"/>
      <c r="W525" s="7" t="n"/>
      <c r="X525" s="7" t="n"/>
    </row>
    <row r="526" ht="21.75" customHeight="1" s="209">
      <c r="A526" s="28" t="n">
        <v>523</v>
      </c>
      <c r="B526" s="28" t="inlineStr">
        <is>
          <t>16911</t>
        </is>
      </c>
      <c r="C526" s="30" t="inlineStr">
        <is>
          <t>D4</t>
        </is>
      </c>
      <c r="D526" s="32" t="inlineStr">
        <is>
          <t>수 색칠하기</t>
        </is>
      </c>
      <c r="E526" s="28" t="inlineStr">
        <is>
          <t>DFS / BFS / 백트래킹</t>
        </is>
      </c>
      <c r="F526" s="28" t="n"/>
      <c r="G526" s="28" t="n"/>
      <c r="H526" s="28" t="n"/>
      <c r="I526" s="28" t="n"/>
      <c r="J526" s="54">
        <f>IF(OR(ISNUMBER(SEARCH("보류",K526)),ISNUMBER(SEARCH("미룸",K526)),ISNUMBER(SEARCH("나중에",K526)),ISNUMBER(SEARCH("보류",L526)),ISNUMBER(SEARCH("미룸",L526)),ISNUMBER(SEARCH("나중에",L526))),"보류(나중에 풀기)",IF(AND(F526="",G526="",H526="",I526=""),"미완료",IF(I526&lt;&gt;"","복습3(마스터)",IF(H526&lt;&gt;"","복습2",IF(G526&lt;&gt;"","복습1",IF(ISNUMBER(SEARCH("제미나이",K526)),"복습대기(AI도움)",IF(ISNUMBER(SEARCH("간당간당",K526)),"복습대기(간당간당)",IF(OR(ISNUMBER(SEARCH("아이디어",K526)),ISNUMBER(SEARCH("시간초과",K526)),ISNUMBER(SEARCH("자료구조",K526)),ISNUMBER(SEARCH("경계값",K526)),ISNUMBER(SEARCH("다른 풀이",K526)),ISNUMBER(SEARCH("또풀기",K526))),"복습대기",IF(OR(ISNUMBER(SEARCH("복습필요없음",K526)),ISNUMBER(SEARCH("자력완벽",K526))),"품(복습불필요)",IF(F526&lt;&gt;"","품","미완료"))))))))))</f>
        <v/>
      </c>
      <c r="K526" s="32" t="inlineStr">
        <is>
          <t>-</t>
        </is>
      </c>
      <c r="L526" s="32" t="n"/>
      <c r="M526" s="28">
        <f>IF(OR(LEFT(J526,2)="보류", LEFT(J526,4)="복습대기", LEFT(J526,3)="복습1", LEFT(J526,3)="복습2"), MAX($M$3:M525)+1, "")</f>
        <v/>
      </c>
      <c r="N526" s="28" t="inlineStr">
        <is>
          <t>W14</t>
        </is>
      </c>
      <c r="O526" s="36" t="n">
        <v>46352</v>
      </c>
      <c r="P526" s="30">
        <f>IF(F526&lt;&gt;"","✅ 완료",IF(O526="","-",IF(TODAY()&gt;O526,"🚨 지연","⏳ 예정")))</f>
        <v/>
      </c>
      <c r="Q526" s="7" t="n"/>
      <c r="R526" s="7" t="n"/>
      <c r="S526" s="7" t="n"/>
      <c r="T526" s="7" t="n"/>
      <c r="U526" s="7" t="n"/>
      <c r="V526" s="7" t="n"/>
      <c r="W526" s="7" t="n"/>
      <c r="X526" s="7" t="n"/>
    </row>
    <row r="527" ht="21.75" customHeight="1" s="209">
      <c r="A527" s="28" t="n">
        <v>524</v>
      </c>
      <c r="B527" s="28" t="inlineStr">
        <is>
          <t>17299</t>
        </is>
      </c>
      <c r="C527" s="30" t="inlineStr">
        <is>
          <t>D4</t>
        </is>
      </c>
      <c r="D527" s="32" t="inlineStr">
        <is>
          <t>최소 덧셈</t>
        </is>
      </c>
      <c r="E527" s="28" t="inlineStr">
        <is>
          <t>DFS / BFS / 백트래킹</t>
        </is>
      </c>
      <c r="F527" s="28" t="n"/>
      <c r="G527" s="28" t="n"/>
      <c r="H527" s="28" t="n"/>
      <c r="I527" s="28" t="n"/>
      <c r="J527" s="54">
        <f>IF(OR(ISNUMBER(SEARCH("보류",K527)),ISNUMBER(SEARCH("미룸",K527)),ISNUMBER(SEARCH("나중에",K527)),ISNUMBER(SEARCH("보류",L527)),ISNUMBER(SEARCH("미룸",L527)),ISNUMBER(SEARCH("나중에",L527))),"보류(나중에 풀기)",IF(AND(F527="",G527="",H527="",I527=""),"미완료",IF(I527&lt;&gt;"","복습3(마스터)",IF(H527&lt;&gt;"","복습2",IF(G527&lt;&gt;"","복습1",IF(ISNUMBER(SEARCH("제미나이",K527)),"복습대기(AI도움)",IF(ISNUMBER(SEARCH("간당간당",K527)),"복습대기(간당간당)",IF(OR(ISNUMBER(SEARCH("아이디어",K527)),ISNUMBER(SEARCH("시간초과",K527)),ISNUMBER(SEARCH("자료구조",K527)),ISNUMBER(SEARCH("경계값",K527)),ISNUMBER(SEARCH("다른 풀이",K527)),ISNUMBER(SEARCH("또풀기",K527))),"복습대기",IF(OR(ISNUMBER(SEARCH("복습필요없음",K527)),ISNUMBER(SEARCH("자력완벽",K527))),"품(복습불필요)",IF(F527&lt;&gt;"","품","미완료"))))))))))</f>
        <v/>
      </c>
      <c r="K527" s="32" t="inlineStr">
        <is>
          <t>-</t>
        </is>
      </c>
      <c r="L527" s="32" t="n"/>
      <c r="M527" s="28">
        <f>IF(OR(LEFT(J527,2)="보류", LEFT(J527,4)="복습대기", LEFT(J527,3)="복습1", LEFT(J527,3)="복습2"), MAX($M$3:M526)+1, "")</f>
        <v/>
      </c>
      <c r="N527" s="28" t="inlineStr">
        <is>
          <t>W14</t>
        </is>
      </c>
      <c r="O527" s="36" t="n">
        <v>46352</v>
      </c>
      <c r="P527" s="30">
        <f>IF(F527&lt;&gt;"","✅ 완료",IF(O527="","-",IF(TODAY()&gt;O527,"🚨 지연","⏳ 예정")))</f>
        <v/>
      </c>
      <c r="Q527" s="7" t="n"/>
      <c r="R527" s="7" t="n"/>
      <c r="S527" s="7" t="n"/>
      <c r="T527" s="7" t="n"/>
      <c r="U527" s="7" t="n"/>
      <c r="V527" s="7" t="n"/>
      <c r="W527" s="7" t="n"/>
      <c r="X527" s="7" t="n"/>
    </row>
    <row r="528" ht="21.75" customHeight="1" s="209">
      <c r="A528" s="28" t="n">
        <v>525</v>
      </c>
      <c r="B528" s="28" t="inlineStr">
        <is>
          <t>17322</t>
        </is>
      </c>
      <c r="C528" s="30" t="inlineStr">
        <is>
          <t>D4</t>
        </is>
      </c>
      <c r="D528" s="32" t="inlineStr">
        <is>
          <t>앞만 보는 나이트</t>
        </is>
      </c>
      <c r="E528" s="28" t="inlineStr">
        <is>
          <t>DFS / BFS / 백트래킹</t>
        </is>
      </c>
      <c r="F528" s="28" t="n"/>
      <c r="G528" s="28" t="n"/>
      <c r="H528" s="28" t="n"/>
      <c r="I528" s="28" t="n"/>
      <c r="J528" s="54">
        <f>IF(OR(ISNUMBER(SEARCH("보류",K528)),ISNUMBER(SEARCH("미룸",K528)),ISNUMBER(SEARCH("나중에",K528)),ISNUMBER(SEARCH("보류",L528)),ISNUMBER(SEARCH("미룸",L528)),ISNUMBER(SEARCH("나중에",L528))),"보류(나중에 풀기)",IF(AND(F528="",G528="",H528="",I528=""),"미완료",IF(I528&lt;&gt;"","복습3(마스터)",IF(H528&lt;&gt;"","복습2",IF(G528&lt;&gt;"","복습1",IF(ISNUMBER(SEARCH("제미나이",K528)),"복습대기(AI도움)",IF(ISNUMBER(SEARCH("간당간당",K528)),"복습대기(간당간당)",IF(OR(ISNUMBER(SEARCH("아이디어",K528)),ISNUMBER(SEARCH("시간초과",K528)),ISNUMBER(SEARCH("자료구조",K528)),ISNUMBER(SEARCH("경계값",K528)),ISNUMBER(SEARCH("다른 풀이",K528)),ISNUMBER(SEARCH("또풀기",K528))),"복습대기",IF(OR(ISNUMBER(SEARCH("복습필요없음",K528)),ISNUMBER(SEARCH("자력완벽",K528))),"품(복습불필요)",IF(F528&lt;&gt;"","품","미완료"))))))))))</f>
        <v/>
      </c>
      <c r="K528" s="32" t="inlineStr">
        <is>
          <t>-</t>
        </is>
      </c>
      <c r="L528" s="32" t="n"/>
      <c r="M528" s="28">
        <f>IF(OR(LEFT(J528,2)="보류", LEFT(J528,4)="복습대기", LEFT(J528,3)="복습1", LEFT(J528,3)="복습2"), MAX($M$3:M527)+1, "")</f>
        <v/>
      </c>
      <c r="N528" s="28" t="inlineStr">
        <is>
          <t>W14</t>
        </is>
      </c>
      <c r="O528" s="36" t="n">
        <v>46352</v>
      </c>
      <c r="P528" s="30">
        <f>IF(F528&lt;&gt;"","✅ 완료",IF(O528="","-",IF(TODAY()&gt;O528,"🚨 지연","⏳ 예정")))</f>
        <v/>
      </c>
      <c r="Q528" s="7" t="n"/>
      <c r="R528" s="7" t="n"/>
      <c r="S528" s="7" t="n"/>
      <c r="T528" s="7" t="n"/>
      <c r="U528" s="7" t="n"/>
      <c r="V528" s="7" t="n"/>
      <c r="W528" s="7" t="n"/>
      <c r="X528" s="7" t="n"/>
    </row>
    <row r="529" ht="21.75" customHeight="1" s="209">
      <c r="A529" s="28" t="n">
        <v>526</v>
      </c>
      <c r="B529" s="28" t="inlineStr">
        <is>
          <t>17643</t>
        </is>
      </c>
      <c r="C529" s="30" t="inlineStr">
        <is>
          <t>D4</t>
        </is>
      </c>
      <c r="D529" s="32" t="inlineStr">
        <is>
          <t>로봇</t>
        </is>
      </c>
      <c r="E529" s="28" t="inlineStr">
        <is>
          <t>시뮬레이션 / 구현</t>
        </is>
      </c>
      <c r="F529" s="28" t="n"/>
      <c r="G529" s="28" t="n"/>
      <c r="H529" s="28" t="n"/>
      <c r="I529" s="28" t="n"/>
      <c r="J529" s="54">
        <f>IF(OR(ISNUMBER(SEARCH("보류",K529)),ISNUMBER(SEARCH("미룸",K529)),ISNUMBER(SEARCH("나중에",K529)),ISNUMBER(SEARCH("보류",L529)),ISNUMBER(SEARCH("미룸",L529)),ISNUMBER(SEARCH("나중에",L529))),"보류(나중에 풀기)",IF(AND(F529="",G529="",H529="",I529=""),"미완료",IF(I529&lt;&gt;"","복습3(마스터)",IF(H529&lt;&gt;"","복습2",IF(G529&lt;&gt;"","복습1",IF(ISNUMBER(SEARCH("제미나이",K529)),"복습대기(AI도움)",IF(ISNUMBER(SEARCH("간당간당",K529)),"복습대기(간당간당)",IF(OR(ISNUMBER(SEARCH("아이디어",K529)),ISNUMBER(SEARCH("시간초과",K529)),ISNUMBER(SEARCH("자료구조",K529)),ISNUMBER(SEARCH("경계값",K529)),ISNUMBER(SEARCH("다른 풀이",K529)),ISNUMBER(SEARCH("또풀기",K529))),"복습대기",IF(OR(ISNUMBER(SEARCH("복습필요없음",K529)),ISNUMBER(SEARCH("자력완벽",K529))),"품(복습불필요)",IF(F529&lt;&gt;"","품","미완료"))))))))))</f>
        <v/>
      </c>
      <c r="K529" s="32" t="inlineStr">
        <is>
          <t>-</t>
        </is>
      </c>
      <c r="L529" s="32" t="n"/>
      <c r="M529" s="28">
        <f>IF(OR(LEFT(J529,2)="보류", LEFT(J529,4)="복습대기", LEFT(J529,3)="복습1", LEFT(J529,3)="복습2"), MAX($M$3:M528)+1, "")</f>
        <v/>
      </c>
      <c r="N529" s="28" t="inlineStr">
        <is>
          <t>W14</t>
        </is>
      </c>
      <c r="O529" s="36" t="n">
        <v>46352</v>
      </c>
      <c r="P529" s="30">
        <f>IF(F529&lt;&gt;"","✅ 완료",IF(O529="","-",IF(TODAY()&gt;O529,"🚨 지연","⏳ 예정")))</f>
        <v/>
      </c>
      <c r="Q529" s="7" t="n"/>
      <c r="R529" s="7" t="n"/>
      <c r="S529" s="7" t="n"/>
      <c r="T529" s="7" t="n"/>
      <c r="U529" s="7" t="n"/>
      <c r="V529" s="7" t="n"/>
      <c r="W529" s="7" t="n"/>
      <c r="X529" s="7" t="n"/>
    </row>
    <row r="530" ht="21.75" customHeight="1" s="209">
      <c r="A530" s="28" t="n">
        <v>527</v>
      </c>
      <c r="B530" s="28" t="inlineStr">
        <is>
          <t>17938</t>
        </is>
      </c>
      <c r="C530" s="30" t="inlineStr">
        <is>
          <t>D4</t>
        </is>
      </c>
      <c r="D530" s="32" t="inlineStr">
        <is>
          <t>문자열 세 개</t>
        </is>
      </c>
      <c r="E530" s="28" t="inlineStr">
        <is>
          <t>문자열 / 파싱</t>
        </is>
      </c>
      <c r="F530" s="28" t="n"/>
      <c r="G530" s="28" t="n"/>
      <c r="H530" s="28" t="n"/>
      <c r="I530" s="28" t="n"/>
      <c r="J530" s="54">
        <f>IF(OR(ISNUMBER(SEARCH("보류",K530)),ISNUMBER(SEARCH("미룸",K530)),ISNUMBER(SEARCH("나중에",K530)),ISNUMBER(SEARCH("보류",L530)),ISNUMBER(SEARCH("미룸",L530)),ISNUMBER(SEARCH("나중에",L530))),"보류(나중에 풀기)",IF(AND(F530="",G530="",H530="",I530=""),"미완료",IF(I530&lt;&gt;"","복습3(마스터)",IF(H530&lt;&gt;"","복습2",IF(G530&lt;&gt;"","복습1",IF(ISNUMBER(SEARCH("제미나이",K530)),"복습대기(AI도움)",IF(ISNUMBER(SEARCH("간당간당",K530)),"복습대기(간당간당)",IF(OR(ISNUMBER(SEARCH("아이디어",K530)),ISNUMBER(SEARCH("시간초과",K530)),ISNUMBER(SEARCH("자료구조",K530)),ISNUMBER(SEARCH("경계값",K530)),ISNUMBER(SEARCH("다른 풀이",K530)),ISNUMBER(SEARCH("또풀기",K530))),"복습대기",IF(OR(ISNUMBER(SEARCH("복습필요없음",K530)),ISNUMBER(SEARCH("자력완벽",K530))),"품(복습불필요)",IF(F530&lt;&gt;"","품","미완료"))))))))))</f>
        <v/>
      </c>
      <c r="K530" s="32" t="inlineStr">
        <is>
          <t>-</t>
        </is>
      </c>
      <c r="L530" s="32" t="n"/>
      <c r="M530" s="28">
        <f>IF(OR(LEFT(J530,2)="보류", LEFT(J530,4)="복습대기", LEFT(J530,3)="복습1", LEFT(J530,3)="복습2"), MAX($M$3:M529)+1, "")</f>
        <v/>
      </c>
      <c r="N530" s="28" t="inlineStr">
        <is>
          <t>W14</t>
        </is>
      </c>
      <c r="O530" s="36" t="n">
        <v>46352</v>
      </c>
      <c r="P530" s="30">
        <f>IF(F530&lt;&gt;"","✅ 완료",IF(O530="","-",IF(TODAY()&gt;O530,"🚨 지연","⏳ 예정")))</f>
        <v/>
      </c>
      <c r="Q530" s="7" t="n"/>
      <c r="R530" s="7" t="n"/>
      <c r="S530" s="7" t="n"/>
      <c r="T530" s="7" t="n"/>
      <c r="U530" s="7" t="n"/>
      <c r="V530" s="7" t="n"/>
      <c r="W530" s="7" t="n"/>
      <c r="X530" s="7" t="n"/>
    </row>
    <row r="531" ht="21.75" customHeight="1" s="209">
      <c r="A531" s="28" t="n">
        <v>528</v>
      </c>
      <c r="B531" s="28" t="inlineStr">
        <is>
          <t>18799</t>
        </is>
      </c>
      <c r="C531" s="30" t="inlineStr">
        <is>
          <t>D4</t>
        </is>
      </c>
      <c r="D531" s="32" t="inlineStr">
        <is>
          <t>평균의 평균</t>
        </is>
      </c>
      <c r="E531" s="28" t="inlineStr">
        <is>
          <t>DFS / BFS / 백트래킹</t>
        </is>
      </c>
      <c r="F531" s="28" t="n"/>
      <c r="G531" s="28" t="n"/>
      <c r="H531" s="28" t="n"/>
      <c r="I531" s="28" t="n"/>
      <c r="J531" s="54">
        <f>IF(OR(ISNUMBER(SEARCH("보류",K531)),ISNUMBER(SEARCH("미룸",K531)),ISNUMBER(SEARCH("나중에",K531)),ISNUMBER(SEARCH("보류",L531)),ISNUMBER(SEARCH("미룸",L531)),ISNUMBER(SEARCH("나중에",L531))),"보류(나중에 풀기)",IF(AND(F531="",G531="",H531="",I531=""),"미완료",IF(I531&lt;&gt;"","복습3(마스터)",IF(H531&lt;&gt;"","복습2",IF(G531&lt;&gt;"","복습1",IF(ISNUMBER(SEARCH("제미나이",K531)),"복습대기(AI도움)",IF(ISNUMBER(SEARCH("간당간당",K531)),"복습대기(간당간당)",IF(OR(ISNUMBER(SEARCH("아이디어",K531)),ISNUMBER(SEARCH("시간초과",K531)),ISNUMBER(SEARCH("자료구조",K531)),ISNUMBER(SEARCH("경계값",K531)),ISNUMBER(SEARCH("다른 풀이",K531)),ISNUMBER(SEARCH("또풀기",K531))),"복습대기",IF(OR(ISNUMBER(SEARCH("복습필요없음",K531)),ISNUMBER(SEARCH("자력완벽",K531))),"품(복습불필요)",IF(F531&lt;&gt;"","품","미완료"))))))))))</f>
        <v/>
      </c>
      <c r="K531" s="32" t="inlineStr">
        <is>
          <t>-</t>
        </is>
      </c>
      <c r="L531" s="32" t="n"/>
      <c r="M531" s="28">
        <f>IF(OR(LEFT(J531,2)="보류", LEFT(J531,4)="복습대기", LEFT(J531,3)="복습1", LEFT(J531,3)="복습2"), MAX($M$3:M530)+1, "")</f>
        <v/>
      </c>
      <c r="N531" s="28" t="inlineStr">
        <is>
          <t>W14</t>
        </is>
      </c>
      <c r="O531" s="36" t="n">
        <v>46352</v>
      </c>
      <c r="P531" s="30">
        <f>IF(F531&lt;&gt;"","✅ 완료",IF(O531="","-",IF(TODAY()&gt;O531,"🚨 지연","⏳ 예정")))</f>
        <v/>
      </c>
      <c r="Q531" s="7" t="n"/>
      <c r="R531" s="7" t="n"/>
      <c r="S531" s="7" t="n"/>
      <c r="T531" s="7" t="n"/>
      <c r="U531" s="7" t="n"/>
      <c r="V531" s="7" t="n"/>
      <c r="W531" s="7" t="n"/>
      <c r="X531" s="7" t="n"/>
    </row>
    <row r="532" ht="21.75" customHeight="1" s="209">
      <c r="A532" s="28" t="n">
        <v>529</v>
      </c>
      <c r="B532" s="28" t="inlineStr">
        <is>
          <t>19004</t>
        </is>
      </c>
      <c r="C532" s="30" t="inlineStr">
        <is>
          <t>D4</t>
        </is>
      </c>
      <c r="D532" s="32" t="inlineStr">
        <is>
          <t>점프 놀이</t>
        </is>
      </c>
      <c r="E532" s="28" t="inlineStr">
        <is>
          <t>DFS / BFS / 백트래킹</t>
        </is>
      </c>
      <c r="F532" s="28" t="n"/>
      <c r="G532" s="28" t="n"/>
      <c r="H532" s="28" t="n"/>
      <c r="I532" s="28" t="n"/>
      <c r="J532" s="54">
        <f>IF(OR(ISNUMBER(SEARCH("보류",K532)),ISNUMBER(SEARCH("미룸",K532)),ISNUMBER(SEARCH("나중에",K532)),ISNUMBER(SEARCH("보류",L532)),ISNUMBER(SEARCH("미룸",L532)),ISNUMBER(SEARCH("나중에",L532))),"보류(나중에 풀기)",IF(AND(F532="",G532="",H532="",I532=""),"미완료",IF(I532&lt;&gt;"","복습3(마스터)",IF(H532&lt;&gt;"","복습2",IF(G532&lt;&gt;"","복습1",IF(ISNUMBER(SEARCH("제미나이",K532)),"복습대기(AI도움)",IF(ISNUMBER(SEARCH("간당간당",K532)),"복습대기(간당간당)",IF(OR(ISNUMBER(SEARCH("아이디어",K532)),ISNUMBER(SEARCH("시간초과",K532)),ISNUMBER(SEARCH("자료구조",K532)),ISNUMBER(SEARCH("경계값",K532)),ISNUMBER(SEARCH("다른 풀이",K532)),ISNUMBER(SEARCH("또풀기",K532))),"복습대기",IF(OR(ISNUMBER(SEARCH("복습필요없음",K532)),ISNUMBER(SEARCH("자력완벽",K532))),"품(복습불필요)",IF(F532&lt;&gt;"","품","미완료"))))))))))</f>
        <v/>
      </c>
      <c r="K532" s="32" t="inlineStr">
        <is>
          <t>-</t>
        </is>
      </c>
      <c r="L532" s="32" t="n"/>
      <c r="M532" s="28">
        <f>IF(OR(LEFT(J532,2)="보류", LEFT(J532,4)="복습대기", LEFT(J532,3)="복습1", LEFT(J532,3)="복습2"), MAX($M$3:M531)+1, "")</f>
        <v/>
      </c>
      <c r="N532" s="28" t="inlineStr">
        <is>
          <t>W14</t>
        </is>
      </c>
      <c r="O532" s="36" t="n">
        <v>46353</v>
      </c>
      <c r="P532" s="30">
        <f>IF(F532&lt;&gt;"","✅ 완료",IF(O532="","-",IF(TODAY()&gt;O532,"🚨 지연","⏳ 예정")))</f>
        <v/>
      </c>
      <c r="Q532" s="7" t="n"/>
      <c r="R532" s="7" t="n"/>
      <c r="S532" s="7" t="n"/>
      <c r="T532" s="7" t="n"/>
      <c r="U532" s="7" t="n"/>
      <c r="V532" s="7" t="n"/>
      <c r="W532" s="7" t="n"/>
      <c r="X532" s="7" t="n"/>
    </row>
    <row r="533" ht="21.75" customHeight="1" s="209">
      <c r="A533" s="28" t="n">
        <v>530</v>
      </c>
      <c r="B533" s="28" t="inlineStr">
        <is>
          <t>19189</t>
        </is>
      </c>
      <c r="C533" s="30" t="inlineStr">
        <is>
          <t>D4</t>
        </is>
      </c>
      <c r="D533" s="32" t="inlineStr">
        <is>
          <t>순열의 아름다움</t>
        </is>
      </c>
      <c r="E533" s="28" t="inlineStr">
        <is>
          <t>DFS / 백트래킹</t>
        </is>
      </c>
      <c r="F533" s="28" t="n"/>
      <c r="G533" s="28" t="n"/>
      <c r="H533" s="28" t="n"/>
      <c r="I533" s="28" t="n"/>
      <c r="J533" s="54">
        <f>IF(OR(ISNUMBER(SEARCH("보류",K533)),ISNUMBER(SEARCH("미룸",K533)),ISNUMBER(SEARCH("나중에",K533)),ISNUMBER(SEARCH("보류",L533)),ISNUMBER(SEARCH("미룸",L533)),ISNUMBER(SEARCH("나중에",L533))),"보류(나중에 풀기)",IF(AND(F533="",G533="",H533="",I533=""),"미완료",IF(I533&lt;&gt;"","복습3(마스터)",IF(H533&lt;&gt;"","복습2",IF(G533&lt;&gt;"","복습1",IF(ISNUMBER(SEARCH("제미나이",K533)),"복습대기(AI도움)",IF(ISNUMBER(SEARCH("간당간당",K533)),"복습대기(간당간당)",IF(OR(ISNUMBER(SEARCH("아이디어",K533)),ISNUMBER(SEARCH("시간초과",K533)),ISNUMBER(SEARCH("자료구조",K533)),ISNUMBER(SEARCH("경계값",K533)),ISNUMBER(SEARCH("다른 풀이",K533)),ISNUMBER(SEARCH("또풀기",K533))),"복습대기",IF(OR(ISNUMBER(SEARCH("복습필요없음",K533)),ISNUMBER(SEARCH("자력완벽",K533))),"품(복습불필요)",IF(F533&lt;&gt;"","품","미완료"))))))))))</f>
        <v/>
      </c>
      <c r="K533" s="32" t="inlineStr">
        <is>
          <t>-</t>
        </is>
      </c>
      <c r="L533" s="32" t="n"/>
      <c r="M533" s="28">
        <f>IF(OR(LEFT(J533,2)="보류", LEFT(J533,4)="복습대기", LEFT(J533,3)="복습1", LEFT(J533,3)="복습2"), MAX($M$3:M532)+1, "")</f>
        <v/>
      </c>
      <c r="N533" s="28" t="inlineStr">
        <is>
          <t>W14</t>
        </is>
      </c>
      <c r="O533" s="36" t="n">
        <v>46353</v>
      </c>
      <c r="P533" s="30">
        <f>IF(F533&lt;&gt;"","✅ 완료",IF(O533="","-",IF(TODAY()&gt;O533,"🚨 지연","⏳ 예정")))</f>
        <v/>
      </c>
      <c r="Q533" s="7" t="n"/>
      <c r="R533" s="7" t="n"/>
      <c r="S533" s="7" t="n"/>
      <c r="T533" s="7" t="n"/>
      <c r="U533" s="7" t="n"/>
      <c r="V533" s="7" t="n"/>
      <c r="W533" s="7" t="n"/>
      <c r="X533" s="7" t="n"/>
    </row>
    <row r="534" ht="21.75" customHeight="1" s="209">
      <c r="A534" s="28" t="n">
        <v>531</v>
      </c>
      <c r="B534" s="28" t="inlineStr">
        <is>
          <t>20021</t>
        </is>
      </c>
      <c r="C534" s="30" t="inlineStr">
        <is>
          <t>D4</t>
        </is>
      </c>
      <c r="D534" s="32" t="inlineStr">
        <is>
          <t>소수 그래프</t>
        </is>
      </c>
      <c r="E534" s="28" t="inlineStr">
        <is>
          <t>그래프 / 최단경로 / 위상정렬</t>
        </is>
      </c>
      <c r="F534" s="28" t="n"/>
      <c r="G534" s="28" t="n"/>
      <c r="H534" s="28" t="n"/>
      <c r="I534" s="28" t="n"/>
      <c r="J534" s="54">
        <f>IF(OR(ISNUMBER(SEARCH("보류",K534)),ISNUMBER(SEARCH("미룸",K534)),ISNUMBER(SEARCH("나중에",K534)),ISNUMBER(SEARCH("보류",L534)),ISNUMBER(SEARCH("미룸",L534)),ISNUMBER(SEARCH("나중에",L534))),"보류(나중에 풀기)",IF(AND(F534="",G534="",H534="",I534=""),"미완료",IF(I534&lt;&gt;"","복습3(마스터)",IF(H534&lt;&gt;"","복습2",IF(G534&lt;&gt;"","복습1",IF(ISNUMBER(SEARCH("제미나이",K534)),"복습대기(AI도움)",IF(ISNUMBER(SEARCH("간당간당",K534)),"복습대기(간당간당)",IF(OR(ISNUMBER(SEARCH("아이디어",K534)),ISNUMBER(SEARCH("시간초과",K534)),ISNUMBER(SEARCH("자료구조",K534)),ISNUMBER(SEARCH("경계값",K534)),ISNUMBER(SEARCH("다른 풀이",K534)),ISNUMBER(SEARCH("또풀기",K534))),"복습대기",IF(OR(ISNUMBER(SEARCH("복습필요없음",K534)),ISNUMBER(SEARCH("자력완벽",K534))),"품(복습불필요)",IF(F534&lt;&gt;"","품","미완료"))))))))))</f>
        <v/>
      </c>
      <c r="K534" s="32" t="inlineStr">
        <is>
          <t>-</t>
        </is>
      </c>
      <c r="L534" s="32" t="n"/>
      <c r="M534" s="28">
        <f>IF(OR(LEFT(J534,2)="보류", LEFT(J534,4)="복습대기", LEFT(J534,3)="복습1", LEFT(J534,3)="복습2"), MAX($M$3:M533)+1, "")</f>
        <v/>
      </c>
      <c r="N534" s="28" t="inlineStr">
        <is>
          <t>W14</t>
        </is>
      </c>
      <c r="O534" s="36" t="n">
        <v>46353</v>
      </c>
      <c r="P534" s="30">
        <f>IF(F534&lt;&gt;"","✅ 완료",IF(O534="","-",IF(TODAY()&gt;O534,"🚨 지연","⏳ 예정")))</f>
        <v/>
      </c>
      <c r="Q534" s="7" t="n"/>
      <c r="R534" s="7" t="n"/>
      <c r="S534" s="7" t="n"/>
      <c r="T534" s="7" t="n"/>
      <c r="U534" s="7" t="n"/>
      <c r="V534" s="7" t="n"/>
      <c r="W534" s="7" t="n"/>
      <c r="X534" s="7" t="n"/>
    </row>
    <row r="535" ht="21.75" customHeight="1" s="209">
      <c r="A535" s="28" t="n">
        <v>532</v>
      </c>
      <c r="B535" s="28" t="inlineStr">
        <is>
          <t>20552</t>
        </is>
      </c>
      <c r="C535" s="30" t="inlineStr">
        <is>
          <t>D4</t>
        </is>
      </c>
      <c r="D535" s="32" t="inlineStr">
        <is>
          <t>XOR과 합</t>
        </is>
      </c>
      <c r="E535" s="28" t="inlineStr">
        <is>
          <t>수학 / 정수론</t>
        </is>
      </c>
      <c r="F535" s="28" t="n"/>
      <c r="G535" s="28" t="n"/>
      <c r="H535" s="28" t="n"/>
      <c r="I535" s="28" t="n"/>
      <c r="J535" s="54">
        <f>IF(OR(ISNUMBER(SEARCH("보류",K535)),ISNUMBER(SEARCH("미룸",K535)),ISNUMBER(SEARCH("나중에",K535)),ISNUMBER(SEARCH("보류",L535)),ISNUMBER(SEARCH("미룸",L535)),ISNUMBER(SEARCH("나중에",L535))),"보류(나중에 풀기)",IF(AND(F535="",G535="",H535="",I535=""),"미완료",IF(I535&lt;&gt;"","복습3(마스터)",IF(H535&lt;&gt;"","복습2",IF(G535&lt;&gt;"","복습1",IF(ISNUMBER(SEARCH("제미나이",K535)),"복습대기(AI도움)",IF(ISNUMBER(SEARCH("간당간당",K535)),"복습대기(간당간당)",IF(OR(ISNUMBER(SEARCH("아이디어",K535)),ISNUMBER(SEARCH("시간초과",K535)),ISNUMBER(SEARCH("자료구조",K535)),ISNUMBER(SEARCH("경계값",K535)),ISNUMBER(SEARCH("다른 풀이",K535)),ISNUMBER(SEARCH("또풀기",K535))),"복습대기",IF(OR(ISNUMBER(SEARCH("복습필요없음",K535)),ISNUMBER(SEARCH("자력완벽",K535))),"품(복습불필요)",IF(F535&lt;&gt;"","품","미완료"))))))))))</f>
        <v/>
      </c>
      <c r="K535" s="32" t="inlineStr">
        <is>
          <t>-</t>
        </is>
      </c>
      <c r="L535" s="32" t="n"/>
      <c r="M535" s="28">
        <f>IF(OR(LEFT(J535,2)="보류", LEFT(J535,4)="복습대기", LEFT(J535,3)="복습1", LEFT(J535,3)="복습2"), MAX($M$3:M534)+1, "")</f>
        <v/>
      </c>
      <c r="N535" s="28" t="inlineStr">
        <is>
          <t>W14</t>
        </is>
      </c>
      <c r="O535" s="36" t="n">
        <v>46353</v>
      </c>
      <c r="P535" s="30">
        <f>IF(F535&lt;&gt;"","✅ 완료",IF(O535="","-",IF(TODAY()&gt;O535,"🚨 지연","⏳ 예정")))</f>
        <v/>
      </c>
      <c r="Q535" s="7" t="n"/>
      <c r="R535" s="7" t="n"/>
      <c r="S535" s="7" t="n"/>
      <c r="T535" s="7" t="n"/>
      <c r="U535" s="7" t="n"/>
      <c r="V535" s="7" t="n"/>
      <c r="W535" s="7" t="n"/>
      <c r="X535" s="7" t="n"/>
    </row>
    <row r="536" ht="21.75" customHeight="1" s="209">
      <c r="A536" s="28" t="n">
        <v>533</v>
      </c>
      <c r="B536" s="28" t="inlineStr">
        <is>
          <t>20731</t>
        </is>
      </c>
      <c r="C536" s="30" t="inlineStr">
        <is>
          <t>D4</t>
        </is>
      </c>
      <c r="D536" s="32" t="inlineStr">
        <is>
          <t>서로소 그리드</t>
        </is>
      </c>
      <c r="E536" s="28" t="inlineStr">
        <is>
          <t>DFS / BFS / 백트래킹</t>
        </is>
      </c>
      <c r="F536" s="28" t="n"/>
      <c r="G536" s="28" t="n"/>
      <c r="H536" s="28" t="n"/>
      <c r="I536" s="28" t="n"/>
      <c r="J536" s="54">
        <f>IF(OR(ISNUMBER(SEARCH("보류",K536)),ISNUMBER(SEARCH("미룸",K536)),ISNUMBER(SEARCH("나중에",K536)),ISNUMBER(SEARCH("보류",L536)),ISNUMBER(SEARCH("미룸",L536)),ISNUMBER(SEARCH("나중에",L536))),"보류(나중에 풀기)",IF(AND(F536="",G536="",H536="",I536=""),"미완료",IF(I536&lt;&gt;"","복습3(마스터)",IF(H536&lt;&gt;"","복습2",IF(G536&lt;&gt;"","복습1",IF(ISNUMBER(SEARCH("제미나이",K536)),"복습대기(AI도움)",IF(ISNUMBER(SEARCH("간당간당",K536)),"복습대기(간당간당)",IF(OR(ISNUMBER(SEARCH("아이디어",K536)),ISNUMBER(SEARCH("시간초과",K536)),ISNUMBER(SEARCH("자료구조",K536)),ISNUMBER(SEARCH("경계값",K536)),ISNUMBER(SEARCH("다른 풀이",K536)),ISNUMBER(SEARCH("또풀기",K536))),"복습대기",IF(OR(ISNUMBER(SEARCH("복습필요없음",K536)),ISNUMBER(SEARCH("자력완벽",K536))),"품(복습불필요)",IF(F536&lt;&gt;"","품","미완료"))))))))))</f>
        <v/>
      </c>
      <c r="K536" s="32" t="inlineStr">
        <is>
          <t>-</t>
        </is>
      </c>
      <c r="L536" s="32" t="n"/>
      <c r="M536" s="28">
        <f>IF(OR(LEFT(J536,2)="보류", LEFT(J536,4)="복습대기", LEFT(J536,3)="복습1", LEFT(J536,3)="복습2"), MAX($M$3:M535)+1, "")</f>
        <v/>
      </c>
      <c r="N536" s="28" t="inlineStr">
        <is>
          <t>W14</t>
        </is>
      </c>
      <c r="O536" s="36" t="n">
        <v>46353</v>
      </c>
      <c r="P536" s="30">
        <f>IF(F536&lt;&gt;"","✅ 완료",IF(O536="","-",IF(TODAY()&gt;O536,"🚨 지연","⏳ 예정")))</f>
        <v/>
      </c>
      <c r="Q536" s="7" t="n"/>
      <c r="R536" s="7" t="n"/>
      <c r="S536" s="7" t="n"/>
      <c r="T536" s="7" t="n"/>
      <c r="U536" s="7" t="n"/>
      <c r="V536" s="7" t="n"/>
      <c r="W536" s="7" t="n"/>
      <c r="X536" s="7" t="n"/>
    </row>
    <row r="537" ht="21.75" customHeight="1" s="209">
      <c r="A537" s="28" t="n">
        <v>534</v>
      </c>
      <c r="B537" s="28" t="inlineStr">
        <is>
          <t>20936</t>
        </is>
      </c>
      <c r="C537" s="30" t="inlineStr">
        <is>
          <t>D4</t>
        </is>
      </c>
      <c r="D537" s="32" t="inlineStr">
        <is>
          <t>상자 정렬하기</t>
        </is>
      </c>
      <c r="E537" s="28" t="inlineStr">
        <is>
          <t>DFS / BFS / 백트래킹</t>
        </is>
      </c>
      <c r="F537" s="28" t="n"/>
      <c r="G537" s="28" t="n"/>
      <c r="H537" s="28" t="n"/>
      <c r="I537" s="28" t="n"/>
      <c r="J537" s="54">
        <f>IF(OR(ISNUMBER(SEARCH("보류",K537)),ISNUMBER(SEARCH("미룸",K537)),ISNUMBER(SEARCH("나중에",K537)),ISNUMBER(SEARCH("보류",L537)),ISNUMBER(SEARCH("미룸",L537)),ISNUMBER(SEARCH("나중에",L537))),"보류(나중에 풀기)",IF(AND(F537="",G537="",H537="",I537=""),"미완료",IF(I537&lt;&gt;"","복습3(마스터)",IF(H537&lt;&gt;"","복습2",IF(G537&lt;&gt;"","복습1",IF(ISNUMBER(SEARCH("제미나이",K537)),"복습대기(AI도움)",IF(ISNUMBER(SEARCH("간당간당",K537)),"복습대기(간당간당)",IF(OR(ISNUMBER(SEARCH("아이디어",K537)),ISNUMBER(SEARCH("시간초과",K537)),ISNUMBER(SEARCH("자료구조",K537)),ISNUMBER(SEARCH("경계값",K537)),ISNUMBER(SEARCH("다른 풀이",K537)),ISNUMBER(SEARCH("또풀기",K537))),"복습대기",IF(OR(ISNUMBER(SEARCH("복습필요없음",K537)),ISNUMBER(SEARCH("자력완벽",K537))),"품(복습불필요)",IF(F537&lt;&gt;"","품","미완료"))))))))))</f>
        <v/>
      </c>
      <c r="K537" s="32" t="inlineStr">
        <is>
          <t>-</t>
        </is>
      </c>
      <c r="L537" s="32" t="n"/>
      <c r="M537" s="28">
        <f>IF(OR(LEFT(J537,2)="보류", LEFT(J537,4)="복습대기", LEFT(J537,3)="복습1", LEFT(J537,3)="복습2"), MAX($M$3:M536)+1, "")</f>
        <v/>
      </c>
      <c r="N537" s="28" t="inlineStr">
        <is>
          <t>W14</t>
        </is>
      </c>
      <c r="O537" s="36" t="n">
        <v>46353</v>
      </c>
      <c r="P537" s="30">
        <f>IF(F537&lt;&gt;"","✅ 완료",IF(O537="","-",IF(TODAY()&gt;O537,"🚨 지연","⏳ 예정")))</f>
        <v/>
      </c>
      <c r="Q537" s="7" t="n"/>
      <c r="R537" s="7" t="n"/>
      <c r="S537" s="7" t="n"/>
      <c r="T537" s="7" t="n"/>
      <c r="U537" s="7" t="n"/>
      <c r="V537" s="7" t="n"/>
      <c r="W537" s="7" t="n"/>
      <c r="X537" s="7" t="n"/>
    </row>
    <row r="538" ht="21.75" customHeight="1" s="209">
      <c r="A538" s="28" t="n">
        <v>535</v>
      </c>
      <c r="B538" s="28" t="inlineStr">
        <is>
          <t>21426</t>
        </is>
      </c>
      <c r="C538" s="30" t="inlineStr">
        <is>
          <t>D4</t>
        </is>
      </c>
      <c r="D538" s="32" t="inlineStr">
        <is>
          <t>흰 종이와 검은 종이</t>
        </is>
      </c>
      <c r="E538" s="28" t="inlineStr">
        <is>
          <t>DFS / BFS / 백트래킹</t>
        </is>
      </c>
      <c r="F538" s="28" t="n"/>
      <c r="G538" s="28" t="n"/>
      <c r="H538" s="28" t="n"/>
      <c r="I538" s="28" t="n"/>
      <c r="J538" s="54">
        <f>IF(OR(ISNUMBER(SEARCH("보류",K538)),ISNUMBER(SEARCH("미룸",K538)),ISNUMBER(SEARCH("나중에",K538)),ISNUMBER(SEARCH("보류",L538)),ISNUMBER(SEARCH("미룸",L538)),ISNUMBER(SEARCH("나중에",L538))),"보류(나중에 풀기)",IF(AND(F538="",G538="",H538="",I538=""),"미완료",IF(I538&lt;&gt;"","복습3(마스터)",IF(H538&lt;&gt;"","복습2",IF(G538&lt;&gt;"","복습1",IF(ISNUMBER(SEARCH("제미나이",K538)),"복습대기(AI도움)",IF(ISNUMBER(SEARCH("간당간당",K538)),"복습대기(간당간당)",IF(OR(ISNUMBER(SEARCH("아이디어",K538)),ISNUMBER(SEARCH("시간초과",K538)),ISNUMBER(SEARCH("자료구조",K538)),ISNUMBER(SEARCH("경계값",K538)),ISNUMBER(SEARCH("다른 풀이",K538)),ISNUMBER(SEARCH("또풀기",K538))),"복습대기",IF(OR(ISNUMBER(SEARCH("복습필요없음",K538)),ISNUMBER(SEARCH("자력완벽",K538))),"품(복습불필요)",IF(F538&lt;&gt;"","품","미완료"))))))))))</f>
        <v/>
      </c>
      <c r="K538" s="32" t="inlineStr">
        <is>
          <t>-</t>
        </is>
      </c>
      <c r="L538" s="32" t="n"/>
      <c r="M538" s="28">
        <f>IF(OR(LEFT(J538,2)="보류", LEFT(J538,4)="복습대기", LEFT(J538,3)="복습1", LEFT(J538,3)="복습2"), MAX($M$3:M537)+1, "")</f>
        <v/>
      </c>
      <c r="N538" s="28" t="inlineStr">
        <is>
          <t>W14</t>
        </is>
      </c>
      <c r="O538" s="36" t="n">
        <v>46353</v>
      </c>
      <c r="P538" s="30">
        <f>IF(F538&lt;&gt;"","✅ 완료",IF(O538="","-",IF(TODAY()&gt;O538,"🚨 지연","⏳ 예정")))</f>
        <v/>
      </c>
      <c r="Q538" s="7" t="n"/>
      <c r="R538" s="7" t="n"/>
      <c r="S538" s="7" t="n"/>
      <c r="T538" s="7" t="n"/>
      <c r="U538" s="7" t="n"/>
      <c r="V538" s="7" t="n"/>
      <c r="W538" s="7" t="n"/>
      <c r="X538" s="7" t="n"/>
    </row>
    <row r="539" ht="21.75" customHeight="1" s="209">
      <c r="A539" s="28" t="n">
        <v>536</v>
      </c>
      <c r="B539" s="28" t="inlineStr">
        <is>
          <t>23005</t>
        </is>
      </c>
      <c r="C539" s="30" t="inlineStr">
        <is>
          <t>D4</t>
        </is>
      </c>
      <c r="D539" s="32" t="inlineStr">
        <is>
          <t>회문 만들기</t>
        </is>
      </c>
      <c r="E539" s="28" t="inlineStr">
        <is>
          <t>문자열 / 파싱</t>
        </is>
      </c>
      <c r="F539" s="28" t="n"/>
      <c r="G539" s="28" t="n"/>
      <c r="H539" s="28" t="n"/>
      <c r="I539" s="28" t="n"/>
      <c r="J539" s="54">
        <f>IF(OR(ISNUMBER(SEARCH("보류",K539)),ISNUMBER(SEARCH("미룸",K539)),ISNUMBER(SEARCH("나중에",K539)),ISNUMBER(SEARCH("보류",L539)),ISNUMBER(SEARCH("미룸",L539)),ISNUMBER(SEARCH("나중에",L539))),"보류(나중에 풀기)",IF(AND(F539="",G539="",H539="",I539=""),"미완료",IF(I539&lt;&gt;"","복습3(마스터)",IF(H539&lt;&gt;"","복습2",IF(G539&lt;&gt;"","복습1",IF(ISNUMBER(SEARCH("제미나이",K539)),"복습대기(AI도움)",IF(ISNUMBER(SEARCH("간당간당",K539)),"복습대기(간당간당)",IF(OR(ISNUMBER(SEARCH("아이디어",K539)),ISNUMBER(SEARCH("시간초과",K539)),ISNUMBER(SEARCH("자료구조",K539)),ISNUMBER(SEARCH("경계값",K539)),ISNUMBER(SEARCH("다른 풀이",K539)),ISNUMBER(SEARCH("또풀기",K539))),"복습대기",IF(OR(ISNUMBER(SEARCH("복습필요없음",K539)),ISNUMBER(SEARCH("자력완벽",K539))),"품(복습불필요)",IF(F539&lt;&gt;"","품","미완료"))))))))))</f>
        <v/>
      </c>
      <c r="K539" s="32" t="inlineStr">
        <is>
          <t>-</t>
        </is>
      </c>
      <c r="L539" s="32" t="n"/>
      <c r="M539" s="28">
        <f>IF(OR(LEFT(J539,2)="보류", LEFT(J539,4)="복습대기", LEFT(J539,3)="복습1", LEFT(J539,3)="복습2"), MAX($M$3:M538)+1, "")</f>
        <v/>
      </c>
      <c r="N539" s="28" t="inlineStr">
        <is>
          <t>W14</t>
        </is>
      </c>
      <c r="O539" s="36" t="n">
        <v>46354</v>
      </c>
      <c r="P539" s="30">
        <f>IF(F539&lt;&gt;"","✅ 완료",IF(O539="","-",IF(TODAY()&gt;O539,"🚨 지연","⏳ 예정")))</f>
        <v/>
      </c>
      <c r="Q539" s="7" t="n"/>
      <c r="R539" s="7" t="n"/>
      <c r="S539" s="7" t="n"/>
      <c r="T539" s="7" t="n"/>
      <c r="U539" s="7" t="n"/>
      <c r="V539" s="7" t="n"/>
      <c r="W539" s="7" t="n"/>
      <c r="X539" s="7" t="n"/>
    </row>
    <row r="540" ht="21.75" customHeight="1" s="209">
      <c r="A540" s="28" t="n">
        <v>537</v>
      </c>
      <c r="B540" s="28" t="inlineStr">
        <is>
          <t>24397</t>
        </is>
      </c>
      <c r="C540" s="30" t="inlineStr">
        <is>
          <t>D4</t>
        </is>
      </c>
      <c r="D540" s="32" t="inlineStr">
        <is>
          <t>거듭제곱 후 나누기</t>
        </is>
      </c>
      <c r="E540" s="28" t="inlineStr">
        <is>
          <t>수학 / 정수론</t>
        </is>
      </c>
      <c r="F540" s="28" t="n"/>
      <c r="G540" s="28" t="n"/>
      <c r="H540" s="28" t="n"/>
      <c r="I540" s="28" t="n"/>
      <c r="J540" s="54">
        <f>IF(OR(ISNUMBER(SEARCH("보류",K540)),ISNUMBER(SEARCH("미룸",K540)),ISNUMBER(SEARCH("나중에",K540)),ISNUMBER(SEARCH("보류",L540)),ISNUMBER(SEARCH("미룸",L540)),ISNUMBER(SEARCH("나중에",L540))),"보류(나중에 풀기)",IF(AND(F540="",G540="",H540="",I540=""),"미완료",IF(I540&lt;&gt;"","복습3(마스터)",IF(H540&lt;&gt;"","복습2",IF(G540&lt;&gt;"","복습1",IF(ISNUMBER(SEARCH("제미나이",K540)),"복습대기(AI도움)",IF(ISNUMBER(SEARCH("간당간당",K540)),"복습대기(간당간당)",IF(OR(ISNUMBER(SEARCH("아이디어",K540)),ISNUMBER(SEARCH("시간초과",K540)),ISNUMBER(SEARCH("자료구조",K540)),ISNUMBER(SEARCH("경계값",K540)),ISNUMBER(SEARCH("다른 풀이",K540)),ISNUMBER(SEARCH("또풀기",K540))),"복습대기",IF(OR(ISNUMBER(SEARCH("복습필요없음",K540)),ISNUMBER(SEARCH("자력완벽",K540))),"품(복습불필요)",IF(F540&lt;&gt;"","품","미완료"))))))))))</f>
        <v/>
      </c>
      <c r="K540" s="32" t="inlineStr">
        <is>
          <t>-</t>
        </is>
      </c>
      <c r="L540" s="32" t="n"/>
      <c r="M540" s="28">
        <f>IF(OR(LEFT(J540,2)="보류", LEFT(J540,4)="복습대기", LEFT(J540,3)="복습1", LEFT(J540,3)="복습2"), MAX($M$3:M539)+1, "")</f>
        <v/>
      </c>
      <c r="N540" s="28" t="inlineStr">
        <is>
          <t>W14</t>
        </is>
      </c>
      <c r="O540" s="36" t="n">
        <v>46354</v>
      </c>
      <c r="P540" s="30">
        <f>IF(F540&lt;&gt;"","✅ 완료",IF(O540="","-",IF(TODAY()&gt;O540,"🚨 지연","⏳ 예정")))</f>
        <v/>
      </c>
      <c r="Q540" s="7" t="n"/>
      <c r="R540" s="7" t="n"/>
      <c r="S540" s="7" t="n"/>
      <c r="T540" s="7" t="n"/>
      <c r="U540" s="7" t="n"/>
      <c r="V540" s="7" t="n"/>
      <c r="W540" s="7" t="n"/>
      <c r="X540" s="7" t="n"/>
    </row>
    <row r="541" ht="21.75" customHeight="1" s="209">
      <c r="A541" s="28" t="n">
        <v>538</v>
      </c>
      <c r="B541" s="28" t="inlineStr">
        <is>
          <t>24527</t>
        </is>
      </c>
      <c r="C541" s="30" t="inlineStr">
        <is>
          <t>D4</t>
        </is>
      </c>
      <c r="D541" s="32" t="inlineStr">
        <is>
          <t>장애물 피하기</t>
        </is>
      </c>
      <c r="E541" s="28" t="inlineStr">
        <is>
          <t>DFS / BFS / 백트래킹</t>
        </is>
      </c>
      <c r="F541" s="28" t="n"/>
      <c r="G541" s="28" t="n"/>
      <c r="H541" s="28" t="n"/>
      <c r="I541" s="28" t="n"/>
      <c r="J541" s="54">
        <f>IF(OR(ISNUMBER(SEARCH("보류",K541)),ISNUMBER(SEARCH("미룸",K541)),ISNUMBER(SEARCH("나중에",K541)),ISNUMBER(SEARCH("보류",L541)),ISNUMBER(SEARCH("미룸",L541)),ISNUMBER(SEARCH("나중에",L541))),"보류(나중에 풀기)",IF(AND(F541="",G541="",H541="",I541=""),"미완료",IF(I541&lt;&gt;"","복습3(마스터)",IF(H541&lt;&gt;"","복습2",IF(G541&lt;&gt;"","복습1",IF(ISNUMBER(SEARCH("제미나이",K541)),"복습대기(AI도움)",IF(ISNUMBER(SEARCH("간당간당",K541)),"복습대기(간당간당)",IF(OR(ISNUMBER(SEARCH("아이디어",K541)),ISNUMBER(SEARCH("시간초과",K541)),ISNUMBER(SEARCH("자료구조",K541)),ISNUMBER(SEARCH("경계값",K541)),ISNUMBER(SEARCH("다른 풀이",K541)),ISNUMBER(SEARCH("또풀기",K541))),"복습대기",IF(OR(ISNUMBER(SEARCH("복습필요없음",K541)),ISNUMBER(SEARCH("자력완벽",K541))),"품(복습불필요)",IF(F541&lt;&gt;"","품","미완료"))))))))))</f>
        <v/>
      </c>
      <c r="K541" s="32" t="inlineStr">
        <is>
          <t>-</t>
        </is>
      </c>
      <c r="L541" s="32" t="n"/>
      <c r="M541" s="28">
        <f>IF(OR(LEFT(J541,2)="보류", LEFT(J541,4)="복습대기", LEFT(J541,3)="복습1", LEFT(J541,3)="복습2"), MAX($M$3:M540)+1, "")</f>
        <v/>
      </c>
      <c r="N541" s="28" t="inlineStr">
        <is>
          <t>W14</t>
        </is>
      </c>
      <c r="O541" s="36" t="n">
        <v>46354</v>
      </c>
      <c r="P541" s="30">
        <f>IF(F541&lt;&gt;"","✅ 완료",IF(O541="","-",IF(TODAY()&gt;O541,"🚨 지연","⏳ 예정")))</f>
        <v/>
      </c>
      <c r="Q541" s="7" t="n"/>
      <c r="R541" s="7" t="n"/>
      <c r="S541" s="7" t="n"/>
      <c r="T541" s="7" t="n"/>
      <c r="U541" s="7" t="n"/>
      <c r="V541" s="7" t="n"/>
      <c r="W541" s="7" t="n"/>
      <c r="X541" s="7" t="n"/>
    </row>
    <row r="542" ht="21.75" customHeight="1" s="209">
      <c r="A542" s="28" t="n">
        <v>539</v>
      </c>
      <c r="B542" s="28" t="inlineStr">
        <is>
          <t>25331</t>
        </is>
      </c>
      <c r="C542" s="30" t="inlineStr">
        <is>
          <t>D4</t>
        </is>
      </c>
      <c r="D542" s="32" t="inlineStr">
        <is>
          <t>최소공배수 집합</t>
        </is>
      </c>
      <c r="E542" s="28" t="inlineStr">
        <is>
          <t>수학 / 정수론</t>
        </is>
      </c>
      <c r="F542" s="28" t="n"/>
      <c r="G542" s="28" t="n"/>
      <c r="H542" s="28" t="n"/>
      <c r="I542" s="28" t="n"/>
      <c r="J542" s="54">
        <f>IF(OR(ISNUMBER(SEARCH("보류",K542)),ISNUMBER(SEARCH("미룸",K542)),ISNUMBER(SEARCH("나중에",K542)),ISNUMBER(SEARCH("보류",L542)),ISNUMBER(SEARCH("미룸",L542)),ISNUMBER(SEARCH("나중에",L542))),"보류(나중에 풀기)",IF(AND(F542="",G542="",H542="",I542=""),"미완료",IF(I542&lt;&gt;"","복습3(마스터)",IF(H542&lt;&gt;"","복습2",IF(G542&lt;&gt;"","복습1",IF(ISNUMBER(SEARCH("제미나이",K542)),"복습대기(AI도움)",IF(ISNUMBER(SEARCH("간당간당",K542)),"복습대기(간당간당)",IF(OR(ISNUMBER(SEARCH("아이디어",K542)),ISNUMBER(SEARCH("시간초과",K542)),ISNUMBER(SEARCH("자료구조",K542)),ISNUMBER(SEARCH("경계값",K542)),ISNUMBER(SEARCH("다른 풀이",K542)),ISNUMBER(SEARCH("또풀기",K542))),"복습대기",IF(OR(ISNUMBER(SEARCH("복습필요없음",K542)),ISNUMBER(SEARCH("자력완벽",K542))),"품(복습불필요)",IF(F542&lt;&gt;"","품","미완료"))))))))))</f>
        <v/>
      </c>
      <c r="K542" s="32" t="inlineStr">
        <is>
          <t>-</t>
        </is>
      </c>
      <c r="L542" s="32" t="n"/>
      <c r="M542" s="28">
        <f>IF(OR(LEFT(J542,2)="보류", LEFT(J542,4)="복습대기", LEFT(J542,3)="복습1", LEFT(J542,3)="복습2"), MAX($M$3:M541)+1, "")</f>
        <v/>
      </c>
      <c r="N542" s="28" t="inlineStr">
        <is>
          <t>W14</t>
        </is>
      </c>
      <c r="O542" s="36" t="n">
        <v>46354</v>
      </c>
      <c r="P542" s="30">
        <f>IF(F542&lt;&gt;"","✅ 완료",IF(O542="","-",IF(TODAY()&gt;O542,"🚨 지연","⏳ 예정")))</f>
        <v/>
      </c>
      <c r="Q542" s="7" t="n"/>
      <c r="R542" s="7" t="n"/>
      <c r="S542" s="7" t="n"/>
      <c r="T542" s="7" t="n"/>
      <c r="U542" s="7" t="n"/>
      <c r="V542" s="7" t="n"/>
      <c r="W542" s="7" t="n"/>
      <c r="X542" s="7" t="n"/>
    </row>
    <row r="543" ht="21.75" customHeight="1" s="209">
      <c r="A543" s="28" t="n">
        <v>540</v>
      </c>
      <c r="B543" s="28" t="inlineStr">
        <is>
          <t>25471</t>
        </is>
      </c>
      <c r="C543" s="30" t="inlineStr">
        <is>
          <t>D4</t>
        </is>
      </c>
      <c r="D543" s="32" t="inlineStr">
        <is>
          <t>약수 게임</t>
        </is>
      </c>
      <c r="E543" s="28" t="inlineStr">
        <is>
          <t>시뮬레이션 / 구현</t>
        </is>
      </c>
      <c r="F543" s="28" t="n"/>
      <c r="G543" s="28" t="n"/>
      <c r="H543" s="28" t="n"/>
      <c r="I543" s="28" t="n"/>
      <c r="J543" s="54">
        <f>IF(OR(ISNUMBER(SEARCH("보류",K543)),ISNUMBER(SEARCH("미룸",K543)),ISNUMBER(SEARCH("나중에",K543)),ISNUMBER(SEARCH("보류",L543)),ISNUMBER(SEARCH("미룸",L543)),ISNUMBER(SEARCH("나중에",L543))),"보류(나중에 풀기)",IF(AND(F543="",G543="",H543="",I543=""),"미완료",IF(I543&lt;&gt;"","복습3(마스터)",IF(H543&lt;&gt;"","복습2",IF(G543&lt;&gt;"","복습1",IF(ISNUMBER(SEARCH("제미나이",K543)),"복습대기(AI도움)",IF(ISNUMBER(SEARCH("간당간당",K543)),"복습대기(간당간당)",IF(OR(ISNUMBER(SEARCH("아이디어",K543)),ISNUMBER(SEARCH("시간초과",K543)),ISNUMBER(SEARCH("자료구조",K543)),ISNUMBER(SEARCH("경계값",K543)),ISNUMBER(SEARCH("다른 풀이",K543)),ISNUMBER(SEARCH("또풀기",K543))),"복습대기",IF(OR(ISNUMBER(SEARCH("복습필요없음",K543)),ISNUMBER(SEARCH("자력완벽",K543))),"품(복습불필요)",IF(F543&lt;&gt;"","품","미완료"))))))))))</f>
        <v/>
      </c>
      <c r="K543" s="32" t="inlineStr">
        <is>
          <t>-</t>
        </is>
      </c>
      <c r="L543" s="32" t="n"/>
      <c r="M543" s="28">
        <f>IF(OR(LEFT(J543,2)="보류", LEFT(J543,4)="복습대기", LEFT(J543,3)="복습1", LEFT(J543,3)="복습2"), MAX($M$3:M542)+1, "")</f>
        <v/>
      </c>
      <c r="N543" s="28" t="inlineStr">
        <is>
          <t>W14</t>
        </is>
      </c>
      <c r="O543" s="36" t="n">
        <v>46354</v>
      </c>
      <c r="P543" s="30">
        <f>IF(F543&lt;&gt;"","✅ 완료",IF(O543="","-",IF(TODAY()&gt;O543,"🚨 지연","⏳ 예정")))</f>
        <v/>
      </c>
      <c r="Q543" s="7" t="n"/>
      <c r="R543" s="7" t="n"/>
      <c r="S543" s="7" t="n"/>
      <c r="T543" s="7" t="n"/>
      <c r="U543" s="7" t="n"/>
      <c r="V543" s="7" t="n"/>
      <c r="W543" s="7" t="n"/>
      <c r="X543" s="7" t="n"/>
    </row>
    <row r="544" ht="21.75" customHeight="1" s="209">
      <c r="A544" s="28" t="n">
        <v>541</v>
      </c>
      <c r="B544" s="28" t="inlineStr">
        <is>
          <t>25656</t>
        </is>
      </c>
      <c r="C544" s="30" t="inlineStr">
        <is>
          <t>D4</t>
        </is>
      </c>
      <c r="D544" s="32" t="inlineStr">
        <is>
          <t>등비수열의 합집합</t>
        </is>
      </c>
      <c r="E544" s="28" t="inlineStr">
        <is>
          <t>동적계획법 (DP)</t>
        </is>
      </c>
      <c r="F544" s="28" t="n"/>
      <c r="G544" s="28" t="n"/>
      <c r="H544" s="28" t="n"/>
      <c r="I544" s="28" t="n"/>
      <c r="J544" s="54">
        <f>IF(OR(ISNUMBER(SEARCH("보류",K544)),ISNUMBER(SEARCH("미룸",K544)),ISNUMBER(SEARCH("나중에",K544)),ISNUMBER(SEARCH("보류",L544)),ISNUMBER(SEARCH("미룸",L544)),ISNUMBER(SEARCH("나중에",L544))),"보류(나중에 풀기)",IF(AND(F544="",G544="",H544="",I544=""),"미완료",IF(I544&lt;&gt;"","복습3(마스터)",IF(H544&lt;&gt;"","복습2",IF(G544&lt;&gt;"","복습1",IF(ISNUMBER(SEARCH("제미나이",K544)),"복습대기(AI도움)",IF(ISNUMBER(SEARCH("간당간당",K544)),"복습대기(간당간당)",IF(OR(ISNUMBER(SEARCH("아이디어",K544)),ISNUMBER(SEARCH("시간초과",K544)),ISNUMBER(SEARCH("자료구조",K544)),ISNUMBER(SEARCH("경계값",K544)),ISNUMBER(SEARCH("다른 풀이",K544)),ISNUMBER(SEARCH("또풀기",K544))),"복습대기",IF(OR(ISNUMBER(SEARCH("복습필요없음",K544)),ISNUMBER(SEARCH("자력완벽",K544))),"품(복습불필요)",IF(F544&lt;&gt;"","품","미완료"))))))))))</f>
        <v/>
      </c>
      <c r="K544" s="32" t="inlineStr">
        <is>
          <t>-</t>
        </is>
      </c>
      <c r="L544" s="32" t="n"/>
      <c r="M544" s="28">
        <f>IF(OR(LEFT(J544,2)="보류", LEFT(J544,4)="복습대기", LEFT(J544,3)="복습1", LEFT(J544,3)="복습2"), MAX($M$3:M543)+1, "")</f>
        <v/>
      </c>
      <c r="N544" s="28" t="inlineStr">
        <is>
          <t>W14</t>
        </is>
      </c>
      <c r="O544" s="36" t="n">
        <v>46354</v>
      </c>
      <c r="P544" s="30">
        <f>IF(F544&lt;&gt;"","✅ 완료",IF(O544="","-",IF(TODAY()&gt;O544,"🚨 지연","⏳ 예정")))</f>
        <v/>
      </c>
      <c r="Q544" s="7" t="n"/>
      <c r="R544" s="7" t="n"/>
      <c r="S544" s="7" t="n"/>
      <c r="T544" s="7" t="n"/>
      <c r="U544" s="7" t="n"/>
      <c r="V544" s="7" t="n"/>
      <c r="W544" s="7" t="n"/>
      <c r="X544" s="7" t="n"/>
    </row>
    <row r="545" ht="21.75" customHeight="1" s="209">
      <c r="A545" s="28" t="n">
        <v>542</v>
      </c>
      <c r="B545" s="28" t="inlineStr">
        <is>
          <t>25697</t>
        </is>
      </c>
      <c r="C545" s="30" t="inlineStr">
        <is>
          <t>D4</t>
        </is>
      </c>
      <c r="D545" s="32" t="inlineStr">
        <is>
          <t>점프점프 1</t>
        </is>
      </c>
      <c r="E545" s="28" t="inlineStr">
        <is>
          <t>DFS / BFS / 백트래킹</t>
        </is>
      </c>
      <c r="F545" s="28" t="n"/>
      <c r="G545" s="28" t="n"/>
      <c r="H545" s="28" t="n"/>
      <c r="I545" s="28" t="n"/>
      <c r="J545" s="54">
        <f>IF(OR(ISNUMBER(SEARCH("보류",K545)),ISNUMBER(SEARCH("미룸",K545)),ISNUMBER(SEARCH("나중에",K545)),ISNUMBER(SEARCH("보류",L545)),ISNUMBER(SEARCH("미룸",L545)),ISNUMBER(SEARCH("나중에",L545))),"보류(나중에 풀기)",IF(AND(F545="",G545="",H545="",I545=""),"미완료",IF(I545&lt;&gt;"","복습3(마스터)",IF(H545&lt;&gt;"","복습2",IF(G545&lt;&gt;"","복습1",IF(ISNUMBER(SEARCH("제미나이",K545)),"복습대기(AI도움)",IF(ISNUMBER(SEARCH("간당간당",K545)),"복습대기(간당간당)",IF(OR(ISNUMBER(SEARCH("아이디어",K545)),ISNUMBER(SEARCH("시간초과",K545)),ISNUMBER(SEARCH("자료구조",K545)),ISNUMBER(SEARCH("경계값",K545)),ISNUMBER(SEARCH("다른 풀이",K545)),ISNUMBER(SEARCH("또풀기",K545))),"복습대기",IF(OR(ISNUMBER(SEARCH("복습필요없음",K545)),ISNUMBER(SEARCH("자력완벽",K545))),"품(복습불필요)",IF(F545&lt;&gt;"","품","미완료"))))))))))</f>
        <v/>
      </c>
      <c r="K545" s="32" t="inlineStr">
        <is>
          <t>-</t>
        </is>
      </c>
      <c r="L545" s="32" t="n"/>
      <c r="M545" s="28">
        <f>IF(OR(LEFT(J545,2)="보류", LEFT(J545,4)="복습대기", LEFT(J545,3)="복습1", LEFT(J545,3)="복습2"), MAX($M$3:M544)+1, "")</f>
        <v/>
      </c>
      <c r="N545" s="28" t="inlineStr">
        <is>
          <t>W14</t>
        </is>
      </c>
      <c r="O545" s="36" t="n">
        <v>46354</v>
      </c>
      <c r="P545" s="30">
        <f>IF(F545&lt;&gt;"","✅ 완료",IF(O545="","-",IF(TODAY()&gt;O545,"🚨 지연","⏳ 예정")))</f>
        <v/>
      </c>
      <c r="Q545" s="7" t="n"/>
      <c r="R545" s="7" t="n"/>
      <c r="S545" s="7" t="n"/>
      <c r="T545" s="7" t="n"/>
      <c r="U545" s="7" t="n"/>
      <c r="V545" s="7" t="n"/>
      <c r="W545" s="7" t="n"/>
      <c r="X545" s="7" t="n"/>
    </row>
    <row r="546" ht="21.75" customHeight="1" s="209">
      <c r="A546" s="28" t="n">
        <v>543</v>
      </c>
      <c r="B546" s="28" t="inlineStr">
        <is>
          <t>25838</t>
        </is>
      </c>
      <c r="C546" s="30" t="inlineStr">
        <is>
          <t>D4</t>
        </is>
      </c>
      <c r="D546" s="32" t="inlineStr">
        <is>
          <t>여우 줄이기</t>
        </is>
      </c>
      <c r="E546" s="28" t="inlineStr">
        <is>
          <t>DFS / BFS / 백트래킹</t>
        </is>
      </c>
      <c r="F546" s="28" t="n"/>
      <c r="G546" s="28" t="n"/>
      <c r="H546" s="28" t="n"/>
      <c r="I546" s="28" t="n"/>
      <c r="J546" s="54">
        <f>IF(OR(ISNUMBER(SEARCH("보류",K546)),ISNUMBER(SEARCH("미룸",K546)),ISNUMBER(SEARCH("나중에",K546)),ISNUMBER(SEARCH("보류",L546)),ISNUMBER(SEARCH("미룸",L546)),ISNUMBER(SEARCH("나중에",L546))),"보류(나중에 풀기)",IF(AND(F546="",G546="",H546="",I546=""),"미완료",IF(I546&lt;&gt;"","복습3(마스터)",IF(H546&lt;&gt;"","복습2",IF(G546&lt;&gt;"","복습1",IF(ISNUMBER(SEARCH("제미나이",K546)),"복습대기(AI도움)",IF(ISNUMBER(SEARCH("간당간당",K546)),"복습대기(간당간당)",IF(OR(ISNUMBER(SEARCH("아이디어",K546)),ISNUMBER(SEARCH("시간초과",K546)),ISNUMBER(SEARCH("자료구조",K546)),ISNUMBER(SEARCH("경계값",K546)),ISNUMBER(SEARCH("다른 풀이",K546)),ISNUMBER(SEARCH("또풀기",K546))),"복습대기",IF(OR(ISNUMBER(SEARCH("복습필요없음",K546)),ISNUMBER(SEARCH("자력완벽",K546))),"품(복습불필요)",IF(F546&lt;&gt;"","품","미완료"))))))))))</f>
        <v/>
      </c>
      <c r="K546" s="32" t="inlineStr">
        <is>
          <t>-</t>
        </is>
      </c>
      <c r="L546" s="32" t="n"/>
      <c r="M546" s="28">
        <f>IF(OR(LEFT(J546,2)="보류", LEFT(J546,4)="복습대기", LEFT(J546,3)="복습1", LEFT(J546,3)="복습2"), MAX($M$3:M545)+1, "")</f>
        <v/>
      </c>
      <c r="N546" s="28" t="inlineStr">
        <is>
          <t>W14</t>
        </is>
      </c>
      <c r="O546" s="36" t="n">
        <v>46354</v>
      </c>
      <c r="P546" s="30">
        <f>IF(F546&lt;&gt;"","✅ 완료",IF(O546="","-",IF(TODAY()&gt;O546,"🚨 지연","⏳ 예정")))</f>
        <v/>
      </c>
      <c r="Q546" s="7" t="n"/>
      <c r="R546" s="7" t="n"/>
      <c r="S546" s="7" t="n"/>
      <c r="T546" s="7" t="n"/>
      <c r="U546" s="7" t="n"/>
      <c r="V546" s="7" t="n"/>
      <c r="W546" s="7" t="n"/>
      <c r="X546" s="7" t="n"/>
    </row>
    <row r="547" ht="21.75" customHeight="1" s="209">
      <c r="A547" s="28" t="n">
        <v>544</v>
      </c>
      <c r="B547" s="28" t="inlineStr">
        <is>
          <t>26011</t>
        </is>
      </c>
      <c r="C547" s="30" t="inlineStr">
        <is>
          <t>D4</t>
        </is>
      </c>
      <c r="D547" s="32" t="inlineStr">
        <is>
          <t>정수들의 합</t>
        </is>
      </c>
      <c r="E547" s="28" t="inlineStr">
        <is>
          <t>수학 / 정수론</t>
        </is>
      </c>
      <c r="F547" s="28" t="n"/>
      <c r="G547" s="28" t="n"/>
      <c r="H547" s="28" t="n"/>
      <c r="I547" s="28" t="n"/>
      <c r="J547" s="54">
        <f>IF(OR(ISNUMBER(SEARCH("보류",K547)),ISNUMBER(SEARCH("미룸",K547)),ISNUMBER(SEARCH("나중에",K547)),ISNUMBER(SEARCH("보류",L547)),ISNUMBER(SEARCH("미룸",L547)),ISNUMBER(SEARCH("나중에",L547))),"보류(나중에 풀기)",IF(AND(F547="",G547="",H547="",I547=""),"미완료",IF(I547&lt;&gt;"","복습3(마스터)",IF(H547&lt;&gt;"","복습2",IF(G547&lt;&gt;"","복습1",IF(ISNUMBER(SEARCH("제미나이",K547)),"복습대기(AI도움)",IF(ISNUMBER(SEARCH("간당간당",K547)),"복습대기(간당간당)",IF(OR(ISNUMBER(SEARCH("아이디어",K547)),ISNUMBER(SEARCH("시간초과",K547)),ISNUMBER(SEARCH("자료구조",K547)),ISNUMBER(SEARCH("경계값",K547)),ISNUMBER(SEARCH("다른 풀이",K547)),ISNUMBER(SEARCH("또풀기",K547))),"복습대기",IF(OR(ISNUMBER(SEARCH("복습필요없음",K547)),ISNUMBER(SEARCH("자력완벽",K547))),"품(복습불필요)",IF(F547&lt;&gt;"","품","미완료"))))))))))</f>
        <v/>
      </c>
      <c r="K547" s="32" t="inlineStr">
        <is>
          <t>-</t>
        </is>
      </c>
      <c r="L547" s="32" t="n"/>
      <c r="M547" s="28">
        <f>IF(OR(LEFT(J547,2)="보류", LEFT(J547,4)="복습대기", LEFT(J547,3)="복습1", LEFT(J547,3)="복습2"), MAX($M$3:M546)+1, "")</f>
        <v/>
      </c>
      <c r="N547" s="28" t="inlineStr">
        <is>
          <t>W14</t>
        </is>
      </c>
      <c r="O547" s="36" t="n">
        <v>46355</v>
      </c>
      <c r="P547" s="30">
        <f>IF(F547&lt;&gt;"","✅ 완료",IF(O547="","-",IF(TODAY()&gt;O547,"🚨 지연","⏳ 예정")))</f>
        <v/>
      </c>
      <c r="Q547" s="7" t="n"/>
      <c r="R547" s="7" t="n"/>
      <c r="S547" s="7" t="n"/>
      <c r="T547" s="7" t="n"/>
      <c r="U547" s="7" t="n"/>
      <c r="V547" s="7" t="n"/>
      <c r="W547" s="7" t="n"/>
      <c r="X547" s="7" t="n"/>
    </row>
    <row r="548" ht="21.75" customHeight="1" s="209">
      <c r="A548" s="28" t="n">
        <v>545</v>
      </c>
      <c r="B548" s="28" t="inlineStr">
        <is>
          <t>26390</t>
        </is>
      </c>
      <c r="C548" s="30" t="inlineStr">
        <is>
          <t>D4</t>
        </is>
      </c>
      <c r="D548" s="32" t="inlineStr">
        <is>
          <t>트리 바꾸기</t>
        </is>
      </c>
      <c r="E548" s="28" t="inlineStr">
        <is>
          <t>트리 / 힙 / 세그먼트트리</t>
        </is>
      </c>
      <c r="F548" s="28" t="n"/>
      <c r="G548" s="28" t="n"/>
      <c r="H548" s="28" t="n"/>
      <c r="I548" s="28" t="n"/>
      <c r="J548" s="54">
        <f>IF(OR(ISNUMBER(SEARCH("보류",K548)),ISNUMBER(SEARCH("미룸",K548)),ISNUMBER(SEARCH("나중에",K548)),ISNUMBER(SEARCH("보류",L548)),ISNUMBER(SEARCH("미룸",L548)),ISNUMBER(SEARCH("나중에",L548))),"보류(나중에 풀기)",IF(AND(F548="",G548="",H548="",I548=""),"미완료",IF(I548&lt;&gt;"","복습3(마스터)",IF(H548&lt;&gt;"","복습2",IF(G548&lt;&gt;"","복습1",IF(ISNUMBER(SEARCH("제미나이",K548)),"복습대기(AI도움)",IF(ISNUMBER(SEARCH("간당간당",K548)),"복습대기(간당간당)",IF(OR(ISNUMBER(SEARCH("아이디어",K548)),ISNUMBER(SEARCH("시간초과",K548)),ISNUMBER(SEARCH("자료구조",K548)),ISNUMBER(SEARCH("경계값",K548)),ISNUMBER(SEARCH("다른 풀이",K548)),ISNUMBER(SEARCH("또풀기",K548))),"복습대기",IF(OR(ISNUMBER(SEARCH("복습필요없음",K548)),ISNUMBER(SEARCH("자력완벽",K548))),"품(복습불필요)",IF(F548&lt;&gt;"","품","미완료"))))))))))</f>
        <v/>
      </c>
      <c r="K548" s="32" t="inlineStr">
        <is>
          <t>-</t>
        </is>
      </c>
      <c r="L548" s="32" t="n"/>
      <c r="M548" s="28">
        <f>IF(OR(LEFT(J548,2)="보류", LEFT(J548,4)="복습대기", LEFT(J548,3)="복습1", LEFT(J548,3)="복습2"), MAX($M$3:M547)+1, "")</f>
        <v/>
      </c>
      <c r="N548" s="28" t="inlineStr">
        <is>
          <t>W14</t>
        </is>
      </c>
      <c r="O548" s="36" t="n">
        <v>46355</v>
      </c>
      <c r="P548" s="30">
        <f>IF(F548&lt;&gt;"","✅ 완료",IF(O548="","-",IF(TODAY()&gt;O548,"🚨 지연","⏳ 예정")))</f>
        <v/>
      </c>
      <c r="Q548" s="7" t="n"/>
      <c r="R548" s="7" t="n"/>
      <c r="S548" s="7" t="n"/>
      <c r="T548" s="7" t="n"/>
      <c r="U548" s="7" t="n"/>
      <c r="V548" s="7" t="n"/>
      <c r="W548" s="7" t="n"/>
      <c r="X548" s="7" t="n"/>
    </row>
    <row r="549" ht="21.75" customHeight="1" s="209">
      <c r="A549" s="28" t="n">
        <v>546</v>
      </c>
      <c r="B549" s="28" t="inlineStr">
        <is>
          <t>26504</t>
        </is>
      </c>
      <c r="C549" s="30" t="inlineStr">
        <is>
          <t>D4</t>
        </is>
      </c>
      <c r="D549" s="32" t="inlineStr">
        <is>
          <t>MST 만들기</t>
        </is>
      </c>
      <c r="E549" s="28" t="inlineStr">
        <is>
          <t>그래프 / 최단경로 / 위상정렬</t>
        </is>
      </c>
      <c r="F549" s="28" t="n"/>
      <c r="G549" s="28" t="n"/>
      <c r="H549" s="28" t="n"/>
      <c r="I549" s="28" t="n"/>
      <c r="J549" s="54">
        <f>IF(OR(ISNUMBER(SEARCH("보류",K549)),ISNUMBER(SEARCH("미룸",K549)),ISNUMBER(SEARCH("나중에",K549)),ISNUMBER(SEARCH("보류",L549)),ISNUMBER(SEARCH("미룸",L549)),ISNUMBER(SEARCH("나중에",L549))),"보류(나중에 풀기)",IF(AND(F549="",G549="",H549="",I549=""),"미완료",IF(I549&lt;&gt;"","복습3(마스터)",IF(H549&lt;&gt;"","복습2",IF(G549&lt;&gt;"","복습1",IF(ISNUMBER(SEARCH("제미나이",K549)),"복습대기(AI도움)",IF(ISNUMBER(SEARCH("간당간당",K549)),"복습대기(간당간당)",IF(OR(ISNUMBER(SEARCH("아이디어",K549)),ISNUMBER(SEARCH("시간초과",K549)),ISNUMBER(SEARCH("자료구조",K549)),ISNUMBER(SEARCH("경계값",K549)),ISNUMBER(SEARCH("다른 풀이",K549)),ISNUMBER(SEARCH("또풀기",K549))),"복습대기",IF(OR(ISNUMBER(SEARCH("복습필요없음",K549)),ISNUMBER(SEARCH("자력완벽",K549))),"품(복습불필요)",IF(F549&lt;&gt;"","품","미완료"))))))))))</f>
        <v/>
      </c>
      <c r="K549" s="32" t="inlineStr">
        <is>
          <t>-</t>
        </is>
      </c>
      <c r="L549" s="32" t="n"/>
      <c r="M549" s="28">
        <f>IF(OR(LEFT(J549,2)="보류", LEFT(J549,4)="복습대기", LEFT(J549,3)="복습1", LEFT(J549,3)="복습2"), MAX($M$3:M548)+1, "")</f>
        <v/>
      </c>
      <c r="N549" s="28" t="inlineStr">
        <is>
          <t>W14</t>
        </is>
      </c>
      <c r="O549" s="36" t="n">
        <v>46355</v>
      </c>
      <c r="P549" s="30">
        <f>IF(F549&lt;&gt;"","✅ 완료",IF(O549="","-",IF(TODAY()&gt;O549,"🚨 지연","⏳ 예정")))</f>
        <v/>
      </c>
      <c r="Q549" s="7" t="n"/>
      <c r="R549" s="7" t="n"/>
      <c r="S549" s="7" t="n"/>
      <c r="T549" s="7" t="n"/>
      <c r="U549" s="7" t="n"/>
      <c r="V549" s="7" t="n"/>
      <c r="W549" s="7" t="n"/>
      <c r="X549" s="7" t="n"/>
    </row>
    <row r="550" ht="21.75" customHeight="1" s="209">
      <c r="A550" s="28" t="n">
        <v>547</v>
      </c>
      <c r="B550" s="28" t="inlineStr">
        <is>
          <t>26793</t>
        </is>
      </c>
      <c r="C550" s="30" t="inlineStr">
        <is>
          <t>D4</t>
        </is>
      </c>
      <c r="D550" s="32" t="inlineStr">
        <is>
          <t>게으름뱅이</t>
        </is>
      </c>
      <c r="E550" s="28" t="inlineStr">
        <is>
          <t>DFS / BFS / 백트래킹</t>
        </is>
      </c>
      <c r="F550" s="28" t="n"/>
      <c r="G550" s="28" t="n"/>
      <c r="H550" s="28" t="n"/>
      <c r="I550" s="28" t="n"/>
      <c r="J550" s="54">
        <f>IF(OR(ISNUMBER(SEARCH("보류",K550)),ISNUMBER(SEARCH("미룸",K550)),ISNUMBER(SEARCH("나중에",K550)),ISNUMBER(SEARCH("보류",L550)),ISNUMBER(SEARCH("미룸",L550)),ISNUMBER(SEARCH("나중에",L550))),"보류(나중에 풀기)",IF(AND(F550="",G550="",H550="",I550=""),"미완료",IF(I550&lt;&gt;"","복습3(마스터)",IF(H550&lt;&gt;"","복습2",IF(G550&lt;&gt;"","복습1",IF(ISNUMBER(SEARCH("제미나이",K550)),"복습대기(AI도움)",IF(ISNUMBER(SEARCH("간당간당",K550)),"복습대기(간당간당)",IF(OR(ISNUMBER(SEARCH("아이디어",K550)),ISNUMBER(SEARCH("시간초과",K550)),ISNUMBER(SEARCH("자료구조",K550)),ISNUMBER(SEARCH("경계값",K550)),ISNUMBER(SEARCH("다른 풀이",K550)),ISNUMBER(SEARCH("또풀기",K550))),"복습대기",IF(OR(ISNUMBER(SEARCH("복습필요없음",K550)),ISNUMBER(SEARCH("자력완벽",K550))),"품(복습불필요)",IF(F550&lt;&gt;"","품","미완료"))))))))))</f>
        <v/>
      </c>
      <c r="K550" s="32" t="inlineStr">
        <is>
          <t>-</t>
        </is>
      </c>
      <c r="L550" s="32" t="n"/>
      <c r="M550" s="28">
        <f>IF(OR(LEFT(J550,2)="보류", LEFT(J550,4)="복습대기", LEFT(J550,3)="복습1", LEFT(J550,3)="복습2"), MAX($M$3:M549)+1, "")</f>
        <v/>
      </c>
      <c r="N550" s="28" t="inlineStr">
        <is>
          <t>W14</t>
        </is>
      </c>
      <c r="O550" s="36" t="n">
        <v>46355</v>
      </c>
      <c r="P550" s="30">
        <f>IF(F550&lt;&gt;"","✅ 완료",IF(O550="","-",IF(TODAY()&gt;O550,"🚨 지연","⏳ 예정")))</f>
        <v/>
      </c>
      <c r="Q550" s="7" t="n"/>
      <c r="R550" s="7" t="n"/>
      <c r="S550" s="7" t="n"/>
      <c r="T550" s="7" t="n"/>
      <c r="U550" s="7" t="n"/>
      <c r="V550" s="7" t="n"/>
      <c r="W550" s="7" t="n"/>
      <c r="X550" s="7" t="n"/>
    </row>
    <row r="551" ht="21.75" customHeight="1" s="209">
      <c r="A551" s="28" t="n">
        <v>548</v>
      </c>
      <c r="B551" s="28" t="inlineStr">
        <is>
          <t>26838</t>
        </is>
      </c>
      <c r="C551" s="30" t="inlineStr">
        <is>
          <t>D4</t>
        </is>
      </c>
      <c r="D551" s="32" t="inlineStr">
        <is>
          <t>화려한 경로</t>
        </is>
      </c>
      <c r="E551" s="28" t="inlineStr">
        <is>
          <t>DFS / 백트래킹</t>
        </is>
      </c>
      <c r="F551" s="28" t="n"/>
      <c r="G551" s="28" t="n"/>
      <c r="H551" s="28" t="n"/>
      <c r="I551" s="28" t="n"/>
      <c r="J551" s="54">
        <f>IF(OR(ISNUMBER(SEARCH("보류",K551)),ISNUMBER(SEARCH("미룸",K551)),ISNUMBER(SEARCH("나중에",K551)),ISNUMBER(SEARCH("보류",L551)),ISNUMBER(SEARCH("미룸",L551)),ISNUMBER(SEARCH("나중에",L551))),"보류(나중에 풀기)",IF(AND(F551="",G551="",H551="",I551=""),"미완료",IF(I551&lt;&gt;"","복습3(마스터)",IF(H551&lt;&gt;"","복습2",IF(G551&lt;&gt;"","복습1",IF(ISNUMBER(SEARCH("제미나이",K551)),"복습대기(AI도움)",IF(ISNUMBER(SEARCH("간당간당",K551)),"복습대기(간당간당)",IF(OR(ISNUMBER(SEARCH("아이디어",K551)),ISNUMBER(SEARCH("시간초과",K551)),ISNUMBER(SEARCH("자료구조",K551)),ISNUMBER(SEARCH("경계값",K551)),ISNUMBER(SEARCH("다른 풀이",K551)),ISNUMBER(SEARCH("또풀기",K551))),"복습대기",IF(OR(ISNUMBER(SEARCH("복습필요없음",K551)),ISNUMBER(SEARCH("자력완벽",K551))),"품(복습불필요)",IF(F551&lt;&gt;"","품","미완료"))))))))))</f>
        <v/>
      </c>
      <c r="K551" s="32" t="inlineStr">
        <is>
          <t>-</t>
        </is>
      </c>
      <c r="L551" s="32" t="n"/>
      <c r="M551" s="28">
        <f>IF(OR(LEFT(J551,2)="보류", LEFT(J551,4)="복습대기", LEFT(J551,3)="복습1", LEFT(J551,3)="복습2"), MAX($M$3:M550)+1, "")</f>
        <v/>
      </c>
      <c r="N551" s="28" t="inlineStr">
        <is>
          <t>W14</t>
        </is>
      </c>
      <c r="O551" s="36" t="n">
        <v>46355</v>
      </c>
      <c r="P551" s="30">
        <f>IF(F551&lt;&gt;"","✅ 완료",IF(O551="","-",IF(TODAY()&gt;O551,"🚨 지연","⏳ 예정")))</f>
        <v/>
      </c>
      <c r="Q551" s="7" t="n"/>
      <c r="R551" s="7" t="n"/>
      <c r="S551" s="7" t="n"/>
      <c r="T551" s="7" t="n"/>
      <c r="U551" s="7" t="n"/>
      <c r="V551" s="7" t="n"/>
      <c r="W551" s="7" t="n"/>
      <c r="X551" s="7" t="n"/>
    </row>
    <row r="552" ht="21.75" customHeight="1" s="209">
      <c r="A552" s="28" t="n">
        <v>549</v>
      </c>
      <c r="B552" s="28" t="inlineStr">
        <is>
          <t>27006</t>
        </is>
      </c>
      <c r="C552" s="30" t="inlineStr">
        <is>
          <t>D4</t>
        </is>
      </c>
      <c r="D552" s="32" t="inlineStr">
        <is>
          <t>대칭 찾기</t>
        </is>
      </c>
      <c r="E552" s="28" t="inlineStr">
        <is>
          <t>DFS / BFS / 백트래킹</t>
        </is>
      </c>
      <c r="F552" s="28" t="n"/>
      <c r="G552" s="28" t="n"/>
      <c r="H552" s="28" t="n"/>
      <c r="I552" s="28" t="n"/>
      <c r="J552" s="54">
        <f>IF(OR(ISNUMBER(SEARCH("보류",K552)),ISNUMBER(SEARCH("미룸",K552)),ISNUMBER(SEARCH("나중에",K552)),ISNUMBER(SEARCH("보류",L552)),ISNUMBER(SEARCH("미룸",L552)),ISNUMBER(SEARCH("나중에",L552))),"보류(나중에 풀기)",IF(AND(F552="",G552="",H552="",I552=""),"미완료",IF(I552&lt;&gt;"","복습3(마스터)",IF(H552&lt;&gt;"","복습2",IF(G552&lt;&gt;"","복습1",IF(ISNUMBER(SEARCH("제미나이",K552)),"복습대기(AI도움)",IF(ISNUMBER(SEARCH("간당간당",K552)),"복습대기(간당간당)",IF(OR(ISNUMBER(SEARCH("아이디어",K552)),ISNUMBER(SEARCH("시간초과",K552)),ISNUMBER(SEARCH("자료구조",K552)),ISNUMBER(SEARCH("경계값",K552)),ISNUMBER(SEARCH("다른 풀이",K552)),ISNUMBER(SEARCH("또풀기",K552))),"복습대기",IF(OR(ISNUMBER(SEARCH("복습필요없음",K552)),ISNUMBER(SEARCH("자력완벽",K552))),"품(복습불필요)",IF(F552&lt;&gt;"","품","미완료"))))))))))</f>
        <v/>
      </c>
      <c r="K552" s="32" t="inlineStr">
        <is>
          <t>-</t>
        </is>
      </c>
      <c r="L552" s="32" t="n"/>
      <c r="M552" s="28">
        <f>IF(OR(LEFT(J552,2)="보류", LEFT(J552,4)="복습대기", LEFT(J552,3)="복습1", LEFT(J552,3)="복습2"), MAX($M$3:M551)+1, "")</f>
        <v/>
      </c>
      <c r="N552" s="28" t="inlineStr">
        <is>
          <t>W14</t>
        </is>
      </c>
      <c r="O552" s="36" t="n">
        <v>46355</v>
      </c>
      <c r="P552" s="30">
        <f>IF(F552&lt;&gt;"","✅ 완료",IF(O552="","-",IF(TODAY()&gt;O552,"🚨 지연","⏳ 예정")))</f>
        <v/>
      </c>
      <c r="Q552" s="7" t="n"/>
      <c r="R552" s="7" t="n"/>
      <c r="S552" s="7" t="n"/>
      <c r="T552" s="7" t="n"/>
      <c r="U552" s="7" t="n"/>
      <c r="V552" s="7" t="n"/>
      <c r="W552" s="7" t="n"/>
      <c r="X552" s="7" t="n"/>
    </row>
    <row r="553" ht="21.75" customHeight="1" s="209">
      <c r="A553" s="28" t="n">
        <v>550</v>
      </c>
      <c r="B553" s="28" t="inlineStr">
        <is>
          <t>4193</t>
        </is>
      </c>
      <c r="C553" s="30" t="inlineStr">
        <is>
          <t>D4</t>
        </is>
      </c>
      <c r="D553" s="32" t="inlineStr">
        <is>
          <t>수영대회 결승전 (완전 탐색 + 구현)</t>
        </is>
      </c>
      <c r="E553" s="28" t="inlineStr">
        <is>
          <t>DFS / BFS / 백트래킹</t>
        </is>
      </c>
      <c r="F553" s="28" t="n"/>
      <c r="G553" s="28" t="n"/>
      <c r="H553" s="28" t="n"/>
      <c r="I553" s="28" t="n"/>
      <c r="J553" s="54">
        <f>IF(OR(ISNUMBER(SEARCH("보류",K553)),ISNUMBER(SEARCH("미룸",K553)),ISNUMBER(SEARCH("나중에",K553)),ISNUMBER(SEARCH("보류",L553)),ISNUMBER(SEARCH("미룸",L553)),ISNUMBER(SEARCH("나중에",L553))),"보류(나중에 풀기)",IF(AND(F553="",G553="",H553="",I553=""),"미완료",IF(I553&lt;&gt;"","복습3(마스터)",IF(H553&lt;&gt;"","복습2",IF(G553&lt;&gt;"","복습1",IF(ISNUMBER(SEARCH("제미나이",K553)),"복습대기(AI도움)",IF(ISNUMBER(SEARCH("간당간당",K553)),"복습대기(간당간당)",IF(OR(ISNUMBER(SEARCH("아이디어",K553)),ISNUMBER(SEARCH("시간초과",K553)),ISNUMBER(SEARCH("자료구조",K553)),ISNUMBER(SEARCH("경계값",K553)),ISNUMBER(SEARCH("다른 풀이",K553)),ISNUMBER(SEARCH("또풀기",K553))),"복습대기",IF(OR(ISNUMBER(SEARCH("복습필요없음",K553)),ISNUMBER(SEARCH("자력완벽",K553))),"품(복습불필요)",IF(F553&lt;&gt;"","품","미완료"))))))))))</f>
        <v/>
      </c>
      <c r="K553" s="32" t="inlineStr">
        <is>
          <t>-</t>
        </is>
      </c>
      <c r="L553" s="32" t="n"/>
      <c r="M553" s="28">
        <f>IF(OR(LEFT(J553,2)="보류", LEFT(J553,4)="복습대기", LEFT(J553,3)="복습1", LEFT(J553,3)="복습2"), MAX($M$3:M552)+1, "")</f>
        <v/>
      </c>
      <c r="N553" s="28" t="inlineStr">
        <is>
          <t>W14</t>
        </is>
      </c>
      <c r="O553" s="36" t="n">
        <v>46355</v>
      </c>
      <c r="P553" s="30">
        <f>IF(F553&lt;&gt;"","✅ 완료",IF(O553="","-",IF(TODAY()&gt;O553,"🚨 지연","⏳ 예정")))</f>
        <v/>
      </c>
      <c r="Q553" s="7" t="n"/>
      <c r="R553" s="7" t="n"/>
      <c r="S553" s="7" t="n"/>
      <c r="T553" s="7" t="n"/>
      <c r="U553" s="7" t="n"/>
      <c r="V553" s="7" t="n"/>
      <c r="W553" s="7" t="n"/>
      <c r="X553" s="7" t="n"/>
    </row>
    <row r="554" ht="21.75" customHeight="1" s="209">
      <c r="A554" s="28" t="n">
        <v>551</v>
      </c>
      <c r="B554" s="28" t="inlineStr">
        <is>
          <t>1242</t>
        </is>
      </c>
      <c r="C554" s="30" t="inlineStr">
        <is>
          <t>D5</t>
        </is>
      </c>
      <c r="D554" s="32" t="inlineStr">
        <is>
          <t>암호코드 스캔</t>
        </is>
      </c>
      <c r="E554" s="28" t="inlineStr">
        <is>
          <t>문자열 / 구현 (암호코드스캔)</t>
        </is>
      </c>
      <c r="F554" s="28" t="n"/>
      <c r="G554" s="28" t="n"/>
      <c r="H554" s="28" t="n"/>
      <c r="I554" s="28" t="n"/>
      <c r="J554" s="54">
        <f>IF(OR(ISNUMBER(SEARCH("보류",K554)),ISNUMBER(SEARCH("미룸",K554)),ISNUMBER(SEARCH("나중에",K554)),ISNUMBER(SEARCH("보류",L554)),ISNUMBER(SEARCH("미룸",L554)),ISNUMBER(SEARCH("나중에",L554))),"보류(나중에 풀기)",IF(AND(F554="",G554="",H554="",I554=""),"미완료",IF(I554&lt;&gt;"","복습3(마스터)",IF(H554&lt;&gt;"","복습2",IF(G554&lt;&gt;"","복습1",IF(ISNUMBER(SEARCH("제미나이",K554)),"복습대기(AI도움)",IF(ISNUMBER(SEARCH("간당간당",K554)),"복습대기(간당간당)",IF(OR(ISNUMBER(SEARCH("아이디어",K554)),ISNUMBER(SEARCH("시간초과",K554)),ISNUMBER(SEARCH("자료구조",K554)),ISNUMBER(SEARCH("경계값",K554)),ISNUMBER(SEARCH("다른 풀이",K554)),ISNUMBER(SEARCH("또풀기",K554))),"복습대기",IF(OR(ISNUMBER(SEARCH("복습필요없음",K554)),ISNUMBER(SEARCH("자력완벽",K554))),"품(복습불필요)",IF(F554&lt;&gt;"","품","미완료"))))))))))</f>
        <v/>
      </c>
      <c r="K554" s="32" t="inlineStr">
        <is>
          <t>-</t>
        </is>
      </c>
      <c r="L554" s="32" t="n"/>
      <c r="M554" s="28">
        <f>IF(OR(LEFT(J554,2)="보류", LEFT(J554,4)="복습대기", LEFT(J554,3)="복습1", LEFT(J554,3)="복습2"), MAX($M$3:M553)+1, "")</f>
        <v/>
      </c>
      <c r="N554" s="28" t="inlineStr">
        <is>
          <t>W15</t>
        </is>
      </c>
      <c r="O554" s="36" t="n">
        <v>46356</v>
      </c>
      <c r="P554" s="30">
        <f>IF(F554&lt;&gt;"","✅ 완료",IF(O554="","-",IF(TODAY()&gt;O554,"🚨 지연","⏳ 예정")))</f>
        <v/>
      </c>
      <c r="Q554" s="7" t="n"/>
      <c r="R554" s="7" t="n"/>
      <c r="S554" s="7" t="n"/>
      <c r="T554" s="7" t="n"/>
      <c r="U554" s="7" t="n"/>
      <c r="V554" s="7" t="n"/>
      <c r="W554" s="7" t="n"/>
      <c r="X554" s="7" t="n"/>
    </row>
    <row r="555" ht="21.75" customHeight="1" s="209">
      <c r="A555" s="28" t="n">
        <v>552</v>
      </c>
      <c r="B555" s="28" t="inlineStr">
        <is>
          <t>1770</t>
        </is>
      </c>
      <c r="C555" s="30" t="inlineStr">
        <is>
          <t>D5</t>
        </is>
      </c>
      <c r="D555" s="32" t="inlineStr">
        <is>
          <t>블록 부품 맞추기</t>
        </is>
      </c>
      <c r="E555" s="28" t="inlineStr">
        <is>
          <t>동적계획법 (DP) / 그래프</t>
        </is>
      </c>
      <c r="F555" s="28" t="n"/>
      <c r="G555" s="28" t="n"/>
      <c r="H555" s="28" t="n"/>
      <c r="I555" s="28" t="n"/>
      <c r="J555" s="54">
        <f>IF(OR(ISNUMBER(SEARCH("보류",K555)),ISNUMBER(SEARCH("미룸",K555)),ISNUMBER(SEARCH("나중에",K555)),ISNUMBER(SEARCH("보류",L555)),ISNUMBER(SEARCH("미룸",L555)),ISNUMBER(SEARCH("나중에",L555))),"보류(나중에 풀기)",IF(AND(F555="",G555="",H555="",I555=""),"미완료",IF(I555&lt;&gt;"","복습3(마스터)",IF(H555&lt;&gt;"","복습2",IF(G555&lt;&gt;"","복습1",IF(ISNUMBER(SEARCH("제미나이",K555)),"복습대기(AI도움)",IF(ISNUMBER(SEARCH("간당간당",K555)),"복습대기(간당간당)",IF(OR(ISNUMBER(SEARCH("아이디어",K555)),ISNUMBER(SEARCH("시간초과",K555)),ISNUMBER(SEARCH("자료구조",K555)),ISNUMBER(SEARCH("경계값",K555)),ISNUMBER(SEARCH("다른 풀이",K555)),ISNUMBER(SEARCH("또풀기",K555))),"복습대기",IF(OR(ISNUMBER(SEARCH("복습필요없음",K555)),ISNUMBER(SEARCH("자력완벽",K555))),"품(복습불필요)",IF(F555&lt;&gt;"","품","미완료"))))))))))</f>
        <v/>
      </c>
      <c r="K555" s="32" t="inlineStr">
        <is>
          <t>-</t>
        </is>
      </c>
      <c r="L555" s="32" t="n"/>
      <c r="M555" s="28">
        <f>IF(OR(LEFT(J555,2)="보류", LEFT(J555,4)="복습대기", LEFT(J555,3)="복습1", LEFT(J555,3)="복습2"), MAX($M$3:M554)+1, "")</f>
        <v/>
      </c>
      <c r="N555" s="28" t="inlineStr">
        <is>
          <t>W15</t>
        </is>
      </c>
      <c r="O555" s="36" t="n">
        <v>46356</v>
      </c>
      <c r="P555" s="30">
        <f>IF(F555&lt;&gt;"","✅ 완료",IF(O555="","-",IF(TODAY()&gt;O555,"🚨 지연","⏳ 예정")))</f>
        <v/>
      </c>
      <c r="Q555" s="7" t="n"/>
      <c r="R555" s="7" t="n"/>
      <c r="S555" s="7" t="n"/>
      <c r="T555" s="7" t="n"/>
      <c r="U555" s="7" t="n"/>
      <c r="V555" s="7" t="n"/>
      <c r="W555" s="7" t="n"/>
      <c r="X555" s="7" t="n"/>
    </row>
    <row r="556" ht="21.75" customHeight="1" s="209">
      <c r="A556" s="28" t="n">
        <v>553</v>
      </c>
      <c r="B556" s="28" t="inlineStr">
        <is>
          <t>5521</t>
        </is>
      </c>
      <c r="C556" s="30" t="inlineStr">
        <is>
          <t>D5</t>
        </is>
      </c>
      <c r="D556" s="32" t="inlineStr">
        <is>
          <t>상원이의 생일파티</t>
        </is>
      </c>
      <c r="E556" s="28" t="inlineStr">
        <is>
          <t>동적계획법 (DP) / 그래프</t>
        </is>
      </c>
      <c r="F556" s="28" t="n"/>
      <c r="G556" s="28" t="n"/>
      <c r="H556" s="28" t="n"/>
      <c r="I556" s="28" t="n"/>
      <c r="J556" s="54">
        <f>IF(OR(ISNUMBER(SEARCH("보류",K556)),ISNUMBER(SEARCH("미룸",K556)),ISNUMBER(SEARCH("나중에",K556)),ISNUMBER(SEARCH("보류",L556)),ISNUMBER(SEARCH("미룸",L556)),ISNUMBER(SEARCH("나중에",L556))),"보류(나중에 풀기)",IF(AND(F556="",G556="",H556="",I556=""),"미완료",IF(I556&lt;&gt;"","복습3(마스터)",IF(H556&lt;&gt;"","복습2",IF(G556&lt;&gt;"","복습1",IF(ISNUMBER(SEARCH("제미나이",K556)),"복습대기(AI도움)",IF(ISNUMBER(SEARCH("간당간당",K556)),"복습대기(간당간당)",IF(OR(ISNUMBER(SEARCH("아이디어",K556)),ISNUMBER(SEARCH("시간초과",K556)),ISNUMBER(SEARCH("자료구조",K556)),ISNUMBER(SEARCH("경계값",K556)),ISNUMBER(SEARCH("다른 풀이",K556)),ISNUMBER(SEARCH("또풀기",K556))),"복습대기",IF(OR(ISNUMBER(SEARCH("복습필요없음",K556)),ISNUMBER(SEARCH("자력완벽",K556))),"품(복습불필요)",IF(F556&lt;&gt;"","품","미완료"))))))))))</f>
        <v/>
      </c>
      <c r="K556" s="32" t="inlineStr">
        <is>
          <t>-</t>
        </is>
      </c>
      <c r="L556" s="32" t="n"/>
      <c r="M556" s="28">
        <f>IF(OR(LEFT(J556,2)="보류", LEFT(J556,4)="복습대기", LEFT(J556,3)="복습1", LEFT(J556,3)="복습2"), MAX($M$3:M555)+1, "")</f>
        <v/>
      </c>
      <c r="N556" s="28" t="inlineStr">
        <is>
          <t>W15</t>
        </is>
      </c>
      <c r="O556" s="36" t="n">
        <v>46356</v>
      </c>
      <c r="P556" s="30">
        <f>IF(F556&lt;&gt;"","✅ 완료",IF(O556="","-",IF(TODAY()&gt;O556,"🚨 지연","⏳ 예정")))</f>
        <v/>
      </c>
      <c r="Q556" s="7" t="n"/>
      <c r="R556" s="7" t="n"/>
      <c r="S556" s="7" t="n"/>
      <c r="T556" s="7" t="n"/>
      <c r="U556" s="7" t="n"/>
      <c r="V556" s="7" t="n"/>
      <c r="W556" s="7" t="n"/>
      <c r="X556" s="7" t="n"/>
    </row>
    <row r="557" ht="21.75" customHeight="1" s="209">
      <c r="A557" s="28" t="n">
        <v>554</v>
      </c>
      <c r="B557" s="28" t="inlineStr">
        <is>
          <t>6782</t>
        </is>
      </c>
      <c r="C557" s="30" t="inlineStr">
        <is>
          <t>D5</t>
        </is>
      </c>
      <c r="D557" s="32" t="inlineStr">
        <is>
          <t>현주가 좋아하는 제곱근 놀이</t>
        </is>
      </c>
      <c r="E557" s="28" t="inlineStr">
        <is>
          <t>수학 / 정수론</t>
        </is>
      </c>
      <c r="F557" s="28" t="n"/>
      <c r="G557" s="28" t="n"/>
      <c r="H557" s="28" t="n"/>
      <c r="I557" s="28" t="n"/>
      <c r="J557" s="54">
        <f>IF(OR(ISNUMBER(SEARCH("보류",K557)),ISNUMBER(SEARCH("미룸",K557)),ISNUMBER(SEARCH("나중에",K557)),ISNUMBER(SEARCH("보류",L557)),ISNUMBER(SEARCH("미룸",L557)),ISNUMBER(SEARCH("나중에",L557))),"보류(나중에 풀기)",IF(AND(F557="",G557="",H557="",I557=""),"미완료",IF(I557&lt;&gt;"","복습3(마스터)",IF(H557&lt;&gt;"","복습2",IF(G557&lt;&gt;"","복습1",IF(ISNUMBER(SEARCH("제미나이",K557)),"복습대기(AI도움)",IF(ISNUMBER(SEARCH("간당간당",K557)),"복습대기(간당간당)",IF(OR(ISNUMBER(SEARCH("아이디어",K557)),ISNUMBER(SEARCH("시간초과",K557)),ISNUMBER(SEARCH("자료구조",K557)),ISNUMBER(SEARCH("경계값",K557)),ISNUMBER(SEARCH("다른 풀이",K557)),ISNUMBER(SEARCH("또풀기",K557))),"복습대기",IF(OR(ISNUMBER(SEARCH("복습필요없음",K557)),ISNUMBER(SEARCH("자력완벽",K557))),"품(복습불필요)",IF(F557&lt;&gt;"","품","미완료"))))))))))</f>
        <v/>
      </c>
      <c r="K557" s="32" t="inlineStr">
        <is>
          <t>-</t>
        </is>
      </c>
      <c r="L557" s="32" t="n"/>
      <c r="M557" s="28">
        <f>IF(OR(LEFT(J557,2)="보류", LEFT(J557,4)="복습대기", LEFT(J557,3)="복습1", LEFT(J557,3)="복습2"), MAX($M$3:M556)+1, "")</f>
        <v/>
      </c>
      <c r="N557" s="28" t="inlineStr">
        <is>
          <t>W15</t>
        </is>
      </c>
      <c r="O557" s="36" t="n">
        <v>46356</v>
      </c>
      <c r="P557" s="30">
        <f>IF(F557&lt;&gt;"","✅ 완료",IF(O557="","-",IF(TODAY()&gt;O557,"🚨 지연","⏳ 예정")))</f>
        <v/>
      </c>
      <c r="Q557" s="7" t="n"/>
      <c r="R557" s="7" t="n"/>
      <c r="S557" s="7" t="n"/>
      <c r="T557" s="7" t="n"/>
      <c r="U557" s="7" t="n"/>
      <c r="V557" s="7" t="n"/>
      <c r="W557" s="7" t="n"/>
      <c r="X557" s="7" t="n"/>
    </row>
    <row r="558" ht="21.75" customHeight="1" s="209">
      <c r="A558" s="28" t="n">
        <v>555</v>
      </c>
      <c r="B558" s="28" t="inlineStr">
        <is>
          <t>1256</t>
        </is>
      </c>
      <c r="C558" s="30" t="inlineStr">
        <is>
          <t>D5</t>
        </is>
      </c>
      <c r="D558" s="32" t="inlineStr">
        <is>
          <t>[S/W 문제해결 응용] 6일차 - K번째 접미어</t>
        </is>
      </c>
      <c r="E558" s="28" t="inlineStr">
        <is>
          <t>동적계획법 (DP) / 그래프</t>
        </is>
      </c>
      <c r="F558" s="28" t="n"/>
      <c r="G558" s="28" t="n"/>
      <c r="H558" s="28" t="n"/>
      <c r="I558" s="28" t="n"/>
      <c r="J558" s="54">
        <f>IF(OR(ISNUMBER(SEARCH("보류",K558)),ISNUMBER(SEARCH("미룸",K558)),ISNUMBER(SEARCH("나중에",K558)),ISNUMBER(SEARCH("보류",L558)),ISNUMBER(SEARCH("미룸",L558)),ISNUMBER(SEARCH("나중에",L558))),"보류(나중에 풀기)",IF(AND(F558="",G558="",H558="",I558=""),"미완료",IF(I558&lt;&gt;"","복습3(마스터)",IF(H558&lt;&gt;"","복습2",IF(G558&lt;&gt;"","복습1",IF(ISNUMBER(SEARCH("제미나이",K558)),"복습대기(AI도움)",IF(ISNUMBER(SEARCH("간당간당",K558)),"복습대기(간당간당)",IF(OR(ISNUMBER(SEARCH("아이디어",K558)),ISNUMBER(SEARCH("시간초과",K558)),ISNUMBER(SEARCH("자료구조",K558)),ISNUMBER(SEARCH("경계값",K558)),ISNUMBER(SEARCH("다른 풀이",K558)),ISNUMBER(SEARCH("또풀기",K558))),"복습대기",IF(OR(ISNUMBER(SEARCH("복습필요없음",K558)),ISNUMBER(SEARCH("자력완벽",K558))),"품(복습불필요)",IF(F558&lt;&gt;"","품","미완료"))))))))))</f>
        <v/>
      </c>
      <c r="K558" s="32" t="inlineStr">
        <is>
          <t>-</t>
        </is>
      </c>
      <c r="L558" s="32" t="n"/>
      <c r="M558" s="28">
        <f>IF(OR(LEFT(J558,2)="보류", LEFT(J558,4)="복습대기", LEFT(J558,3)="복습1", LEFT(J558,3)="복습2"), MAX($M$3:M557)+1, "")</f>
        <v/>
      </c>
      <c r="N558" s="28" t="inlineStr">
        <is>
          <t>W15</t>
        </is>
      </c>
      <c r="O558" s="36" t="n">
        <v>46356</v>
      </c>
      <c r="P558" s="30">
        <f>IF(F558&lt;&gt;"","✅ 완료",IF(O558="","-",IF(TODAY()&gt;O558,"🚨 지연","⏳ 예정")))</f>
        <v/>
      </c>
      <c r="Q558" s="7" t="n"/>
      <c r="R558" s="7" t="n"/>
      <c r="S558" s="7" t="n"/>
      <c r="T558" s="7" t="n"/>
      <c r="U558" s="7" t="n"/>
      <c r="V558" s="7" t="n"/>
      <c r="W558" s="7" t="n"/>
      <c r="X558" s="7" t="n"/>
    </row>
    <row r="559" ht="21.75" customHeight="1" s="209">
      <c r="A559" s="28" t="n">
        <v>556</v>
      </c>
      <c r="B559" s="28" t="inlineStr">
        <is>
          <t>1259</t>
        </is>
      </c>
      <c r="C559" s="30" t="inlineStr">
        <is>
          <t>D5</t>
        </is>
      </c>
      <c r="D559" s="32" t="inlineStr">
        <is>
          <t>[S/W 문제해결 응용] 7일차 - 금속막대</t>
        </is>
      </c>
      <c r="E559" s="28" t="inlineStr">
        <is>
          <t>동적계획법 (DP) / 그래프</t>
        </is>
      </c>
      <c r="F559" s="28" t="n"/>
      <c r="G559" s="28" t="n"/>
      <c r="H559" s="28" t="n"/>
      <c r="I559" s="28" t="n"/>
      <c r="J559" s="54">
        <f>IF(OR(ISNUMBER(SEARCH("보류",K559)),ISNUMBER(SEARCH("미룸",K559)),ISNUMBER(SEARCH("나중에",K559)),ISNUMBER(SEARCH("보류",L559)),ISNUMBER(SEARCH("미룸",L559)),ISNUMBER(SEARCH("나중에",L559))),"보류(나중에 풀기)",IF(AND(F559="",G559="",H559="",I559=""),"미완료",IF(I559&lt;&gt;"","복습3(마스터)",IF(H559&lt;&gt;"","복습2",IF(G559&lt;&gt;"","복습1",IF(ISNUMBER(SEARCH("제미나이",K559)),"복습대기(AI도움)",IF(ISNUMBER(SEARCH("간당간당",K559)),"복습대기(간당간당)",IF(OR(ISNUMBER(SEARCH("아이디어",K559)),ISNUMBER(SEARCH("시간초과",K559)),ISNUMBER(SEARCH("자료구조",K559)),ISNUMBER(SEARCH("경계값",K559)),ISNUMBER(SEARCH("다른 풀이",K559)),ISNUMBER(SEARCH("또풀기",K559))),"복습대기",IF(OR(ISNUMBER(SEARCH("복습필요없음",K559)),ISNUMBER(SEARCH("자력완벽",K559))),"품(복습불필요)",IF(F559&lt;&gt;"","품","미완료"))))))))))</f>
        <v/>
      </c>
      <c r="K559" s="32" t="inlineStr">
        <is>
          <t>-</t>
        </is>
      </c>
      <c r="L559" s="32" t="n"/>
      <c r="M559" s="28">
        <f>IF(OR(LEFT(J559,2)="보류", LEFT(J559,4)="복습대기", LEFT(J559,3)="복습1", LEFT(J559,3)="복습2"), MAX($M$3:M558)+1, "")</f>
        <v/>
      </c>
      <c r="N559" s="28" t="inlineStr">
        <is>
          <t>W15</t>
        </is>
      </c>
      <c r="O559" s="36" t="n">
        <v>46356</v>
      </c>
      <c r="P559" s="30">
        <f>IF(F559&lt;&gt;"","✅ 완료",IF(O559="","-",IF(TODAY()&gt;O559,"🚨 지연","⏳ 예정")))</f>
        <v/>
      </c>
      <c r="Q559" s="7" t="n"/>
      <c r="R559" s="7" t="n"/>
      <c r="S559" s="7" t="n"/>
      <c r="T559" s="7" t="n"/>
      <c r="U559" s="7" t="n"/>
      <c r="V559" s="7" t="n"/>
      <c r="W559" s="7" t="n"/>
      <c r="X559" s="7" t="n"/>
    </row>
    <row r="560" ht="21.75" customHeight="1" s="209">
      <c r="A560" s="28" t="n">
        <v>557</v>
      </c>
      <c r="B560" s="28" t="inlineStr">
        <is>
          <t>1265</t>
        </is>
      </c>
      <c r="C560" s="30" t="inlineStr">
        <is>
          <t>D5</t>
        </is>
      </c>
      <c r="D560" s="32" t="inlineStr">
        <is>
          <t>[S/W 문제해결 응용] 9일차 - 달란트2</t>
        </is>
      </c>
      <c r="E560" s="28" t="inlineStr">
        <is>
          <t>동적계획법 (DP) / 그래프</t>
        </is>
      </c>
      <c r="F560" s="28" t="n"/>
      <c r="G560" s="28" t="n"/>
      <c r="H560" s="28" t="n"/>
      <c r="I560" s="28" t="n"/>
      <c r="J560" s="54">
        <f>IF(OR(ISNUMBER(SEARCH("보류",K560)),ISNUMBER(SEARCH("미룸",K560)),ISNUMBER(SEARCH("나중에",K560)),ISNUMBER(SEARCH("보류",L560)),ISNUMBER(SEARCH("미룸",L560)),ISNUMBER(SEARCH("나중에",L560))),"보류(나중에 풀기)",IF(AND(F560="",G560="",H560="",I560=""),"미완료",IF(I560&lt;&gt;"","복습3(마스터)",IF(H560&lt;&gt;"","복습2",IF(G560&lt;&gt;"","복습1",IF(ISNUMBER(SEARCH("제미나이",K560)),"복습대기(AI도움)",IF(ISNUMBER(SEARCH("간당간당",K560)),"복습대기(간당간당)",IF(OR(ISNUMBER(SEARCH("아이디어",K560)),ISNUMBER(SEARCH("시간초과",K560)),ISNUMBER(SEARCH("자료구조",K560)),ISNUMBER(SEARCH("경계값",K560)),ISNUMBER(SEARCH("다른 풀이",K560)),ISNUMBER(SEARCH("또풀기",K560))),"복습대기",IF(OR(ISNUMBER(SEARCH("복습필요없음",K560)),ISNUMBER(SEARCH("자력완벽",K560))),"품(복습불필요)",IF(F560&lt;&gt;"","품","미완료"))))))))))</f>
        <v/>
      </c>
      <c r="K560" s="32" t="inlineStr">
        <is>
          <t>-</t>
        </is>
      </c>
      <c r="L560" s="32" t="n"/>
      <c r="M560" s="28">
        <f>IF(OR(LEFT(J560,2)="보류", LEFT(J560,4)="복습대기", LEFT(J560,3)="복습1", LEFT(J560,3)="복습2"), MAX($M$3:M559)+1, "")</f>
        <v/>
      </c>
      <c r="N560" s="28" t="inlineStr">
        <is>
          <t>W15</t>
        </is>
      </c>
      <c r="O560" s="36" t="n">
        <v>46356</v>
      </c>
      <c r="P560" s="30">
        <f>IF(F560&lt;&gt;"","✅ 완료",IF(O560="","-",IF(TODAY()&gt;O560,"🚨 지연","⏳ 예정")))</f>
        <v/>
      </c>
      <c r="Q560" s="7" t="n"/>
      <c r="R560" s="7" t="n"/>
      <c r="S560" s="7" t="n"/>
      <c r="T560" s="7" t="n"/>
      <c r="U560" s="7" t="n"/>
      <c r="V560" s="7" t="n"/>
      <c r="W560" s="7" t="n"/>
      <c r="X560" s="7" t="n"/>
    </row>
    <row r="561" ht="21.75" customHeight="1" s="209">
      <c r="A561" s="28" t="n">
        <v>558</v>
      </c>
      <c r="B561" s="28" t="inlineStr">
        <is>
          <t>1798</t>
        </is>
      </c>
      <c r="C561" s="30" t="inlineStr">
        <is>
          <t>D5</t>
        </is>
      </c>
      <c r="D561" s="32" t="inlineStr">
        <is>
          <t>범준이의 제주도 여행 계획</t>
        </is>
      </c>
      <c r="E561" s="28" t="inlineStr">
        <is>
          <t>동적계획법 (DP) / 그래프</t>
        </is>
      </c>
      <c r="F561" s="28" t="n"/>
      <c r="G561" s="28" t="n"/>
      <c r="H561" s="28" t="n"/>
      <c r="I561" s="28" t="n"/>
      <c r="J561" s="54">
        <f>IF(OR(ISNUMBER(SEARCH("보류",K561)),ISNUMBER(SEARCH("미룸",K561)),ISNUMBER(SEARCH("나중에",K561)),ISNUMBER(SEARCH("보류",L561)),ISNUMBER(SEARCH("미룸",L561)),ISNUMBER(SEARCH("나중에",L561))),"보류(나중에 풀기)",IF(AND(F561="",G561="",H561="",I561=""),"미완료",IF(I561&lt;&gt;"","복습3(마스터)",IF(H561&lt;&gt;"","복습2",IF(G561&lt;&gt;"","복습1",IF(ISNUMBER(SEARCH("제미나이",K561)),"복습대기(AI도움)",IF(ISNUMBER(SEARCH("간당간당",K561)),"복습대기(간당간당)",IF(OR(ISNUMBER(SEARCH("아이디어",K561)),ISNUMBER(SEARCH("시간초과",K561)),ISNUMBER(SEARCH("자료구조",K561)),ISNUMBER(SEARCH("경계값",K561)),ISNUMBER(SEARCH("다른 풀이",K561)),ISNUMBER(SEARCH("또풀기",K561))),"복습대기",IF(OR(ISNUMBER(SEARCH("복습필요없음",K561)),ISNUMBER(SEARCH("자력완벽",K561))),"품(복습불필요)",IF(F561&lt;&gt;"","품","미완료"))))))))))</f>
        <v/>
      </c>
      <c r="K561" s="32" t="inlineStr">
        <is>
          <t>-</t>
        </is>
      </c>
      <c r="L561" s="32" t="n"/>
      <c r="M561" s="28">
        <f>IF(OR(LEFT(J561,2)="보류", LEFT(J561,4)="복습대기", LEFT(J561,3)="복습1", LEFT(J561,3)="복습2"), MAX($M$3:M560)+1, "")</f>
        <v/>
      </c>
      <c r="N561" s="28" t="inlineStr">
        <is>
          <t>W15</t>
        </is>
      </c>
      <c r="O561" s="36" t="n">
        <v>46357</v>
      </c>
      <c r="P561" s="30">
        <f>IF(F561&lt;&gt;"","✅ 완료",IF(O561="","-",IF(TODAY()&gt;O561,"🚨 지연","⏳ 예정")))</f>
        <v/>
      </c>
      <c r="Q561" s="7" t="n"/>
      <c r="R561" s="7" t="n"/>
      <c r="S561" s="7" t="n"/>
      <c r="T561" s="7" t="n"/>
      <c r="U561" s="7" t="n"/>
      <c r="V561" s="7" t="n"/>
      <c r="W561" s="7" t="n"/>
      <c r="X561" s="7" t="n"/>
    </row>
    <row r="562" ht="21.75" customHeight="1" s="209">
      <c r="A562" s="28" t="n">
        <v>559</v>
      </c>
      <c r="B562" s="28" t="inlineStr">
        <is>
          <t>1812</t>
        </is>
      </c>
      <c r="C562" s="30" t="inlineStr">
        <is>
          <t>D5</t>
        </is>
      </c>
      <c r="D562" s="32" t="inlineStr">
        <is>
          <t>수정이의 타일 자르기</t>
        </is>
      </c>
      <c r="E562" s="28" t="inlineStr">
        <is>
          <t>동적계획법 (DP) / 그래프</t>
        </is>
      </c>
      <c r="F562" s="28" t="n"/>
      <c r="G562" s="28" t="n"/>
      <c r="H562" s="28" t="n"/>
      <c r="I562" s="28" t="n"/>
      <c r="J562" s="54">
        <f>IF(OR(ISNUMBER(SEARCH("보류",K562)),ISNUMBER(SEARCH("미룸",K562)),ISNUMBER(SEARCH("나중에",K562)),ISNUMBER(SEARCH("보류",L562)),ISNUMBER(SEARCH("미룸",L562)),ISNUMBER(SEARCH("나중에",L562))),"보류(나중에 풀기)",IF(AND(F562="",G562="",H562="",I562=""),"미완료",IF(I562&lt;&gt;"","복습3(마스터)",IF(H562&lt;&gt;"","복습2",IF(G562&lt;&gt;"","복습1",IF(ISNUMBER(SEARCH("제미나이",K562)),"복습대기(AI도움)",IF(ISNUMBER(SEARCH("간당간당",K562)),"복습대기(간당간당)",IF(OR(ISNUMBER(SEARCH("아이디어",K562)),ISNUMBER(SEARCH("시간초과",K562)),ISNUMBER(SEARCH("자료구조",K562)),ISNUMBER(SEARCH("경계값",K562)),ISNUMBER(SEARCH("다른 풀이",K562)),ISNUMBER(SEARCH("또풀기",K562))),"복습대기",IF(OR(ISNUMBER(SEARCH("복습필요없음",K562)),ISNUMBER(SEARCH("자력완벽",K562))),"품(복습불필요)",IF(F562&lt;&gt;"","품","미완료"))))))))))</f>
        <v/>
      </c>
      <c r="K562" s="32" t="inlineStr">
        <is>
          <t>-</t>
        </is>
      </c>
      <c r="L562" s="32" t="n"/>
      <c r="M562" s="28">
        <f>IF(OR(LEFT(J562,2)="보류", LEFT(J562,4)="복습대기", LEFT(J562,3)="복습1", LEFT(J562,3)="복습2"), MAX($M$3:M561)+1, "")</f>
        <v/>
      </c>
      <c r="N562" s="28" t="inlineStr">
        <is>
          <t>W15</t>
        </is>
      </c>
      <c r="O562" s="36" t="n">
        <v>46357</v>
      </c>
      <c r="P562" s="30">
        <f>IF(F562&lt;&gt;"","✅ 완료",IF(O562="","-",IF(TODAY()&gt;O562,"🚨 지연","⏳ 예정")))</f>
        <v/>
      </c>
      <c r="Q562" s="7" t="n"/>
      <c r="R562" s="7" t="n"/>
      <c r="S562" s="7" t="n"/>
      <c r="T562" s="7" t="n"/>
      <c r="U562" s="7" t="n"/>
      <c r="V562" s="7" t="n"/>
      <c r="W562" s="7" t="n"/>
      <c r="X562" s="7" t="n"/>
    </row>
    <row r="563" ht="21.75" customHeight="1" s="209">
      <c r="A563" s="28" t="n">
        <v>560</v>
      </c>
      <c r="B563" s="28" t="inlineStr">
        <is>
          <t>1814</t>
        </is>
      </c>
      <c r="C563" s="30" t="inlineStr">
        <is>
          <t>D5</t>
        </is>
      </c>
      <c r="D563" s="32" t="inlineStr">
        <is>
          <t>서준이의 퍼즐 풀기</t>
        </is>
      </c>
      <c r="E563" s="28" t="inlineStr">
        <is>
          <t>동적계획법 (DP) / 그래프</t>
        </is>
      </c>
      <c r="F563" s="28" t="n"/>
      <c r="G563" s="28" t="n"/>
      <c r="H563" s="28" t="n"/>
      <c r="I563" s="28" t="n"/>
      <c r="J563" s="54">
        <f>IF(OR(ISNUMBER(SEARCH("보류",K563)),ISNUMBER(SEARCH("미룸",K563)),ISNUMBER(SEARCH("나중에",K563)),ISNUMBER(SEARCH("보류",L563)),ISNUMBER(SEARCH("미룸",L563)),ISNUMBER(SEARCH("나중에",L563))),"보류(나중에 풀기)",IF(AND(F563="",G563="",H563="",I563=""),"미완료",IF(I563&lt;&gt;"","복습3(마스터)",IF(H563&lt;&gt;"","복습2",IF(G563&lt;&gt;"","복습1",IF(ISNUMBER(SEARCH("제미나이",K563)),"복습대기(AI도움)",IF(ISNUMBER(SEARCH("간당간당",K563)),"복습대기(간당간당)",IF(OR(ISNUMBER(SEARCH("아이디어",K563)),ISNUMBER(SEARCH("시간초과",K563)),ISNUMBER(SEARCH("자료구조",K563)),ISNUMBER(SEARCH("경계값",K563)),ISNUMBER(SEARCH("다른 풀이",K563)),ISNUMBER(SEARCH("또풀기",K563))),"복습대기",IF(OR(ISNUMBER(SEARCH("복습필요없음",K563)),ISNUMBER(SEARCH("자력완벽",K563))),"품(복습불필요)",IF(F563&lt;&gt;"","품","미완료"))))))))))</f>
        <v/>
      </c>
      <c r="K563" s="32" t="inlineStr">
        <is>
          <t>-</t>
        </is>
      </c>
      <c r="L563" s="32" t="n"/>
      <c r="M563" s="28">
        <f>IF(OR(LEFT(J563,2)="보류", LEFT(J563,4)="복습대기", LEFT(J563,3)="복습1", LEFT(J563,3)="복습2"), MAX($M$3:M562)+1, "")</f>
        <v/>
      </c>
      <c r="N563" s="28" t="inlineStr">
        <is>
          <t>W15</t>
        </is>
      </c>
      <c r="O563" s="36" t="n">
        <v>46357</v>
      </c>
      <c r="P563" s="30">
        <f>IF(F563&lt;&gt;"","✅ 완료",IF(O563="","-",IF(TODAY()&gt;O563,"🚨 지연","⏳ 예정")))</f>
        <v/>
      </c>
      <c r="Q563" s="7" t="n"/>
      <c r="R563" s="7" t="n"/>
      <c r="S563" s="7" t="n"/>
      <c r="T563" s="7" t="n"/>
      <c r="U563" s="7" t="n"/>
      <c r="V563" s="7" t="n"/>
      <c r="W563" s="7" t="n"/>
      <c r="X563" s="7" t="n"/>
    </row>
    <row r="564" ht="21.75" customHeight="1" s="209">
      <c r="A564" s="28" t="n">
        <v>561</v>
      </c>
      <c r="B564" s="28" t="inlineStr">
        <is>
          <t>1816</t>
        </is>
      </c>
      <c r="C564" s="30" t="inlineStr">
        <is>
          <t>D5</t>
        </is>
      </c>
      <c r="D564" s="32" t="inlineStr">
        <is>
          <t>현호의 자물쇠 따기</t>
        </is>
      </c>
      <c r="E564" s="28" t="inlineStr">
        <is>
          <t>동적계획법 (DP) / 그래프</t>
        </is>
      </c>
      <c r="F564" s="28" t="n"/>
      <c r="G564" s="28" t="n"/>
      <c r="H564" s="28" t="n"/>
      <c r="I564" s="28" t="n"/>
      <c r="J564" s="54">
        <f>IF(OR(ISNUMBER(SEARCH("보류",K564)),ISNUMBER(SEARCH("미룸",K564)),ISNUMBER(SEARCH("나중에",K564)),ISNUMBER(SEARCH("보류",L564)),ISNUMBER(SEARCH("미룸",L564)),ISNUMBER(SEARCH("나중에",L564))),"보류(나중에 풀기)",IF(AND(F564="",G564="",H564="",I564=""),"미완료",IF(I564&lt;&gt;"","복습3(마스터)",IF(H564&lt;&gt;"","복습2",IF(G564&lt;&gt;"","복습1",IF(ISNUMBER(SEARCH("제미나이",K564)),"복습대기(AI도움)",IF(ISNUMBER(SEARCH("간당간당",K564)),"복습대기(간당간당)",IF(OR(ISNUMBER(SEARCH("아이디어",K564)),ISNUMBER(SEARCH("시간초과",K564)),ISNUMBER(SEARCH("자료구조",K564)),ISNUMBER(SEARCH("경계값",K564)),ISNUMBER(SEARCH("다른 풀이",K564)),ISNUMBER(SEARCH("또풀기",K564))),"복습대기",IF(OR(ISNUMBER(SEARCH("복습필요없음",K564)),ISNUMBER(SEARCH("자력완벽",K564))),"품(복습불필요)",IF(F564&lt;&gt;"","품","미완료"))))))))))</f>
        <v/>
      </c>
      <c r="K564" s="32" t="inlineStr">
        <is>
          <t>-</t>
        </is>
      </c>
      <c r="L564" s="32" t="n"/>
      <c r="M564" s="28">
        <f>IF(OR(LEFT(J564,2)="보류", LEFT(J564,4)="복습대기", LEFT(J564,3)="복습1", LEFT(J564,3)="복습2"), MAX($M$3:M563)+1, "")</f>
        <v/>
      </c>
      <c r="N564" s="28" t="inlineStr">
        <is>
          <t>W15</t>
        </is>
      </c>
      <c r="O564" s="36" t="n">
        <v>46357</v>
      </c>
      <c r="P564" s="30">
        <f>IF(F564&lt;&gt;"","✅ 완료",IF(O564="","-",IF(TODAY()&gt;O564,"🚨 지연","⏳ 예정")))</f>
        <v/>
      </c>
      <c r="Q564" s="7" t="n"/>
      <c r="R564" s="7" t="n"/>
      <c r="S564" s="7" t="n"/>
      <c r="T564" s="7" t="n"/>
      <c r="U564" s="7" t="n"/>
      <c r="V564" s="7" t="n"/>
      <c r="W564" s="7" t="n"/>
      <c r="X564" s="7" t="n"/>
    </row>
    <row r="565" ht="21.75" customHeight="1" s="209">
      <c r="A565" s="28" t="n">
        <v>562</v>
      </c>
      <c r="B565" s="28" t="inlineStr">
        <is>
          <t>1857</t>
        </is>
      </c>
      <c r="C565" s="30" t="inlineStr">
        <is>
          <t>D5</t>
        </is>
      </c>
      <c r="D565" s="32" t="inlineStr">
        <is>
          <t>종민이의 도미노</t>
        </is>
      </c>
      <c r="E565" s="28" t="inlineStr">
        <is>
          <t>동적계획법 (DP) / 그래프</t>
        </is>
      </c>
      <c r="F565" s="28" t="n"/>
      <c r="G565" s="28" t="n"/>
      <c r="H565" s="28" t="n"/>
      <c r="I565" s="28" t="n"/>
      <c r="J565" s="54">
        <f>IF(OR(ISNUMBER(SEARCH("보류",K565)),ISNUMBER(SEARCH("미룸",K565)),ISNUMBER(SEARCH("나중에",K565)),ISNUMBER(SEARCH("보류",L565)),ISNUMBER(SEARCH("미룸",L565)),ISNUMBER(SEARCH("나중에",L565))),"보류(나중에 풀기)",IF(AND(F565="",G565="",H565="",I565=""),"미완료",IF(I565&lt;&gt;"","복습3(마스터)",IF(H565&lt;&gt;"","복습2",IF(G565&lt;&gt;"","복습1",IF(ISNUMBER(SEARCH("제미나이",K565)),"복습대기(AI도움)",IF(ISNUMBER(SEARCH("간당간당",K565)),"복습대기(간당간당)",IF(OR(ISNUMBER(SEARCH("아이디어",K565)),ISNUMBER(SEARCH("시간초과",K565)),ISNUMBER(SEARCH("자료구조",K565)),ISNUMBER(SEARCH("경계값",K565)),ISNUMBER(SEARCH("다른 풀이",K565)),ISNUMBER(SEARCH("또풀기",K565))),"복습대기",IF(OR(ISNUMBER(SEARCH("복습필요없음",K565)),ISNUMBER(SEARCH("자력완벽",K565))),"품(복습불필요)",IF(F565&lt;&gt;"","품","미완료"))))))))))</f>
        <v/>
      </c>
      <c r="K565" s="32" t="inlineStr">
        <is>
          <t>-</t>
        </is>
      </c>
      <c r="L565" s="32" t="n"/>
      <c r="M565" s="28">
        <f>IF(OR(LEFT(J565,2)="보류", LEFT(J565,4)="복습대기", LEFT(J565,3)="복습1", LEFT(J565,3)="복습2"), MAX($M$3:M564)+1, "")</f>
        <v/>
      </c>
      <c r="N565" s="28" t="inlineStr">
        <is>
          <t>W15</t>
        </is>
      </c>
      <c r="O565" s="36" t="n">
        <v>46357</v>
      </c>
      <c r="P565" s="30">
        <f>IF(F565&lt;&gt;"","✅ 완료",IF(O565="","-",IF(TODAY()&gt;O565,"🚨 지연","⏳ 예정")))</f>
        <v/>
      </c>
      <c r="Q565" s="7" t="n"/>
      <c r="R565" s="7" t="n"/>
      <c r="S565" s="7" t="n"/>
      <c r="T565" s="7" t="n"/>
      <c r="U565" s="7" t="n"/>
      <c r="V565" s="7" t="n"/>
      <c r="W565" s="7" t="n"/>
      <c r="X565" s="7" t="n"/>
    </row>
    <row r="566" ht="21.75" customHeight="1" s="209">
      <c r="A566" s="28" t="n">
        <v>563</v>
      </c>
      <c r="B566" s="28" t="inlineStr">
        <is>
          <t>1889</t>
        </is>
      </c>
      <c r="C566" s="30" t="inlineStr">
        <is>
          <t>D5</t>
        </is>
      </c>
      <c r="D566" s="32" t="inlineStr">
        <is>
          <t>재영이는 기부천사</t>
        </is>
      </c>
      <c r="E566" s="28" t="inlineStr">
        <is>
          <t>동적계획법 (DP) / 그래프</t>
        </is>
      </c>
      <c r="F566" s="28" t="n"/>
      <c r="G566" s="28" t="n"/>
      <c r="H566" s="28" t="n"/>
      <c r="I566" s="28" t="n"/>
      <c r="J566" s="54">
        <f>IF(OR(ISNUMBER(SEARCH("보류",K566)),ISNUMBER(SEARCH("미룸",K566)),ISNUMBER(SEARCH("나중에",K566)),ISNUMBER(SEARCH("보류",L566)),ISNUMBER(SEARCH("미룸",L566)),ISNUMBER(SEARCH("나중에",L566))),"보류(나중에 풀기)",IF(AND(F566="",G566="",H566="",I566=""),"미완료",IF(I566&lt;&gt;"","복습3(마스터)",IF(H566&lt;&gt;"","복습2",IF(G566&lt;&gt;"","복습1",IF(ISNUMBER(SEARCH("제미나이",K566)),"복습대기(AI도움)",IF(ISNUMBER(SEARCH("간당간당",K566)),"복습대기(간당간당)",IF(OR(ISNUMBER(SEARCH("아이디어",K566)),ISNUMBER(SEARCH("시간초과",K566)),ISNUMBER(SEARCH("자료구조",K566)),ISNUMBER(SEARCH("경계값",K566)),ISNUMBER(SEARCH("다른 풀이",K566)),ISNUMBER(SEARCH("또풀기",K566))),"복습대기",IF(OR(ISNUMBER(SEARCH("복습필요없음",K566)),ISNUMBER(SEARCH("자력완벽",K566))),"품(복습불필요)",IF(F566&lt;&gt;"","품","미완료"))))))))))</f>
        <v/>
      </c>
      <c r="K566" s="32" t="inlineStr">
        <is>
          <t>-</t>
        </is>
      </c>
      <c r="L566" s="32" t="n"/>
      <c r="M566" s="28">
        <f>IF(OR(LEFT(J566,2)="보류", LEFT(J566,4)="복습대기", LEFT(J566,3)="복습1", LEFT(J566,3)="복습2"), MAX($M$3:M565)+1, "")</f>
        <v/>
      </c>
      <c r="N566" s="28" t="inlineStr">
        <is>
          <t>W15</t>
        </is>
      </c>
      <c r="O566" s="36" t="n">
        <v>46357</v>
      </c>
      <c r="P566" s="30">
        <f>IF(F566&lt;&gt;"","✅ 완료",IF(O566="","-",IF(TODAY()&gt;O566,"🚨 지연","⏳ 예정")))</f>
        <v/>
      </c>
      <c r="Q566" s="7" t="n"/>
      <c r="R566" s="7" t="n"/>
      <c r="S566" s="7" t="n"/>
      <c r="T566" s="7" t="n"/>
      <c r="U566" s="7" t="n"/>
      <c r="V566" s="7" t="n"/>
      <c r="W566" s="7" t="n"/>
      <c r="X566" s="7" t="n"/>
    </row>
    <row r="567" ht="21.75" customHeight="1" s="209">
      <c r="A567" s="28" t="n">
        <v>564</v>
      </c>
      <c r="B567" s="28" t="inlineStr">
        <is>
          <t>1905</t>
        </is>
      </c>
      <c r="C567" s="30" t="inlineStr">
        <is>
          <t>D5</t>
        </is>
      </c>
      <c r="D567" s="32" t="inlineStr">
        <is>
          <t>Rook의 공격</t>
        </is>
      </c>
      <c r="E567" s="28" t="inlineStr">
        <is>
          <t>동적계획법 (DP) / 그래프</t>
        </is>
      </c>
      <c r="F567" s="28" t="n"/>
      <c r="G567" s="28" t="n"/>
      <c r="H567" s="28" t="n"/>
      <c r="I567" s="28" t="n"/>
      <c r="J567" s="54">
        <f>IF(OR(ISNUMBER(SEARCH("보류",K567)),ISNUMBER(SEARCH("미룸",K567)),ISNUMBER(SEARCH("나중에",K567)),ISNUMBER(SEARCH("보류",L567)),ISNUMBER(SEARCH("미룸",L567)),ISNUMBER(SEARCH("나중에",L567))),"보류(나중에 풀기)",IF(AND(F567="",G567="",H567="",I567=""),"미완료",IF(I567&lt;&gt;"","복습3(마스터)",IF(H567&lt;&gt;"","복습2",IF(G567&lt;&gt;"","복습1",IF(ISNUMBER(SEARCH("제미나이",K567)),"복습대기(AI도움)",IF(ISNUMBER(SEARCH("간당간당",K567)),"복습대기(간당간당)",IF(OR(ISNUMBER(SEARCH("아이디어",K567)),ISNUMBER(SEARCH("시간초과",K567)),ISNUMBER(SEARCH("자료구조",K567)),ISNUMBER(SEARCH("경계값",K567)),ISNUMBER(SEARCH("다른 풀이",K567)),ISNUMBER(SEARCH("또풀기",K567))),"복습대기",IF(OR(ISNUMBER(SEARCH("복습필요없음",K567)),ISNUMBER(SEARCH("자력완벽",K567))),"품(복습불필요)",IF(F567&lt;&gt;"","품","미완료"))))))))))</f>
        <v/>
      </c>
      <c r="K567" s="32" t="inlineStr">
        <is>
          <t>-</t>
        </is>
      </c>
      <c r="L567" s="32" t="n"/>
      <c r="M567" s="28">
        <f>IF(OR(LEFT(J567,2)="보류", LEFT(J567,4)="복습대기", LEFT(J567,3)="복습1", LEFT(J567,3)="복습2"), MAX($M$3:M566)+1, "")</f>
        <v/>
      </c>
      <c r="N567" s="28" t="inlineStr">
        <is>
          <t>W15</t>
        </is>
      </c>
      <c r="O567" s="36" t="n">
        <v>46357</v>
      </c>
      <c r="P567" s="30">
        <f>IF(F567&lt;&gt;"","✅ 완료",IF(O567="","-",IF(TODAY()&gt;O567,"🚨 지연","⏳ 예정")))</f>
        <v/>
      </c>
      <c r="Q567" s="7" t="n"/>
      <c r="R567" s="7" t="n"/>
      <c r="S567" s="7" t="n"/>
      <c r="T567" s="7" t="n"/>
      <c r="U567" s="7" t="n"/>
      <c r="V567" s="7" t="n"/>
      <c r="W567" s="7" t="n"/>
      <c r="X567" s="7" t="n"/>
    </row>
    <row r="568" ht="21.75" customHeight="1" s="209">
      <c r="A568" s="28" t="n">
        <v>565</v>
      </c>
      <c r="B568" s="28" t="inlineStr">
        <is>
          <t>1907</t>
        </is>
      </c>
      <c r="C568" s="30" t="inlineStr">
        <is>
          <t>D5</t>
        </is>
      </c>
      <c r="D568" s="32" t="inlineStr">
        <is>
          <t>모래성 쌓기</t>
        </is>
      </c>
      <c r="E568" s="28" t="inlineStr">
        <is>
          <t>동적계획법 (DP) / 그래프</t>
        </is>
      </c>
      <c r="F568" s="28" t="n"/>
      <c r="G568" s="28" t="n"/>
      <c r="H568" s="28" t="n"/>
      <c r="I568" s="28" t="n"/>
      <c r="J568" s="54">
        <f>IF(OR(ISNUMBER(SEARCH("보류",K568)),ISNUMBER(SEARCH("미룸",K568)),ISNUMBER(SEARCH("나중에",K568)),ISNUMBER(SEARCH("보류",L568)),ISNUMBER(SEARCH("미룸",L568)),ISNUMBER(SEARCH("나중에",L568))),"보류(나중에 풀기)",IF(AND(F568="",G568="",H568="",I568=""),"미완료",IF(I568&lt;&gt;"","복습3(마스터)",IF(H568&lt;&gt;"","복습2",IF(G568&lt;&gt;"","복습1",IF(ISNUMBER(SEARCH("제미나이",K568)),"복습대기(AI도움)",IF(ISNUMBER(SEARCH("간당간당",K568)),"복습대기(간당간당)",IF(OR(ISNUMBER(SEARCH("아이디어",K568)),ISNUMBER(SEARCH("시간초과",K568)),ISNUMBER(SEARCH("자료구조",K568)),ISNUMBER(SEARCH("경계값",K568)),ISNUMBER(SEARCH("다른 풀이",K568)),ISNUMBER(SEARCH("또풀기",K568))),"복습대기",IF(OR(ISNUMBER(SEARCH("복습필요없음",K568)),ISNUMBER(SEARCH("자력완벽",K568))),"품(복습불필요)",IF(F568&lt;&gt;"","품","미완료"))))))))))</f>
        <v/>
      </c>
      <c r="K568" s="32" t="inlineStr">
        <is>
          <t>-</t>
        </is>
      </c>
      <c r="L568" s="32" t="n"/>
      <c r="M568" s="28">
        <f>IF(OR(LEFT(J568,2)="보류", LEFT(J568,4)="복습대기", LEFT(J568,3)="복습1", LEFT(J568,3)="복습2"), MAX($M$3:M567)+1, "")</f>
        <v/>
      </c>
      <c r="N568" s="28" t="inlineStr">
        <is>
          <t>W15</t>
        </is>
      </c>
      <c r="O568" s="36" t="n">
        <v>46358</v>
      </c>
      <c r="P568" s="30">
        <f>IF(F568&lt;&gt;"","✅ 완료",IF(O568="","-",IF(TODAY()&gt;O568,"🚨 지연","⏳ 예정")))</f>
        <v/>
      </c>
      <c r="Q568" s="7" t="n"/>
      <c r="R568" s="7" t="n"/>
      <c r="S568" s="7" t="n"/>
      <c r="T568" s="7" t="n"/>
      <c r="U568" s="7" t="n"/>
      <c r="V568" s="7" t="n"/>
      <c r="W568" s="7" t="n"/>
      <c r="X568" s="7" t="n"/>
    </row>
    <row r="569" ht="21.75" customHeight="1" s="209">
      <c r="A569" s="28" t="n">
        <v>566</v>
      </c>
      <c r="B569" s="28" t="inlineStr">
        <is>
          <t>2891</t>
        </is>
      </c>
      <c r="C569" s="30" t="inlineStr">
        <is>
          <t>D5</t>
        </is>
      </c>
      <c r="D569" s="32" t="inlineStr">
        <is>
          <t>분수 스도쿠</t>
        </is>
      </c>
      <c r="E569" s="28" t="inlineStr">
        <is>
          <t>동적계획법 (DP) / 그래프</t>
        </is>
      </c>
      <c r="F569" s="28" t="n"/>
      <c r="G569" s="28" t="n"/>
      <c r="H569" s="28" t="n"/>
      <c r="I569" s="28" t="n"/>
      <c r="J569" s="54">
        <f>IF(OR(ISNUMBER(SEARCH("보류",K569)),ISNUMBER(SEARCH("미룸",K569)),ISNUMBER(SEARCH("나중에",K569)),ISNUMBER(SEARCH("보류",L569)),ISNUMBER(SEARCH("미룸",L569)),ISNUMBER(SEARCH("나중에",L569))),"보류(나중에 풀기)",IF(AND(F569="",G569="",H569="",I569=""),"미완료",IF(I569&lt;&gt;"","복습3(마스터)",IF(H569&lt;&gt;"","복습2",IF(G569&lt;&gt;"","복습1",IF(ISNUMBER(SEARCH("제미나이",K569)),"복습대기(AI도움)",IF(ISNUMBER(SEARCH("간당간당",K569)),"복습대기(간당간당)",IF(OR(ISNUMBER(SEARCH("아이디어",K569)),ISNUMBER(SEARCH("시간초과",K569)),ISNUMBER(SEARCH("자료구조",K569)),ISNUMBER(SEARCH("경계값",K569)),ISNUMBER(SEARCH("다른 풀이",K569)),ISNUMBER(SEARCH("또풀기",K569))),"복습대기",IF(OR(ISNUMBER(SEARCH("복습필요없음",K569)),ISNUMBER(SEARCH("자력완벽",K569))),"품(복습불필요)",IF(F569&lt;&gt;"","품","미완료"))))))))))</f>
        <v/>
      </c>
      <c r="K569" s="32" t="inlineStr">
        <is>
          <t>-</t>
        </is>
      </c>
      <c r="L569" s="32" t="n"/>
      <c r="M569" s="28">
        <f>IF(OR(LEFT(J569,2)="보류", LEFT(J569,4)="복습대기", LEFT(J569,3)="복습1", LEFT(J569,3)="복습2"), MAX($M$3:M568)+1, "")</f>
        <v/>
      </c>
      <c r="N569" s="28" t="inlineStr">
        <is>
          <t>W15</t>
        </is>
      </c>
      <c r="O569" s="36" t="n">
        <v>46358</v>
      </c>
      <c r="P569" s="30">
        <f>IF(F569&lt;&gt;"","✅ 완료",IF(O569="","-",IF(TODAY()&gt;O569,"🚨 지연","⏳ 예정")))</f>
        <v/>
      </c>
      <c r="Q569" s="7" t="n"/>
      <c r="R569" s="7" t="n"/>
      <c r="S569" s="7" t="n"/>
      <c r="T569" s="7" t="n"/>
      <c r="U569" s="7" t="n"/>
      <c r="V569" s="7" t="n"/>
      <c r="W569" s="7" t="n"/>
      <c r="X569" s="7" t="n"/>
    </row>
    <row r="570" ht="21.75" customHeight="1" s="209">
      <c r="A570" s="28" t="n">
        <v>567</v>
      </c>
      <c r="B570" s="28" t="inlineStr">
        <is>
          <t>3135</t>
        </is>
      </c>
      <c r="C570" s="30" t="inlineStr">
        <is>
          <t>D5</t>
        </is>
      </c>
      <c r="D570" s="32" t="inlineStr">
        <is>
          <t>홍준이의 사전놀이</t>
        </is>
      </c>
      <c r="E570" s="28" t="inlineStr">
        <is>
          <t>문자열 / 파싱</t>
        </is>
      </c>
      <c r="F570" s="28" t="n"/>
      <c r="G570" s="28" t="n"/>
      <c r="H570" s="28" t="n"/>
      <c r="I570" s="28" t="n"/>
      <c r="J570" s="54">
        <f>IF(OR(ISNUMBER(SEARCH("보류",K570)),ISNUMBER(SEARCH("미룸",K570)),ISNUMBER(SEARCH("나중에",K570)),ISNUMBER(SEARCH("보류",L570)),ISNUMBER(SEARCH("미룸",L570)),ISNUMBER(SEARCH("나중에",L570))),"보류(나중에 풀기)",IF(AND(F570="",G570="",H570="",I570=""),"미완료",IF(I570&lt;&gt;"","복습3(마스터)",IF(H570&lt;&gt;"","복습2",IF(G570&lt;&gt;"","복습1",IF(ISNUMBER(SEARCH("제미나이",K570)),"복습대기(AI도움)",IF(ISNUMBER(SEARCH("간당간당",K570)),"복습대기(간당간당)",IF(OR(ISNUMBER(SEARCH("아이디어",K570)),ISNUMBER(SEARCH("시간초과",K570)),ISNUMBER(SEARCH("자료구조",K570)),ISNUMBER(SEARCH("경계값",K570)),ISNUMBER(SEARCH("다른 풀이",K570)),ISNUMBER(SEARCH("또풀기",K570))),"복습대기",IF(OR(ISNUMBER(SEARCH("복습필요없음",K570)),ISNUMBER(SEARCH("자력완벽",K570))),"품(복습불필요)",IF(F570&lt;&gt;"","품","미완료"))))))))))</f>
        <v/>
      </c>
      <c r="K570" s="32" t="inlineStr">
        <is>
          <t>-</t>
        </is>
      </c>
      <c r="L570" s="32" t="n"/>
      <c r="M570" s="28">
        <f>IF(OR(LEFT(J570,2)="보류", LEFT(J570,4)="복습대기", LEFT(J570,3)="복습1", LEFT(J570,3)="복습2"), MAX($M$3:M569)+1, "")</f>
        <v/>
      </c>
      <c r="N570" s="28" t="inlineStr">
        <is>
          <t>W15</t>
        </is>
      </c>
      <c r="O570" s="36" t="n">
        <v>46358</v>
      </c>
      <c r="P570" s="30">
        <f>IF(F570&lt;&gt;"","✅ 완료",IF(O570="","-",IF(TODAY()&gt;O570,"🚨 지연","⏳ 예정")))</f>
        <v/>
      </c>
      <c r="Q570" s="7" t="n"/>
      <c r="R570" s="7" t="n"/>
      <c r="S570" s="7" t="n"/>
      <c r="T570" s="7" t="n"/>
      <c r="U570" s="7" t="n"/>
      <c r="V570" s="7" t="n"/>
      <c r="W570" s="7" t="n"/>
      <c r="X570" s="7" t="n"/>
    </row>
    <row r="571" ht="21.75" customHeight="1" s="209">
      <c r="A571" s="28" t="n">
        <v>568</v>
      </c>
      <c r="B571" s="28" t="inlineStr">
        <is>
          <t>3238</t>
        </is>
      </c>
      <c r="C571" s="30" t="inlineStr">
        <is>
          <t>D5</t>
        </is>
      </c>
      <c r="D571" s="32" t="inlineStr">
        <is>
          <t>이항계수 구하기</t>
        </is>
      </c>
      <c r="E571" s="28" t="inlineStr">
        <is>
          <t>동적계획법 (DP) / 그래프</t>
        </is>
      </c>
      <c r="F571" s="28" t="n"/>
      <c r="G571" s="28" t="n"/>
      <c r="H571" s="28" t="n"/>
      <c r="I571" s="28" t="n"/>
      <c r="J571" s="54">
        <f>IF(OR(ISNUMBER(SEARCH("보류",K571)),ISNUMBER(SEARCH("미룸",K571)),ISNUMBER(SEARCH("나중에",K571)),ISNUMBER(SEARCH("보류",L571)),ISNUMBER(SEARCH("미룸",L571)),ISNUMBER(SEARCH("나중에",L571))),"보류(나중에 풀기)",IF(AND(F571="",G571="",H571="",I571=""),"미완료",IF(I571&lt;&gt;"","복습3(마스터)",IF(H571&lt;&gt;"","복습2",IF(G571&lt;&gt;"","복습1",IF(ISNUMBER(SEARCH("제미나이",K571)),"복습대기(AI도움)",IF(ISNUMBER(SEARCH("간당간당",K571)),"복습대기(간당간당)",IF(OR(ISNUMBER(SEARCH("아이디어",K571)),ISNUMBER(SEARCH("시간초과",K571)),ISNUMBER(SEARCH("자료구조",K571)),ISNUMBER(SEARCH("경계값",K571)),ISNUMBER(SEARCH("다른 풀이",K571)),ISNUMBER(SEARCH("또풀기",K571))),"복습대기",IF(OR(ISNUMBER(SEARCH("복습필요없음",K571)),ISNUMBER(SEARCH("자력완벽",K571))),"품(복습불필요)",IF(F571&lt;&gt;"","품","미완료"))))))))))</f>
        <v/>
      </c>
      <c r="K571" s="32" t="inlineStr">
        <is>
          <t>-</t>
        </is>
      </c>
      <c r="L571" s="32" t="n"/>
      <c r="M571" s="28">
        <f>IF(OR(LEFT(J571,2)="보류", LEFT(J571,4)="복습대기", LEFT(J571,3)="복습1", LEFT(J571,3)="복습2"), MAX($M$3:M570)+1, "")</f>
        <v/>
      </c>
      <c r="N571" s="28" t="inlineStr">
        <is>
          <t>W15</t>
        </is>
      </c>
      <c r="O571" s="36" t="n">
        <v>46358</v>
      </c>
      <c r="P571" s="30">
        <f>IF(F571&lt;&gt;"","✅ 완료",IF(O571="","-",IF(TODAY()&gt;O571,"🚨 지연","⏳ 예정")))</f>
        <v/>
      </c>
      <c r="Q571" s="7" t="n"/>
      <c r="R571" s="7" t="n"/>
      <c r="S571" s="7" t="n"/>
      <c r="T571" s="7" t="n"/>
      <c r="U571" s="7" t="n"/>
      <c r="V571" s="7" t="n"/>
      <c r="W571" s="7" t="n"/>
      <c r="X571" s="7" t="n"/>
    </row>
    <row r="572" ht="21.75" customHeight="1" s="209">
      <c r="A572" s="28" t="n">
        <v>569</v>
      </c>
      <c r="B572" s="28" t="inlineStr">
        <is>
          <t>3269</t>
        </is>
      </c>
      <c r="C572" s="30" t="inlineStr">
        <is>
          <t>D5</t>
        </is>
      </c>
      <c r="D572" s="32" t="inlineStr">
        <is>
          <t>강한 연결 요소</t>
        </is>
      </c>
      <c r="E572" s="28" t="inlineStr">
        <is>
          <t>자료구조 (스택/큐/리스트)</t>
        </is>
      </c>
      <c r="F572" s="28" t="n"/>
      <c r="G572" s="28" t="n"/>
      <c r="H572" s="28" t="n"/>
      <c r="I572" s="28" t="n"/>
      <c r="J572" s="54">
        <f>IF(OR(ISNUMBER(SEARCH("보류",K572)),ISNUMBER(SEARCH("미룸",K572)),ISNUMBER(SEARCH("나중에",K572)),ISNUMBER(SEARCH("보류",L572)),ISNUMBER(SEARCH("미룸",L572)),ISNUMBER(SEARCH("나중에",L572))),"보류(나중에 풀기)",IF(AND(F572="",G572="",H572="",I572=""),"미완료",IF(I572&lt;&gt;"","복습3(마스터)",IF(H572&lt;&gt;"","복습2",IF(G572&lt;&gt;"","복습1",IF(ISNUMBER(SEARCH("제미나이",K572)),"복습대기(AI도움)",IF(ISNUMBER(SEARCH("간당간당",K572)),"복습대기(간당간당)",IF(OR(ISNUMBER(SEARCH("아이디어",K572)),ISNUMBER(SEARCH("시간초과",K572)),ISNUMBER(SEARCH("자료구조",K572)),ISNUMBER(SEARCH("경계값",K572)),ISNUMBER(SEARCH("다른 풀이",K572)),ISNUMBER(SEARCH("또풀기",K572))),"복습대기",IF(OR(ISNUMBER(SEARCH("복습필요없음",K572)),ISNUMBER(SEARCH("자력완벽",K572))),"품(복습불필요)",IF(F572&lt;&gt;"","품","미완료"))))))))))</f>
        <v/>
      </c>
      <c r="K572" s="32" t="inlineStr">
        <is>
          <t>-</t>
        </is>
      </c>
      <c r="L572" s="32" t="n"/>
      <c r="M572" s="28">
        <f>IF(OR(LEFT(J572,2)="보류", LEFT(J572,4)="복습대기", LEFT(J572,3)="복습1", LEFT(J572,3)="복습2"), MAX($M$3:M571)+1, "")</f>
        <v/>
      </c>
      <c r="N572" s="28" t="inlineStr">
        <is>
          <t>W15</t>
        </is>
      </c>
      <c r="O572" s="36" t="n">
        <v>46358</v>
      </c>
      <c r="P572" s="30">
        <f>IF(F572&lt;&gt;"","✅ 완료",IF(O572="","-",IF(TODAY()&gt;O572,"🚨 지연","⏳ 예정")))</f>
        <v/>
      </c>
      <c r="Q572" s="7" t="n"/>
      <c r="R572" s="7" t="n"/>
      <c r="S572" s="7" t="n"/>
      <c r="T572" s="7" t="n"/>
      <c r="U572" s="7" t="n"/>
      <c r="V572" s="7" t="n"/>
      <c r="W572" s="7" t="n"/>
      <c r="X572" s="7" t="n"/>
    </row>
    <row r="573" ht="21.75" customHeight="1" s="209">
      <c r="A573" s="28" t="n">
        <v>570</v>
      </c>
      <c r="B573" s="28" t="inlineStr">
        <is>
          <t>3308</t>
        </is>
      </c>
      <c r="C573" s="30" t="inlineStr">
        <is>
          <t>D5</t>
        </is>
      </c>
      <c r="D573" s="32" t="inlineStr">
        <is>
          <t>최장 증가 부분 수열 (Hard)</t>
        </is>
      </c>
      <c r="E573" s="28" t="inlineStr">
        <is>
          <t>동적계획법 (DP)</t>
        </is>
      </c>
      <c r="F573" s="28" t="n"/>
      <c r="G573" s="28" t="n"/>
      <c r="H573" s="28" t="n"/>
      <c r="I573" s="28" t="n"/>
      <c r="J573" s="54">
        <f>IF(OR(ISNUMBER(SEARCH("보류",K573)),ISNUMBER(SEARCH("미룸",K573)),ISNUMBER(SEARCH("나중에",K573)),ISNUMBER(SEARCH("보류",L573)),ISNUMBER(SEARCH("미룸",L573)),ISNUMBER(SEARCH("나중에",L573))),"보류(나중에 풀기)",IF(AND(F573="",G573="",H573="",I573=""),"미완료",IF(I573&lt;&gt;"","복습3(마스터)",IF(H573&lt;&gt;"","복습2",IF(G573&lt;&gt;"","복습1",IF(ISNUMBER(SEARCH("제미나이",K573)),"복습대기(AI도움)",IF(ISNUMBER(SEARCH("간당간당",K573)),"복습대기(간당간당)",IF(OR(ISNUMBER(SEARCH("아이디어",K573)),ISNUMBER(SEARCH("시간초과",K573)),ISNUMBER(SEARCH("자료구조",K573)),ISNUMBER(SEARCH("경계값",K573)),ISNUMBER(SEARCH("다른 풀이",K573)),ISNUMBER(SEARCH("또풀기",K573))),"복습대기",IF(OR(ISNUMBER(SEARCH("복습필요없음",K573)),ISNUMBER(SEARCH("자력완벽",K573))),"품(복습불필요)",IF(F573&lt;&gt;"","품","미완료"))))))))))</f>
        <v/>
      </c>
      <c r="K573" s="32" t="inlineStr">
        <is>
          <t>-</t>
        </is>
      </c>
      <c r="L573" s="32" t="n"/>
      <c r="M573" s="28">
        <f>IF(OR(LEFT(J573,2)="보류", LEFT(J573,4)="복습대기", LEFT(J573,3)="복습1", LEFT(J573,3)="복습2"), MAX($M$3:M572)+1, "")</f>
        <v/>
      </c>
      <c r="N573" s="28" t="inlineStr">
        <is>
          <t>W15</t>
        </is>
      </c>
      <c r="O573" s="36" t="n">
        <v>46358</v>
      </c>
      <c r="P573" s="30">
        <f>IF(F573&lt;&gt;"","✅ 완료",IF(O573="","-",IF(TODAY()&gt;O573,"🚨 지연","⏳ 예정")))</f>
        <v/>
      </c>
      <c r="Q573" s="7" t="n"/>
      <c r="R573" s="7" t="n"/>
      <c r="S573" s="7" t="n"/>
      <c r="T573" s="7" t="n"/>
      <c r="U573" s="7" t="n"/>
      <c r="V573" s="7" t="n"/>
      <c r="W573" s="7" t="n"/>
      <c r="X573" s="7" t="n"/>
    </row>
    <row r="574" ht="21.75" customHeight="1" s="209">
      <c r="A574" s="28" t="n">
        <v>571</v>
      </c>
      <c r="B574" s="28" t="inlineStr">
        <is>
          <t>3319</t>
        </is>
      </c>
      <c r="C574" s="30" t="inlineStr">
        <is>
          <t>D5</t>
        </is>
      </c>
      <c r="D574" s="32" t="inlineStr">
        <is>
          <t>쿠키가 좋아</t>
        </is>
      </c>
      <c r="E574" s="28" t="inlineStr">
        <is>
          <t>동적계획법 (DP) / 그래프</t>
        </is>
      </c>
      <c r="F574" s="28" t="n"/>
      <c r="G574" s="28" t="n"/>
      <c r="H574" s="28" t="n"/>
      <c r="I574" s="28" t="n"/>
      <c r="J574" s="54">
        <f>IF(OR(ISNUMBER(SEARCH("보류",K574)),ISNUMBER(SEARCH("미룸",K574)),ISNUMBER(SEARCH("나중에",K574)),ISNUMBER(SEARCH("보류",L574)),ISNUMBER(SEARCH("미룸",L574)),ISNUMBER(SEARCH("나중에",L574))),"보류(나중에 풀기)",IF(AND(F574="",G574="",H574="",I574=""),"미완료",IF(I574&lt;&gt;"","복습3(마스터)",IF(H574&lt;&gt;"","복습2",IF(G574&lt;&gt;"","복습1",IF(ISNUMBER(SEARCH("제미나이",K574)),"복습대기(AI도움)",IF(ISNUMBER(SEARCH("간당간당",K574)),"복습대기(간당간당)",IF(OR(ISNUMBER(SEARCH("아이디어",K574)),ISNUMBER(SEARCH("시간초과",K574)),ISNUMBER(SEARCH("자료구조",K574)),ISNUMBER(SEARCH("경계값",K574)),ISNUMBER(SEARCH("다른 풀이",K574)),ISNUMBER(SEARCH("또풀기",K574))),"복습대기",IF(OR(ISNUMBER(SEARCH("복습필요없음",K574)),ISNUMBER(SEARCH("자력완벽",K574))),"품(복습불필요)",IF(F574&lt;&gt;"","품","미완료"))))))))))</f>
        <v/>
      </c>
      <c r="K574" s="32" t="inlineStr">
        <is>
          <t>-</t>
        </is>
      </c>
      <c r="L574" s="32" t="n"/>
      <c r="M574" s="28">
        <f>IF(OR(LEFT(J574,2)="보류", LEFT(J574,4)="복습대기", LEFT(J574,3)="복습1", LEFT(J574,3)="복습2"), MAX($M$3:M573)+1, "")</f>
        <v/>
      </c>
      <c r="N574" s="28" t="inlineStr">
        <is>
          <t>W15</t>
        </is>
      </c>
      <c r="O574" s="36" t="n">
        <v>46358</v>
      </c>
      <c r="P574" s="30">
        <f>IF(F574&lt;&gt;"","✅ 완료",IF(O574="","-",IF(TODAY()&gt;O574,"🚨 지연","⏳ 예정")))</f>
        <v/>
      </c>
      <c r="Q574" s="7" t="n"/>
      <c r="R574" s="7" t="n"/>
      <c r="S574" s="7" t="n"/>
      <c r="T574" s="7" t="n"/>
      <c r="U574" s="7" t="n"/>
      <c r="V574" s="7" t="n"/>
      <c r="W574" s="7" t="n"/>
      <c r="X574" s="7" t="n"/>
    </row>
    <row r="575" ht="21.75" customHeight="1" s="209">
      <c r="A575" s="28" t="n">
        <v>572</v>
      </c>
      <c r="B575" s="28" t="inlineStr">
        <is>
          <t>3339</t>
        </is>
      </c>
      <c r="C575" s="30" t="inlineStr">
        <is>
          <t>D5</t>
        </is>
      </c>
      <c r="D575" s="32" t="inlineStr">
        <is>
          <t>N^M의 모든 약수의 합</t>
        </is>
      </c>
      <c r="E575" s="28" t="inlineStr">
        <is>
          <t>수학 / 정수론</t>
        </is>
      </c>
      <c r="F575" s="28" t="n"/>
      <c r="G575" s="28" t="n"/>
      <c r="H575" s="28" t="n"/>
      <c r="I575" s="28" t="n"/>
      <c r="J575" s="54">
        <f>IF(OR(ISNUMBER(SEARCH("보류",K575)),ISNUMBER(SEARCH("미룸",K575)),ISNUMBER(SEARCH("나중에",K575)),ISNUMBER(SEARCH("보류",L575)),ISNUMBER(SEARCH("미룸",L575)),ISNUMBER(SEARCH("나중에",L575))),"보류(나중에 풀기)",IF(AND(F575="",G575="",H575="",I575=""),"미완료",IF(I575&lt;&gt;"","복습3(마스터)",IF(H575&lt;&gt;"","복습2",IF(G575&lt;&gt;"","복습1",IF(ISNUMBER(SEARCH("제미나이",K575)),"복습대기(AI도움)",IF(ISNUMBER(SEARCH("간당간당",K575)),"복습대기(간당간당)",IF(OR(ISNUMBER(SEARCH("아이디어",K575)),ISNUMBER(SEARCH("시간초과",K575)),ISNUMBER(SEARCH("자료구조",K575)),ISNUMBER(SEARCH("경계값",K575)),ISNUMBER(SEARCH("다른 풀이",K575)),ISNUMBER(SEARCH("또풀기",K575))),"복습대기",IF(OR(ISNUMBER(SEARCH("복습필요없음",K575)),ISNUMBER(SEARCH("자력완벽",K575))),"품(복습불필요)",IF(F575&lt;&gt;"","품","미완료"))))))))))</f>
        <v/>
      </c>
      <c r="K575" s="32" t="inlineStr">
        <is>
          <t>-</t>
        </is>
      </c>
      <c r="L575" s="32" t="n"/>
      <c r="M575" s="28">
        <f>IF(OR(LEFT(J575,2)="보류", LEFT(J575,4)="복습대기", LEFT(J575,3)="복습1", LEFT(J575,3)="복습2"), MAX($M$3:M574)+1, "")</f>
        <v/>
      </c>
      <c r="N575" s="28" t="inlineStr">
        <is>
          <t>W15</t>
        </is>
      </c>
      <c r="O575" s="36" t="n">
        <v>46359</v>
      </c>
      <c r="P575" s="30">
        <f>IF(F575&lt;&gt;"","✅ 완료",IF(O575="","-",IF(TODAY()&gt;O575,"🚨 지연","⏳ 예정")))</f>
        <v/>
      </c>
      <c r="Q575" s="7" t="n"/>
      <c r="R575" s="7" t="n"/>
      <c r="S575" s="7" t="n"/>
      <c r="T575" s="7" t="n"/>
      <c r="U575" s="7" t="n"/>
      <c r="V575" s="7" t="n"/>
      <c r="W575" s="7" t="n"/>
      <c r="X575" s="7" t="n"/>
    </row>
    <row r="576" ht="21.75" customHeight="1" s="209">
      <c r="A576" s="28" t="n">
        <v>573</v>
      </c>
      <c r="B576" s="28" t="inlineStr">
        <is>
          <t>3363</t>
        </is>
      </c>
      <c r="C576" s="30" t="inlineStr">
        <is>
          <t>D5</t>
        </is>
      </c>
      <c r="D576" s="32" t="inlineStr">
        <is>
          <t>영준이의 정수 저장</t>
        </is>
      </c>
      <c r="E576" s="28" t="inlineStr">
        <is>
          <t>수학 / 정수론</t>
        </is>
      </c>
      <c r="F576" s="28" t="n"/>
      <c r="G576" s="28" t="n"/>
      <c r="H576" s="28" t="n"/>
      <c r="I576" s="28" t="n"/>
      <c r="J576" s="54">
        <f>IF(OR(ISNUMBER(SEARCH("보류",K576)),ISNUMBER(SEARCH("미룸",K576)),ISNUMBER(SEARCH("나중에",K576)),ISNUMBER(SEARCH("보류",L576)),ISNUMBER(SEARCH("미룸",L576)),ISNUMBER(SEARCH("나중에",L576))),"보류(나중에 풀기)",IF(AND(F576="",G576="",H576="",I576=""),"미완료",IF(I576&lt;&gt;"","복습3(마스터)",IF(H576&lt;&gt;"","복습2",IF(G576&lt;&gt;"","복습1",IF(ISNUMBER(SEARCH("제미나이",K576)),"복습대기(AI도움)",IF(ISNUMBER(SEARCH("간당간당",K576)),"복습대기(간당간당)",IF(OR(ISNUMBER(SEARCH("아이디어",K576)),ISNUMBER(SEARCH("시간초과",K576)),ISNUMBER(SEARCH("자료구조",K576)),ISNUMBER(SEARCH("경계값",K576)),ISNUMBER(SEARCH("다른 풀이",K576)),ISNUMBER(SEARCH("또풀기",K576))),"복습대기",IF(OR(ISNUMBER(SEARCH("복습필요없음",K576)),ISNUMBER(SEARCH("자력완벽",K576))),"품(복습불필요)",IF(F576&lt;&gt;"","품","미완료"))))))))))</f>
        <v/>
      </c>
      <c r="K576" s="32" t="inlineStr">
        <is>
          <t>-</t>
        </is>
      </c>
      <c r="L576" s="32" t="n"/>
      <c r="M576" s="28">
        <f>IF(OR(LEFT(J576,2)="보류", LEFT(J576,4)="복습대기", LEFT(J576,3)="복습1", LEFT(J576,3)="복습2"), MAX($M$3:M575)+1, "")</f>
        <v/>
      </c>
      <c r="N576" s="28" t="inlineStr">
        <is>
          <t>W15</t>
        </is>
      </c>
      <c r="O576" s="36" t="n">
        <v>46359</v>
      </c>
      <c r="P576" s="30">
        <f>IF(F576&lt;&gt;"","✅ 완료",IF(O576="","-",IF(TODAY()&gt;O576,"🚨 지연","⏳ 예정")))</f>
        <v/>
      </c>
      <c r="Q576" s="7" t="n"/>
      <c r="R576" s="7" t="n"/>
      <c r="S576" s="7" t="n"/>
      <c r="T576" s="7" t="n"/>
      <c r="U576" s="7" t="n"/>
      <c r="V576" s="7" t="n"/>
      <c r="W576" s="7" t="n"/>
      <c r="X576" s="7" t="n"/>
    </row>
    <row r="577" ht="21.75" customHeight="1" s="209">
      <c r="A577" s="28" t="n">
        <v>574</v>
      </c>
      <c r="B577" s="28" t="inlineStr">
        <is>
          <t>3410</t>
        </is>
      </c>
      <c r="C577" s="30" t="inlineStr">
        <is>
          <t>D5</t>
        </is>
      </c>
      <c r="D577" s="32" t="inlineStr">
        <is>
          <t>동서양의 경계</t>
        </is>
      </c>
      <c r="E577" s="28" t="inlineStr">
        <is>
          <t>동적계획법 (DP) / 그래프</t>
        </is>
      </c>
      <c r="F577" s="28" t="n"/>
      <c r="G577" s="28" t="n"/>
      <c r="H577" s="28" t="n"/>
      <c r="I577" s="28" t="n"/>
      <c r="J577" s="54">
        <f>IF(OR(ISNUMBER(SEARCH("보류",K577)),ISNUMBER(SEARCH("미룸",K577)),ISNUMBER(SEARCH("나중에",K577)),ISNUMBER(SEARCH("보류",L577)),ISNUMBER(SEARCH("미룸",L577)),ISNUMBER(SEARCH("나중에",L577))),"보류(나중에 풀기)",IF(AND(F577="",G577="",H577="",I577=""),"미완료",IF(I577&lt;&gt;"","복습3(마스터)",IF(H577&lt;&gt;"","복습2",IF(G577&lt;&gt;"","복습1",IF(ISNUMBER(SEARCH("제미나이",K577)),"복습대기(AI도움)",IF(ISNUMBER(SEARCH("간당간당",K577)),"복습대기(간당간당)",IF(OR(ISNUMBER(SEARCH("아이디어",K577)),ISNUMBER(SEARCH("시간초과",K577)),ISNUMBER(SEARCH("자료구조",K577)),ISNUMBER(SEARCH("경계값",K577)),ISNUMBER(SEARCH("다른 풀이",K577)),ISNUMBER(SEARCH("또풀기",K577))),"복습대기",IF(OR(ISNUMBER(SEARCH("복습필요없음",K577)),ISNUMBER(SEARCH("자력완벽",K577))),"품(복습불필요)",IF(F577&lt;&gt;"","품","미완료"))))))))))</f>
        <v/>
      </c>
      <c r="K577" s="32" t="inlineStr">
        <is>
          <t>-</t>
        </is>
      </c>
      <c r="L577" s="32" t="n"/>
      <c r="M577" s="28">
        <f>IF(OR(LEFT(J577,2)="보류", LEFT(J577,4)="복습대기", LEFT(J577,3)="복습1", LEFT(J577,3)="복습2"), MAX($M$3:M576)+1, "")</f>
        <v/>
      </c>
      <c r="N577" s="28" t="inlineStr">
        <is>
          <t>W15</t>
        </is>
      </c>
      <c r="O577" s="36" t="n">
        <v>46359</v>
      </c>
      <c r="P577" s="30">
        <f>IF(F577&lt;&gt;"","✅ 완료",IF(O577="","-",IF(TODAY()&gt;O577,"🚨 지연","⏳ 예정")))</f>
        <v/>
      </c>
      <c r="Q577" s="7" t="n"/>
      <c r="R577" s="7" t="n"/>
      <c r="S577" s="7" t="n"/>
      <c r="T577" s="7" t="n"/>
      <c r="U577" s="7" t="n"/>
      <c r="V577" s="7" t="n"/>
      <c r="W577" s="7" t="n"/>
      <c r="X577" s="7" t="n"/>
    </row>
    <row r="578" ht="21.75" customHeight="1" s="209">
      <c r="A578" s="28" t="n">
        <v>575</v>
      </c>
      <c r="B578" s="28" t="inlineStr">
        <is>
          <t>3421</t>
        </is>
      </c>
      <c r="C578" s="30" t="inlineStr">
        <is>
          <t>D5</t>
        </is>
      </c>
      <c r="D578" s="32" t="inlineStr">
        <is>
          <t>수제 버거 장인</t>
        </is>
      </c>
      <c r="E578" s="28" t="inlineStr">
        <is>
          <t>동적계획법 (DP) / 그래프</t>
        </is>
      </c>
      <c r="F578" s="28" t="n"/>
      <c r="G578" s="28" t="n"/>
      <c r="H578" s="28" t="n"/>
      <c r="I578" s="28" t="n"/>
      <c r="J578" s="54">
        <f>IF(OR(ISNUMBER(SEARCH("보류",K578)),ISNUMBER(SEARCH("미룸",K578)),ISNUMBER(SEARCH("나중에",K578)),ISNUMBER(SEARCH("보류",L578)),ISNUMBER(SEARCH("미룸",L578)),ISNUMBER(SEARCH("나중에",L578))),"보류(나중에 풀기)",IF(AND(F578="",G578="",H578="",I578=""),"미완료",IF(I578&lt;&gt;"","복습3(마스터)",IF(H578&lt;&gt;"","복습2",IF(G578&lt;&gt;"","복습1",IF(ISNUMBER(SEARCH("제미나이",K578)),"복습대기(AI도움)",IF(ISNUMBER(SEARCH("간당간당",K578)),"복습대기(간당간당)",IF(OR(ISNUMBER(SEARCH("아이디어",K578)),ISNUMBER(SEARCH("시간초과",K578)),ISNUMBER(SEARCH("자료구조",K578)),ISNUMBER(SEARCH("경계값",K578)),ISNUMBER(SEARCH("다른 풀이",K578)),ISNUMBER(SEARCH("또풀기",K578))),"복습대기",IF(OR(ISNUMBER(SEARCH("복습필요없음",K578)),ISNUMBER(SEARCH("자력완벽",K578))),"품(복습불필요)",IF(F578&lt;&gt;"","품","미완료"))))))))))</f>
        <v/>
      </c>
      <c r="K578" s="32" t="inlineStr">
        <is>
          <t>-</t>
        </is>
      </c>
      <c r="L578" s="32" t="n"/>
      <c r="M578" s="28">
        <f>IF(OR(LEFT(J578,2)="보류", LEFT(J578,4)="복습대기", LEFT(J578,3)="복습1", LEFT(J578,3)="복습2"), MAX($M$3:M577)+1, "")</f>
        <v/>
      </c>
      <c r="N578" s="28" t="inlineStr">
        <is>
          <t>W15</t>
        </is>
      </c>
      <c r="O578" s="36" t="n">
        <v>46359</v>
      </c>
      <c r="P578" s="30">
        <f>IF(F578&lt;&gt;"","✅ 완료",IF(O578="","-",IF(TODAY()&gt;O578,"🚨 지연","⏳ 예정")))</f>
        <v/>
      </c>
      <c r="Q578" s="7" t="n"/>
      <c r="R578" s="7" t="n"/>
      <c r="S578" s="7" t="n"/>
      <c r="T578" s="7" t="n"/>
      <c r="U578" s="7" t="n"/>
      <c r="V578" s="7" t="n"/>
      <c r="W578" s="7" t="n"/>
      <c r="X578" s="7" t="n"/>
    </row>
    <row r="579" ht="21.75" customHeight="1" s="209">
      <c r="A579" s="28" t="n">
        <v>576</v>
      </c>
      <c r="B579" s="28" t="inlineStr">
        <is>
          <t>3433</t>
        </is>
      </c>
      <c r="C579" s="30" t="inlineStr">
        <is>
          <t>D5</t>
        </is>
      </c>
      <c r="D579" s="32" t="inlineStr">
        <is>
          <t>RLE 문자압축</t>
        </is>
      </c>
      <c r="E579" s="28" t="inlineStr">
        <is>
          <t>동적계획법 (DP) / 그래프</t>
        </is>
      </c>
      <c r="F579" s="28" t="n"/>
      <c r="G579" s="28" t="n"/>
      <c r="H579" s="28" t="n"/>
      <c r="I579" s="28" t="n"/>
      <c r="J579" s="54">
        <f>IF(OR(ISNUMBER(SEARCH("보류",K579)),ISNUMBER(SEARCH("미룸",K579)),ISNUMBER(SEARCH("나중에",K579)),ISNUMBER(SEARCH("보류",L579)),ISNUMBER(SEARCH("미룸",L579)),ISNUMBER(SEARCH("나중에",L579))),"보류(나중에 풀기)",IF(AND(F579="",G579="",H579="",I579=""),"미완료",IF(I579&lt;&gt;"","복습3(마스터)",IF(H579&lt;&gt;"","복습2",IF(G579&lt;&gt;"","복습1",IF(ISNUMBER(SEARCH("제미나이",K579)),"복습대기(AI도움)",IF(ISNUMBER(SEARCH("간당간당",K579)),"복습대기(간당간당)",IF(OR(ISNUMBER(SEARCH("아이디어",K579)),ISNUMBER(SEARCH("시간초과",K579)),ISNUMBER(SEARCH("자료구조",K579)),ISNUMBER(SEARCH("경계값",K579)),ISNUMBER(SEARCH("다른 풀이",K579)),ISNUMBER(SEARCH("또풀기",K579))),"복습대기",IF(OR(ISNUMBER(SEARCH("복습필요없음",K579)),ISNUMBER(SEARCH("자력완벽",K579))),"품(복습불필요)",IF(F579&lt;&gt;"","품","미완료"))))))))))</f>
        <v/>
      </c>
      <c r="K579" s="32" t="inlineStr">
        <is>
          <t>-</t>
        </is>
      </c>
      <c r="L579" s="32" t="n"/>
      <c r="M579" s="28">
        <f>IF(OR(LEFT(J579,2)="보류", LEFT(J579,4)="복습대기", LEFT(J579,3)="복습1", LEFT(J579,3)="복습2"), MAX($M$3:M578)+1, "")</f>
        <v/>
      </c>
      <c r="N579" s="28" t="inlineStr">
        <is>
          <t>W15</t>
        </is>
      </c>
      <c r="O579" s="36" t="n">
        <v>46359</v>
      </c>
      <c r="P579" s="30">
        <f>IF(F579&lt;&gt;"","✅ 완료",IF(O579="","-",IF(TODAY()&gt;O579,"🚨 지연","⏳ 예정")))</f>
        <v/>
      </c>
      <c r="Q579" s="7" t="n"/>
      <c r="R579" s="7" t="n"/>
      <c r="S579" s="7" t="n"/>
      <c r="T579" s="7" t="n"/>
      <c r="U579" s="7" t="n"/>
      <c r="V579" s="7" t="n"/>
      <c r="W579" s="7" t="n"/>
      <c r="X579" s="7" t="n"/>
    </row>
    <row r="580" ht="21.75" customHeight="1" s="209">
      <c r="A580" s="28" t="n">
        <v>577</v>
      </c>
      <c r="B580" s="28" t="inlineStr">
        <is>
          <t>3462</t>
        </is>
      </c>
      <c r="C580" s="30" t="inlineStr">
        <is>
          <t>D5</t>
        </is>
      </c>
      <c r="D580" s="32" t="inlineStr">
        <is>
          <t>선표의 축구 경기 예측</t>
        </is>
      </c>
      <c r="E580" s="28" t="inlineStr">
        <is>
          <t>동적계획법 (DP) / 그래프</t>
        </is>
      </c>
      <c r="F580" s="28" t="n"/>
      <c r="G580" s="28" t="n"/>
      <c r="H580" s="28" t="n"/>
      <c r="I580" s="28" t="n"/>
      <c r="J580" s="54">
        <f>IF(OR(ISNUMBER(SEARCH("보류",K580)),ISNUMBER(SEARCH("미룸",K580)),ISNUMBER(SEARCH("나중에",K580)),ISNUMBER(SEARCH("보류",L580)),ISNUMBER(SEARCH("미룸",L580)),ISNUMBER(SEARCH("나중에",L580))),"보류(나중에 풀기)",IF(AND(F580="",G580="",H580="",I580=""),"미완료",IF(I580&lt;&gt;"","복습3(마스터)",IF(H580&lt;&gt;"","복습2",IF(G580&lt;&gt;"","복습1",IF(ISNUMBER(SEARCH("제미나이",K580)),"복습대기(AI도움)",IF(ISNUMBER(SEARCH("간당간당",K580)),"복습대기(간당간당)",IF(OR(ISNUMBER(SEARCH("아이디어",K580)),ISNUMBER(SEARCH("시간초과",K580)),ISNUMBER(SEARCH("자료구조",K580)),ISNUMBER(SEARCH("경계값",K580)),ISNUMBER(SEARCH("다른 풀이",K580)),ISNUMBER(SEARCH("또풀기",K580))),"복습대기",IF(OR(ISNUMBER(SEARCH("복습필요없음",K580)),ISNUMBER(SEARCH("자력완벽",K580))),"품(복습불필요)",IF(F580&lt;&gt;"","품","미완료"))))))))))</f>
        <v/>
      </c>
      <c r="K580" s="32" t="inlineStr">
        <is>
          <t>-</t>
        </is>
      </c>
      <c r="L580" s="32" t="n"/>
      <c r="M580" s="28">
        <f>IF(OR(LEFT(J580,2)="보류", LEFT(J580,4)="복습대기", LEFT(J580,3)="복습1", LEFT(J580,3)="복습2"), MAX($M$3:M579)+1, "")</f>
        <v/>
      </c>
      <c r="N580" s="28" t="inlineStr">
        <is>
          <t>W15</t>
        </is>
      </c>
      <c r="O580" s="36" t="n">
        <v>46359</v>
      </c>
      <c r="P580" s="30">
        <f>IF(F580&lt;&gt;"","✅ 완료",IF(O580="","-",IF(TODAY()&gt;O580,"🚨 지연","⏳ 예정")))</f>
        <v/>
      </c>
      <c r="Q580" s="7" t="n"/>
      <c r="R580" s="7" t="n"/>
      <c r="S580" s="7" t="n"/>
      <c r="T580" s="7" t="n"/>
      <c r="U580" s="7" t="n"/>
      <c r="V580" s="7" t="n"/>
      <c r="W580" s="7" t="n"/>
      <c r="X580" s="7" t="n"/>
    </row>
    <row r="581" ht="21.75" customHeight="1" s="209">
      <c r="A581" s="28" t="n">
        <v>578</v>
      </c>
      <c r="B581" s="28" t="inlineStr">
        <is>
          <t>3503</t>
        </is>
      </c>
      <c r="C581" s="30" t="inlineStr">
        <is>
          <t>D5</t>
        </is>
      </c>
      <c r="D581" s="32" t="inlineStr">
        <is>
          <t>초보자를 위한 점프대 배치하기</t>
        </is>
      </c>
      <c r="E581" s="28" t="inlineStr">
        <is>
          <t>동적계획법 (DP) / 그래프</t>
        </is>
      </c>
      <c r="F581" s="28" t="n"/>
      <c r="G581" s="28" t="n"/>
      <c r="H581" s="28" t="n"/>
      <c r="I581" s="28" t="n"/>
      <c r="J581" s="54">
        <f>IF(OR(ISNUMBER(SEARCH("보류",K581)),ISNUMBER(SEARCH("미룸",K581)),ISNUMBER(SEARCH("나중에",K581)),ISNUMBER(SEARCH("보류",L581)),ISNUMBER(SEARCH("미룸",L581)),ISNUMBER(SEARCH("나중에",L581))),"보류(나중에 풀기)",IF(AND(F581="",G581="",H581="",I581=""),"미완료",IF(I581&lt;&gt;"","복습3(마스터)",IF(H581&lt;&gt;"","복습2",IF(G581&lt;&gt;"","복습1",IF(ISNUMBER(SEARCH("제미나이",K581)),"복습대기(AI도움)",IF(ISNUMBER(SEARCH("간당간당",K581)),"복습대기(간당간당)",IF(OR(ISNUMBER(SEARCH("아이디어",K581)),ISNUMBER(SEARCH("시간초과",K581)),ISNUMBER(SEARCH("자료구조",K581)),ISNUMBER(SEARCH("경계값",K581)),ISNUMBER(SEARCH("다른 풀이",K581)),ISNUMBER(SEARCH("또풀기",K581))),"복습대기",IF(OR(ISNUMBER(SEARCH("복습필요없음",K581)),ISNUMBER(SEARCH("자력완벽",K581))),"품(복습불필요)",IF(F581&lt;&gt;"","품","미완료"))))))))))</f>
        <v/>
      </c>
      <c r="K581" s="32" t="inlineStr">
        <is>
          <t>-</t>
        </is>
      </c>
      <c r="L581" s="32" t="n"/>
      <c r="M581" s="28">
        <f>IF(OR(LEFT(J581,2)="보류", LEFT(J581,4)="복습대기", LEFT(J581,3)="복습1", LEFT(J581,3)="복습2"), MAX($M$3:M580)+1, "")</f>
        <v/>
      </c>
      <c r="N581" s="28" t="inlineStr">
        <is>
          <t>W15</t>
        </is>
      </c>
      <c r="O581" s="36" t="n">
        <v>46359</v>
      </c>
      <c r="P581" s="30">
        <f>IF(F581&lt;&gt;"","✅ 완료",IF(O581="","-",IF(TODAY()&gt;O581,"🚨 지연","⏳ 예정")))</f>
        <v/>
      </c>
      <c r="Q581" s="7" t="n"/>
      <c r="R581" s="7" t="n"/>
      <c r="S581" s="7" t="n"/>
      <c r="T581" s="7" t="n"/>
      <c r="U581" s="7" t="n"/>
      <c r="V581" s="7" t="n"/>
      <c r="W581" s="7" t="n"/>
      <c r="X581" s="7" t="n"/>
    </row>
    <row r="582" ht="21.75" customHeight="1" s="209">
      <c r="A582" s="28" t="n">
        <v>579</v>
      </c>
      <c r="B582" s="28" t="inlineStr">
        <is>
          <t>3977</t>
        </is>
      </c>
      <c r="C582" s="30" t="inlineStr">
        <is>
          <t>D5</t>
        </is>
      </c>
      <c r="D582" s="32" t="inlineStr">
        <is>
          <t>페르마의 크리스마스 정리</t>
        </is>
      </c>
      <c r="E582" s="28" t="inlineStr">
        <is>
          <t>동적계획법 (DP) / 그래프</t>
        </is>
      </c>
      <c r="F582" s="28" t="n"/>
      <c r="G582" s="28" t="n"/>
      <c r="H582" s="28" t="n"/>
      <c r="I582" s="28" t="n"/>
      <c r="J582" s="54">
        <f>IF(OR(ISNUMBER(SEARCH("보류",K582)),ISNUMBER(SEARCH("미룸",K582)),ISNUMBER(SEARCH("나중에",K582)),ISNUMBER(SEARCH("보류",L582)),ISNUMBER(SEARCH("미룸",L582)),ISNUMBER(SEARCH("나중에",L582))),"보류(나중에 풀기)",IF(AND(F582="",G582="",H582="",I582=""),"미완료",IF(I582&lt;&gt;"","복습3(마스터)",IF(H582&lt;&gt;"","복습2",IF(G582&lt;&gt;"","복습1",IF(ISNUMBER(SEARCH("제미나이",K582)),"복습대기(AI도움)",IF(ISNUMBER(SEARCH("간당간당",K582)),"복습대기(간당간당)",IF(OR(ISNUMBER(SEARCH("아이디어",K582)),ISNUMBER(SEARCH("시간초과",K582)),ISNUMBER(SEARCH("자료구조",K582)),ISNUMBER(SEARCH("경계값",K582)),ISNUMBER(SEARCH("다른 풀이",K582)),ISNUMBER(SEARCH("또풀기",K582))),"복습대기",IF(OR(ISNUMBER(SEARCH("복습필요없음",K582)),ISNUMBER(SEARCH("자력완벽",K582))),"품(복습불필요)",IF(F582&lt;&gt;"","품","미완료"))))))))))</f>
        <v/>
      </c>
      <c r="K582" s="32" t="inlineStr">
        <is>
          <t>-</t>
        </is>
      </c>
      <c r="L582" s="32" t="n"/>
      <c r="M582" s="28">
        <f>IF(OR(LEFT(J582,2)="보류", LEFT(J582,4)="복습대기", LEFT(J582,3)="복습1", LEFT(J582,3)="복습2"), MAX($M$3:M581)+1, "")</f>
        <v/>
      </c>
      <c r="N582" s="28" t="inlineStr">
        <is>
          <t>W15</t>
        </is>
      </c>
      <c r="O582" s="36" t="n">
        <v>46360</v>
      </c>
      <c r="P582" s="30">
        <f>IF(F582&lt;&gt;"","✅ 완료",IF(O582="","-",IF(TODAY()&gt;O582,"🚨 지연","⏳ 예정")))</f>
        <v/>
      </c>
      <c r="Q582" s="7" t="n"/>
      <c r="R582" s="7" t="n"/>
      <c r="S582" s="7" t="n"/>
      <c r="T582" s="7" t="n"/>
      <c r="U582" s="7" t="n"/>
      <c r="V582" s="7" t="n"/>
      <c r="W582" s="7" t="n"/>
      <c r="X582" s="7" t="n"/>
    </row>
    <row r="583" ht="21.75" customHeight="1" s="209">
      <c r="A583" s="28" t="n">
        <v>580</v>
      </c>
      <c r="B583" s="28" t="inlineStr">
        <is>
          <t>4411</t>
        </is>
      </c>
      <c r="C583" s="30" t="inlineStr">
        <is>
          <t>D5</t>
        </is>
      </c>
      <c r="D583" s="32" t="inlineStr">
        <is>
          <t>덕환이의 카드 뽑기</t>
        </is>
      </c>
      <c r="E583" s="28" t="inlineStr">
        <is>
          <t>동적계획법 (DP) / 그래프</t>
        </is>
      </c>
      <c r="F583" s="28" t="n"/>
      <c r="G583" s="28" t="n"/>
      <c r="H583" s="28" t="n"/>
      <c r="I583" s="28" t="n"/>
      <c r="J583" s="54">
        <f>IF(OR(ISNUMBER(SEARCH("보류",K583)),ISNUMBER(SEARCH("미룸",K583)),ISNUMBER(SEARCH("나중에",K583)),ISNUMBER(SEARCH("보류",L583)),ISNUMBER(SEARCH("미룸",L583)),ISNUMBER(SEARCH("나중에",L583))),"보류(나중에 풀기)",IF(AND(F583="",G583="",H583="",I583=""),"미완료",IF(I583&lt;&gt;"","복습3(마스터)",IF(H583&lt;&gt;"","복습2",IF(G583&lt;&gt;"","복습1",IF(ISNUMBER(SEARCH("제미나이",K583)),"복습대기(AI도움)",IF(ISNUMBER(SEARCH("간당간당",K583)),"복습대기(간당간당)",IF(OR(ISNUMBER(SEARCH("아이디어",K583)),ISNUMBER(SEARCH("시간초과",K583)),ISNUMBER(SEARCH("자료구조",K583)),ISNUMBER(SEARCH("경계값",K583)),ISNUMBER(SEARCH("다른 풀이",K583)),ISNUMBER(SEARCH("또풀기",K583))),"복습대기",IF(OR(ISNUMBER(SEARCH("복습필요없음",K583)),ISNUMBER(SEARCH("자력완벽",K583))),"품(복습불필요)",IF(F583&lt;&gt;"","품","미완료"))))))))))</f>
        <v/>
      </c>
      <c r="K583" s="32" t="inlineStr">
        <is>
          <t>-</t>
        </is>
      </c>
      <c r="L583" s="32" t="n"/>
      <c r="M583" s="28">
        <f>IF(OR(LEFT(J583,2)="보류", LEFT(J583,4)="복습대기", LEFT(J583,3)="복습1", LEFT(J583,3)="복습2"), MAX($M$3:M582)+1, "")</f>
        <v/>
      </c>
      <c r="N583" s="28" t="inlineStr">
        <is>
          <t>W15</t>
        </is>
      </c>
      <c r="O583" s="36" t="n">
        <v>46360</v>
      </c>
      <c r="P583" s="30">
        <f>IF(F583&lt;&gt;"","✅ 완료",IF(O583="","-",IF(TODAY()&gt;O583,"🚨 지연","⏳ 예정")))</f>
        <v/>
      </c>
      <c r="Q583" s="7" t="n"/>
      <c r="R583" s="7" t="n"/>
      <c r="S583" s="7" t="n"/>
      <c r="T583" s="7" t="n"/>
      <c r="U583" s="7" t="n"/>
      <c r="V583" s="7" t="n"/>
      <c r="W583" s="7" t="n"/>
      <c r="X583" s="7" t="n"/>
    </row>
    <row r="584" ht="21.75" customHeight="1" s="209">
      <c r="A584" s="28" t="n">
        <v>581</v>
      </c>
      <c r="B584" s="28" t="inlineStr">
        <is>
          <t>4469</t>
        </is>
      </c>
      <c r="C584" s="30" t="inlineStr">
        <is>
          <t>D5</t>
        </is>
      </c>
      <c r="D584" s="32" t="inlineStr">
        <is>
          <t>프로그래밍 경진대회</t>
        </is>
      </c>
      <c r="E584" s="28" t="inlineStr">
        <is>
          <t>동적계획법 (DP) / 그래프</t>
        </is>
      </c>
      <c r="F584" s="28" t="n"/>
      <c r="G584" s="28" t="n"/>
      <c r="H584" s="28" t="n"/>
      <c r="I584" s="28" t="n"/>
      <c r="J584" s="54">
        <f>IF(OR(ISNUMBER(SEARCH("보류",K584)),ISNUMBER(SEARCH("미룸",K584)),ISNUMBER(SEARCH("나중에",K584)),ISNUMBER(SEARCH("보류",L584)),ISNUMBER(SEARCH("미룸",L584)),ISNUMBER(SEARCH("나중에",L584))),"보류(나중에 풀기)",IF(AND(F584="",G584="",H584="",I584=""),"미완료",IF(I584&lt;&gt;"","복습3(마스터)",IF(H584&lt;&gt;"","복습2",IF(G584&lt;&gt;"","복습1",IF(ISNUMBER(SEARCH("제미나이",K584)),"복습대기(AI도움)",IF(ISNUMBER(SEARCH("간당간당",K584)),"복습대기(간당간당)",IF(OR(ISNUMBER(SEARCH("아이디어",K584)),ISNUMBER(SEARCH("시간초과",K584)),ISNUMBER(SEARCH("자료구조",K584)),ISNUMBER(SEARCH("경계값",K584)),ISNUMBER(SEARCH("다른 풀이",K584)),ISNUMBER(SEARCH("또풀기",K584))),"복습대기",IF(OR(ISNUMBER(SEARCH("복습필요없음",K584)),ISNUMBER(SEARCH("자력완벽",K584))),"품(복습불필요)",IF(F584&lt;&gt;"","품","미완료"))))))))))</f>
        <v/>
      </c>
      <c r="K584" s="32" t="inlineStr">
        <is>
          <t>-</t>
        </is>
      </c>
      <c r="L584" s="32" t="n"/>
      <c r="M584" s="28">
        <f>IF(OR(LEFT(J584,2)="보류", LEFT(J584,4)="복습대기", LEFT(J584,3)="복습1", LEFT(J584,3)="복습2"), MAX($M$3:M583)+1, "")</f>
        <v/>
      </c>
      <c r="N584" s="28" t="inlineStr">
        <is>
          <t>W15</t>
        </is>
      </c>
      <c r="O584" s="36" t="n">
        <v>46360</v>
      </c>
      <c r="P584" s="30">
        <f>IF(F584&lt;&gt;"","✅ 완료",IF(O584="","-",IF(TODAY()&gt;O584,"🚨 지연","⏳ 예정")))</f>
        <v/>
      </c>
      <c r="Q584" s="7" t="n"/>
      <c r="R584" s="7" t="n"/>
      <c r="S584" s="7" t="n"/>
      <c r="T584" s="7" t="n"/>
      <c r="U584" s="7" t="n"/>
      <c r="V584" s="7" t="n"/>
      <c r="W584" s="7" t="n"/>
      <c r="X584" s="7" t="n"/>
    </row>
    <row r="585" ht="21.75" customHeight="1" s="209">
      <c r="A585" s="28" t="n">
        <v>582</v>
      </c>
      <c r="B585" s="28" t="inlineStr">
        <is>
          <t>4534</t>
        </is>
      </c>
      <c r="C585" s="30" t="inlineStr">
        <is>
          <t>D5</t>
        </is>
      </c>
      <c r="D585" s="32" t="inlineStr">
        <is>
          <t>트리 흑백 색칠</t>
        </is>
      </c>
      <c r="E585" s="28" t="inlineStr">
        <is>
          <t>트리 / 힙 / 세그먼트트리</t>
        </is>
      </c>
      <c r="F585" s="28" t="n"/>
      <c r="G585" s="28" t="n"/>
      <c r="H585" s="28" t="n"/>
      <c r="I585" s="28" t="n"/>
      <c r="J585" s="54">
        <f>IF(OR(ISNUMBER(SEARCH("보류",K585)),ISNUMBER(SEARCH("미룸",K585)),ISNUMBER(SEARCH("나중에",K585)),ISNUMBER(SEARCH("보류",L585)),ISNUMBER(SEARCH("미룸",L585)),ISNUMBER(SEARCH("나중에",L585))),"보류(나중에 풀기)",IF(AND(F585="",G585="",H585="",I585=""),"미완료",IF(I585&lt;&gt;"","복습3(마스터)",IF(H585&lt;&gt;"","복습2",IF(G585&lt;&gt;"","복습1",IF(ISNUMBER(SEARCH("제미나이",K585)),"복습대기(AI도움)",IF(ISNUMBER(SEARCH("간당간당",K585)),"복습대기(간당간당)",IF(OR(ISNUMBER(SEARCH("아이디어",K585)),ISNUMBER(SEARCH("시간초과",K585)),ISNUMBER(SEARCH("자료구조",K585)),ISNUMBER(SEARCH("경계값",K585)),ISNUMBER(SEARCH("다른 풀이",K585)),ISNUMBER(SEARCH("또풀기",K585))),"복습대기",IF(OR(ISNUMBER(SEARCH("복습필요없음",K585)),ISNUMBER(SEARCH("자력완벽",K585))),"품(복습불필요)",IF(F585&lt;&gt;"","품","미완료"))))))))))</f>
        <v/>
      </c>
      <c r="K585" s="32" t="inlineStr">
        <is>
          <t>-</t>
        </is>
      </c>
      <c r="L585" s="32" t="n"/>
      <c r="M585" s="28">
        <f>IF(OR(LEFT(J585,2)="보류", LEFT(J585,4)="복습대기", LEFT(J585,3)="복습1", LEFT(J585,3)="복습2"), MAX($M$3:M584)+1, "")</f>
        <v/>
      </c>
      <c r="N585" s="28" t="inlineStr">
        <is>
          <t>W15</t>
        </is>
      </c>
      <c r="O585" s="36" t="n">
        <v>46360</v>
      </c>
      <c r="P585" s="30">
        <f>IF(F585&lt;&gt;"","✅ 완료",IF(O585="","-",IF(TODAY()&gt;O585,"🚨 지연","⏳ 예정")))</f>
        <v/>
      </c>
      <c r="Q585" s="7" t="n"/>
      <c r="R585" s="7" t="n"/>
      <c r="S585" s="7" t="n"/>
      <c r="T585" s="7" t="n"/>
      <c r="U585" s="7" t="n"/>
      <c r="V585" s="7" t="n"/>
      <c r="W585" s="7" t="n"/>
      <c r="X585" s="7" t="n"/>
    </row>
    <row r="586" ht="21.75" customHeight="1" s="209">
      <c r="A586" s="28" t="n">
        <v>583</v>
      </c>
      <c r="B586" s="28" t="inlineStr">
        <is>
          <t>4583</t>
        </is>
      </c>
      <c r="C586" s="30" t="inlineStr">
        <is>
          <t>D5</t>
        </is>
      </c>
      <c r="D586" s="32" t="inlineStr">
        <is>
          <t>세븐 카드 섞기 게임</t>
        </is>
      </c>
      <c r="E586" s="28" t="inlineStr">
        <is>
          <t>시뮬레이션 / 구현</t>
        </is>
      </c>
      <c r="F586" s="28" t="n"/>
      <c r="G586" s="28" t="n"/>
      <c r="H586" s="28" t="n"/>
      <c r="I586" s="28" t="n"/>
      <c r="J586" s="54">
        <f>IF(OR(ISNUMBER(SEARCH("보류",K586)),ISNUMBER(SEARCH("미룸",K586)),ISNUMBER(SEARCH("나중에",K586)),ISNUMBER(SEARCH("보류",L586)),ISNUMBER(SEARCH("미룸",L586)),ISNUMBER(SEARCH("나중에",L586))),"보류(나중에 풀기)",IF(AND(F586="",G586="",H586="",I586=""),"미완료",IF(I586&lt;&gt;"","복습3(마스터)",IF(H586&lt;&gt;"","복습2",IF(G586&lt;&gt;"","복습1",IF(ISNUMBER(SEARCH("제미나이",K586)),"복습대기(AI도움)",IF(ISNUMBER(SEARCH("간당간당",K586)),"복습대기(간당간당)",IF(OR(ISNUMBER(SEARCH("아이디어",K586)),ISNUMBER(SEARCH("시간초과",K586)),ISNUMBER(SEARCH("자료구조",K586)),ISNUMBER(SEARCH("경계값",K586)),ISNUMBER(SEARCH("다른 풀이",K586)),ISNUMBER(SEARCH("또풀기",K586))),"복습대기",IF(OR(ISNUMBER(SEARCH("복습필요없음",K586)),ISNUMBER(SEARCH("자력완벽",K586))),"품(복습불필요)",IF(F586&lt;&gt;"","품","미완료"))))))))))</f>
        <v/>
      </c>
      <c r="K586" s="32" t="inlineStr">
        <is>
          <t>-</t>
        </is>
      </c>
      <c r="L586" s="32" t="n"/>
      <c r="M586" s="28">
        <f>IF(OR(LEFT(J586,2)="보류", LEFT(J586,4)="복습대기", LEFT(J586,3)="복습1", LEFT(J586,3)="복습2"), MAX($M$3:M585)+1, "")</f>
        <v/>
      </c>
      <c r="N586" s="28" t="inlineStr">
        <is>
          <t>W15</t>
        </is>
      </c>
      <c r="O586" s="36" t="n">
        <v>46360</v>
      </c>
      <c r="P586" s="30">
        <f>IF(F586&lt;&gt;"","✅ 완료",IF(O586="","-",IF(TODAY()&gt;O586,"🚨 지연","⏳ 예정")))</f>
        <v/>
      </c>
      <c r="Q586" s="7" t="n"/>
      <c r="R586" s="7" t="n"/>
      <c r="S586" s="7" t="n"/>
      <c r="T586" s="7" t="n"/>
      <c r="U586" s="7" t="n"/>
      <c r="V586" s="7" t="n"/>
      <c r="W586" s="7" t="n"/>
      <c r="X586" s="7" t="n"/>
    </row>
    <row r="587" ht="21.75" customHeight="1" s="209">
      <c r="A587" s="28" t="n">
        <v>584</v>
      </c>
      <c r="B587" s="28" t="inlineStr">
        <is>
          <t>4701</t>
        </is>
      </c>
      <c r="C587" s="30" t="inlineStr">
        <is>
          <t>D5</t>
        </is>
      </c>
      <c r="D587" s="32" t="inlineStr">
        <is>
          <t>경시대회 매니저의 고민</t>
        </is>
      </c>
      <c r="E587" s="28" t="inlineStr">
        <is>
          <t>동적계획법 (DP) / 그래프</t>
        </is>
      </c>
      <c r="F587" s="28" t="n"/>
      <c r="G587" s="28" t="n"/>
      <c r="H587" s="28" t="n"/>
      <c r="I587" s="28" t="n"/>
      <c r="J587" s="54">
        <f>IF(OR(ISNUMBER(SEARCH("보류",K587)),ISNUMBER(SEARCH("미룸",K587)),ISNUMBER(SEARCH("나중에",K587)),ISNUMBER(SEARCH("보류",L587)),ISNUMBER(SEARCH("미룸",L587)),ISNUMBER(SEARCH("나중에",L587))),"보류(나중에 풀기)",IF(AND(F587="",G587="",H587="",I587=""),"미완료",IF(I587&lt;&gt;"","복습3(마스터)",IF(H587&lt;&gt;"","복습2",IF(G587&lt;&gt;"","복습1",IF(ISNUMBER(SEARCH("제미나이",K587)),"복습대기(AI도움)",IF(ISNUMBER(SEARCH("간당간당",K587)),"복습대기(간당간당)",IF(OR(ISNUMBER(SEARCH("아이디어",K587)),ISNUMBER(SEARCH("시간초과",K587)),ISNUMBER(SEARCH("자료구조",K587)),ISNUMBER(SEARCH("경계값",K587)),ISNUMBER(SEARCH("다른 풀이",K587)),ISNUMBER(SEARCH("또풀기",K587))),"복습대기",IF(OR(ISNUMBER(SEARCH("복습필요없음",K587)),ISNUMBER(SEARCH("자력완벽",K587))),"품(복습불필요)",IF(F587&lt;&gt;"","품","미완료"))))))))))</f>
        <v/>
      </c>
      <c r="K587" s="32" t="inlineStr">
        <is>
          <t>-</t>
        </is>
      </c>
      <c r="L587" s="32" t="n"/>
      <c r="M587" s="28">
        <f>IF(OR(LEFT(J587,2)="보류", LEFT(J587,4)="복습대기", LEFT(J587,3)="복습1", LEFT(J587,3)="복습2"), MAX($M$3:M586)+1, "")</f>
        <v/>
      </c>
      <c r="N587" s="28" t="inlineStr">
        <is>
          <t>W15</t>
        </is>
      </c>
      <c r="O587" s="36" t="n">
        <v>46360</v>
      </c>
      <c r="P587" s="30">
        <f>IF(F587&lt;&gt;"","✅ 완료",IF(O587="","-",IF(TODAY()&gt;O587,"🚨 지연","⏳ 예정")))</f>
        <v/>
      </c>
      <c r="Q587" s="7" t="n"/>
      <c r="R587" s="7" t="n"/>
      <c r="S587" s="7" t="n"/>
      <c r="T587" s="7" t="n"/>
      <c r="U587" s="7" t="n"/>
      <c r="V587" s="7" t="n"/>
      <c r="W587" s="7" t="n"/>
      <c r="X587" s="7" t="n"/>
    </row>
    <row r="588" ht="21.75" customHeight="1" s="209">
      <c r="A588" s="28" t="n">
        <v>585</v>
      </c>
      <c r="B588" s="28" t="inlineStr">
        <is>
          <t>4740</t>
        </is>
      </c>
      <c r="C588" s="30" t="inlineStr">
        <is>
          <t>D5</t>
        </is>
      </c>
      <c r="D588" s="32" t="inlineStr">
        <is>
          <t>밍이의 블록게임</t>
        </is>
      </c>
      <c r="E588" s="28" t="inlineStr">
        <is>
          <t>시뮬레이션 / 구현</t>
        </is>
      </c>
      <c r="F588" s="28" t="n"/>
      <c r="G588" s="28" t="n"/>
      <c r="H588" s="28" t="n"/>
      <c r="I588" s="28" t="n"/>
      <c r="J588" s="54">
        <f>IF(OR(ISNUMBER(SEARCH("보류",K588)),ISNUMBER(SEARCH("미룸",K588)),ISNUMBER(SEARCH("나중에",K588)),ISNUMBER(SEARCH("보류",L588)),ISNUMBER(SEARCH("미룸",L588)),ISNUMBER(SEARCH("나중에",L588))),"보류(나중에 풀기)",IF(AND(F588="",G588="",H588="",I588=""),"미완료",IF(I588&lt;&gt;"","복습3(마스터)",IF(H588&lt;&gt;"","복습2",IF(G588&lt;&gt;"","복습1",IF(ISNUMBER(SEARCH("제미나이",K588)),"복습대기(AI도움)",IF(ISNUMBER(SEARCH("간당간당",K588)),"복습대기(간당간당)",IF(OR(ISNUMBER(SEARCH("아이디어",K588)),ISNUMBER(SEARCH("시간초과",K588)),ISNUMBER(SEARCH("자료구조",K588)),ISNUMBER(SEARCH("경계값",K588)),ISNUMBER(SEARCH("다른 풀이",K588)),ISNUMBER(SEARCH("또풀기",K588))),"복습대기",IF(OR(ISNUMBER(SEARCH("복습필요없음",K588)),ISNUMBER(SEARCH("자력완벽",K588))),"품(복습불필요)",IF(F588&lt;&gt;"","품","미완료"))))))))))</f>
        <v/>
      </c>
      <c r="K588" s="32" t="inlineStr">
        <is>
          <t>-</t>
        </is>
      </c>
      <c r="L588" s="32" t="n"/>
      <c r="M588" s="28">
        <f>IF(OR(LEFT(J588,2)="보류", LEFT(J588,4)="복습대기", LEFT(J588,3)="복습1", LEFT(J588,3)="복습2"), MAX($M$3:M587)+1, "")</f>
        <v/>
      </c>
      <c r="N588" s="28" t="inlineStr">
        <is>
          <t>W15</t>
        </is>
      </c>
      <c r="O588" s="36" t="n">
        <v>46360</v>
      </c>
      <c r="P588" s="30">
        <f>IF(F588&lt;&gt;"","✅ 완료",IF(O588="","-",IF(TODAY()&gt;O588,"🚨 지연","⏳ 예정")))</f>
        <v/>
      </c>
      <c r="Q588" s="7" t="n"/>
      <c r="R588" s="7" t="n"/>
      <c r="S588" s="7" t="n"/>
      <c r="T588" s="7" t="n"/>
      <c r="U588" s="7" t="n"/>
      <c r="V588" s="7" t="n"/>
      <c r="W588" s="7" t="n"/>
      <c r="X588" s="7" t="n"/>
    </row>
    <row r="589" ht="21.75" customHeight="1" s="209">
      <c r="A589" s="28" t="n">
        <v>586</v>
      </c>
      <c r="B589" s="28" t="inlineStr">
        <is>
          <t>5170</t>
        </is>
      </c>
      <c r="C589" s="30" t="inlineStr">
        <is>
          <t>D5</t>
        </is>
      </c>
      <c r="D589" s="32" t="inlineStr">
        <is>
          <t>상원이의 직선 긋기 게임</t>
        </is>
      </c>
      <c r="E589" s="28" t="inlineStr">
        <is>
          <t>시뮬레이션 / 구현</t>
        </is>
      </c>
      <c r="F589" s="28" t="n"/>
      <c r="G589" s="28" t="n"/>
      <c r="H589" s="28" t="n"/>
      <c r="I589" s="28" t="n"/>
      <c r="J589" s="54">
        <f>IF(OR(ISNUMBER(SEARCH("보류",K589)),ISNUMBER(SEARCH("미룸",K589)),ISNUMBER(SEARCH("나중에",K589)),ISNUMBER(SEARCH("보류",L589)),ISNUMBER(SEARCH("미룸",L589)),ISNUMBER(SEARCH("나중에",L589))),"보류(나중에 풀기)",IF(AND(F589="",G589="",H589="",I589=""),"미완료",IF(I589&lt;&gt;"","복습3(마스터)",IF(H589&lt;&gt;"","복습2",IF(G589&lt;&gt;"","복습1",IF(ISNUMBER(SEARCH("제미나이",K589)),"복습대기(AI도움)",IF(ISNUMBER(SEARCH("간당간당",K589)),"복습대기(간당간당)",IF(OR(ISNUMBER(SEARCH("아이디어",K589)),ISNUMBER(SEARCH("시간초과",K589)),ISNUMBER(SEARCH("자료구조",K589)),ISNUMBER(SEARCH("경계값",K589)),ISNUMBER(SEARCH("다른 풀이",K589)),ISNUMBER(SEARCH("또풀기",K589))),"복습대기",IF(OR(ISNUMBER(SEARCH("복습필요없음",K589)),ISNUMBER(SEARCH("자력완벽",K589))),"품(복습불필요)",IF(F589&lt;&gt;"","품","미완료"))))))))))</f>
        <v/>
      </c>
      <c r="K589" s="32" t="inlineStr">
        <is>
          <t>-</t>
        </is>
      </c>
      <c r="L589" s="32" t="n"/>
      <c r="M589" s="28">
        <f>IF(OR(LEFT(J589,2)="보류", LEFT(J589,4)="복습대기", LEFT(J589,3)="복습1", LEFT(J589,3)="복습2"), MAX($M$3:M588)+1, "")</f>
        <v/>
      </c>
      <c r="N589" s="28" t="inlineStr">
        <is>
          <t>W15</t>
        </is>
      </c>
      <c r="O589" s="36" t="n">
        <v>46361</v>
      </c>
      <c r="P589" s="30">
        <f>IF(F589&lt;&gt;"","✅ 완료",IF(O589="","-",IF(TODAY()&gt;O589,"🚨 지연","⏳ 예정")))</f>
        <v/>
      </c>
      <c r="Q589" s="7" t="n"/>
      <c r="R589" s="7" t="n"/>
      <c r="S589" s="7" t="n"/>
      <c r="T589" s="7" t="n"/>
      <c r="U589" s="7" t="n"/>
      <c r="V589" s="7" t="n"/>
      <c r="W589" s="7" t="n"/>
      <c r="X589" s="7" t="n"/>
    </row>
    <row r="590" ht="21.75" customHeight="1" s="209">
      <c r="A590" s="28" t="n">
        <v>587</v>
      </c>
      <c r="B590" s="28" t="inlineStr">
        <is>
          <t>5295</t>
        </is>
      </c>
      <c r="C590" s="30" t="inlineStr">
        <is>
          <t>D5</t>
        </is>
      </c>
      <c r="D590" s="32" t="inlineStr">
        <is>
          <t>흘러라 시간! 딴 짓 하기</t>
        </is>
      </c>
      <c r="E590" s="28" t="inlineStr">
        <is>
          <t>동적계획법 (DP) / 그래프</t>
        </is>
      </c>
      <c r="F590" s="28" t="n"/>
      <c r="G590" s="28" t="n"/>
      <c r="H590" s="28" t="n"/>
      <c r="I590" s="28" t="n"/>
      <c r="J590" s="54">
        <f>IF(OR(ISNUMBER(SEARCH("보류",K590)),ISNUMBER(SEARCH("미룸",K590)),ISNUMBER(SEARCH("나중에",K590)),ISNUMBER(SEARCH("보류",L590)),ISNUMBER(SEARCH("미룸",L590)),ISNUMBER(SEARCH("나중에",L590))),"보류(나중에 풀기)",IF(AND(F590="",G590="",H590="",I590=""),"미완료",IF(I590&lt;&gt;"","복습3(마스터)",IF(H590&lt;&gt;"","복습2",IF(G590&lt;&gt;"","복습1",IF(ISNUMBER(SEARCH("제미나이",K590)),"복습대기(AI도움)",IF(ISNUMBER(SEARCH("간당간당",K590)),"복습대기(간당간당)",IF(OR(ISNUMBER(SEARCH("아이디어",K590)),ISNUMBER(SEARCH("시간초과",K590)),ISNUMBER(SEARCH("자료구조",K590)),ISNUMBER(SEARCH("경계값",K590)),ISNUMBER(SEARCH("다른 풀이",K590)),ISNUMBER(SEARCH("또풀기",K590))),"복습대기",IF(OR(ISNUMBER(SEARCH("복습필요없음",K590)),ISNUMBER(SEARCH("자력완벽",K590))),"품(복습불필요)",IF(F590&lt;&gt;"","품","미완료"))))))))))</f>
        <v/>
      </c>
      <c r="K590" s="32" t="inlineStr">
        <is>
          <t>-</t>
        </is>
      </c>
      <c r="L590" s="32" t="n"/>
      <c r="M590" s="28">
        <f>IF(OR(LEFT(J590,2)="보류", LEFT(J590,4)="복습대기", LEFT(J590,3)="복습1", LEFT(J590,3)="복습2"), MAX($M$3:M589)+1, "")</f>
        <v/>
      </c>
      <c r="N590" s="28" t="inlineStr">
        <is>
          <t>W15</t>
        </is>
      </c>
      <c r="O590" s="36" t="n">
        <v>46361</v>
      </c>
      <c r="P590" s="30">
        <f>IF(F590&lt;&gt;"","✅ 완료",IF(O590="","-",IF(TODAY()&gt;O590,"🚨 지연","⏳ 예정")))</f>
        <v/>
      </c>
      <c r="Q590" s="7" t="n"/>
      <c r="R590" s="7" t="n"/>
      <c r="S590" s="7" t="n"/>
      <c r="T590" s="7" t="n"/>
      <c r="U590" s="7" t="n"/>
      <c r="V590" s="7" t="n"/>
      <c r="W590" s="7" t="n"/>
      <c r="X590" s="7" t="n"/>
    </row>
    <row r="591" ht="21.75" customHeight="1" s="209">
      <c r="A591" s="28" t="n">
        <v>588</v>
      </c>
      <c r="B591" s="28" t="inlineStr">
        <is>
          <t>5357</t>
        </is>
      </c>
      <c r="C591" s="30" t="inlineStr">
        <is>
          <t>D5</t>
        </is>
      </c>
      <c r="D591" s="32" t="inlineStr">
        <is>
          <t>터널 속의 기차</t>
        </is>
      </c>
      <c r="E591" s="28" t="inlineStr">
        <is>
          <t>동적계획법 (DP) / 그래프</t>
        </is>
      </c>
      <c r="F591" s="28" t="n"/>
      <c r="G591" s="28" t="n"/>
      <c r="H591" s="28" t="n"/>
      <c r="I591" s="28" t="n"/>
      <c r="J591" s="54">
        <f>IF(OR(ISNUMBER(SEARCH("보류",K591)),ISNUMBER(SEARCH("미룸",K591)),ISNUMBER(SEARCH("나중에",K591)),ISNUMBER(SEARCH("보류",L591)),ISNUMBER(SEARCH("미룸",L591)),ISNUMBER(SEARCH("나중에",L591))),"보류(나중에 풀기)",IF(AND(F591="",G591="",H591="",I591=""),"미완료",IF(I591&lt;&gt;"","복습3(마스터)",IF(H591&lt;&gt;"","복습2",IF(G591&lt;&gt;"","복습1",IF(ISNUMBER(SEARCH("제미나이",K591)),"복습대기(AI도움)",IF(ISNUMBER(SEARCH("간당간당",K591)),"복습대기(간당간당)",IF(OR(ISNUMBER(SEARCH("아이디어",K591)),ISNUMBER(SEARCH("시간초과",K591)),ISNUMBER(SEARCH("자료구조",K591)),ISNUMBER(SEARCH("경계값",K591)),ISNUMBER(SEARCH("다른 풀이",K591)),ISNUMBER(SEARCH("또풀기",K591))),"복습대기",IF(OR(ISNUMBER(SEARCH("복습필요없음",K591)),ISNUMBER(SEARCH("자력완벽",K591))),"품(복습불필요)",IF(F591&lt;&gt;"","품","미완료"))))))))))</f>
        <v/>
      </c>
      <c r="K591" s="32" t="inlineStr">
        <is>
          <t>-</t>
        </is>
      </c>
      <c r="L591" s="32" t="n"/>
      <c r="M591" s="28">
        <f>IF(OR(LEFT(J591,2)="보류", LEFT(J591,4)="복습대기", LEFT(J591,3)="복습1", LEFT(J591,3)="복습2"), MAX($M$3:M590)+1, "")</f>
        <v/>
      </c>
      <c r="N591" s="28" t="inlineStr">
        <is>
          <t>W15</t>
        </is>
      </c>
      <c r="O591" s="36" t="n">
        <v>46361</v>
      </c>
      <c r="P591" s="30">
        <f>IF(F591&lt;&gt;"","✅ 완료",IF(O591="","-",IF(TODAY()&gt;O591,"🚨 지연","⏳ 예정")))</f>
        <v/>
      </c>
      <c r="Q591" s="7" t="n"/>
      <c r="R591" s="7" t="n"/>
      <c r="S591" s="7" t="n"/>
      <c r="T591" s="7" t="n"/>
      <c r="U591" s="7" t="n"/>
      <c r="V591" s="7" t="n"/>
      <c r="W591" s="7" t="n"/>
      <c r="X591" s="7" t="n"/>
    </row>
    <row r="592" ht="21.75" customHeight="1" s="209">
      <c r="A592" s="28" t="n">
        <v>589</v>
      </c>
      <c r="B592" s="28" t="inlineStr">
        <is>
          <t>5670</t>
        </is>
      </c>
      <c r="C592" s="30" t="inlineStr">
        <is>
          <t>D5</t>
        </is>
      </c>
      <c r="D592" s="32" t="inlineStr">
        <is>
          <t>[Professional] 울타리</t>
        </is>
      </c>
      <c r="E592" s="28" t="inlineStr">
        <is>
          <t>동적계획법 (DP) / 그래프</t>
        </is>
      </c>
      <c r="F592" s="28" t="n"/>
      <c r="G592" s="28" t="n"/>
      <c r="H592" s="28" t="n"/>
      <c r="I592" s="28" t="n"/>
      <c r="J592" s="54">
        <f>IF(OR(ISNUMBER(SEARCH("보류",K592)),ISNUMBER(SEARCH("미룸",K592)),ISNUMBER(SEARCH("나중에",K592)),ISNUMBER(SEARCH("보류",L592)),ISNUMBER(SEARCH("미룸",L592)),ISNUMBER(SEARCH("나중에",L592))),"보류(나중에 풀기)",IF(AND(F592="",G592="",H592="",I592=""),"미완료",IF(I592&lt;&gt;"","복습3(마스터)",IF(H592&lt;&gt;"","복습2",IF(G592&lt;&gt;"","복습1",IF(ISNUMBER(SEARCH("제미나이",K592)),"복습대기(AI도움)",IF(ISNUMBER(SEARCH("간당간당",K592)),"복습대기(간당간당)",IF(OR(ISNUMBER(SEARCH("아이디어",K592)),ISNUMBER(SEARCH("시간초과",K592)),ISNUMBER(SEARCH("자료구조",K592)),ISNUMBER(SEARCH("경계값",K592)),ISNUMBER(SEARCH("다른 풀이",K592)),ISNUMBER(SEARCH("또풀기",K592))),"복습대기",IF(OR(ISNUMBER(SEARCH("복습필요없음",K592)),ISNUMBER(SEARCH("자력완벽",K592))),"품(복습불필요)",IF(F592&lt;&gt;"","품","미완료"))))))))))</f>
        <v/>
      </c>
      <c r="K592" s="32" t="inlineStr">
        <is>
          <t>-</t>
        </is>
      </c>
      <c r="L592" s="32" t="n"/>
      <c r="M592" s="28">
        <f>IF(OR(LEFT(J592,2)="보류", LEFT(J592,4)="복습대기", LEFT(J592,3)="복습1", LEFT(J592,3)="복습2"), MAX($M$3:M591)+1, "")</f>
        <v/>
      </c>
      <c r="N592" s="28" t="inlineStr">
        <is>
          <t>W15</t>
        </is>
      </c>
      <c r="O592" s="36" t="n">
        <v>46361</v>
      </c>
      <c r="P592" s="30">
        <f>IF(F592&lt;&gt;"","✅ 완료",IF(O592="","-",IF(TODAY()&gt;O592,"🚨 지연","⏳ 예정")))</f>
        <v/>
      </c>
      <c r="Q592" s="7" t="n"/>
      <c r="R592" s="7" t="n"/>
      <c r="S592" s="7" t="n"/>
      <c r="T592" s="7" t="n"/>
      <c r="U592" s="7" t="n"/>
      <c r="V592" s="7" t="n"/>
      <c r="W592" s="7" t="n"/>
      <c r="X592" s="7" t="n"/>
    </row>
    <row r="593" ht="21.75" customHeight="1" s="209">
      <c r="A593" s="28" t="n">
        <v>590</v>
      </c>
      <c r="B593" s="28" t="inlineStr">
        <is>
          <t>5685</t>
        </is>
      </c>
      <c r="C593" s="30" t="inlineStr">
        <is>
          <t>D5</t>
        </is>
      </c>
      <c r="D593" s="32" t="inlineStr">
        <is>
          <t>[Professional] 초등학생</t>
        </is>
      </c>
      <c r="E593" s="28" t="inlineStr">
        <is>
          <t>동적계획법 (DP) / 그래프</t>
        </is>
      </c>
      <c r="F593" s="28" t="n"/>
      <c r="G593" s="28" t="n"/>
      <c r="H593" s="28" t="n"/>
      <c r="I593" s="28" t="n"/>
      <c r="J593" s="54">
        <f>IF(OR(ISNUMBER(SEARCH("보류",K593)),ISNUMBER(SEARCH("미룸",K593)),ISNUMBER(SEARCH("나중에",K593)),ISNUMBER(SEARCH("보류",L593)),ISNUMBER(SEARCH("미룸",L593)),ISNUMBER(SEARCH("나중에",L593))),"보류(나중에 풀기)",IF(AND(F593="",G593="",H593="",I593=""),"미완료",IF(I593&lt;&gt;"","복습3(마스터)",IF(H593&lt;&gt;"","복습2",IF(G593&lt;&gt;"","복습1",IF(ISNUMBER(SEARCH("제미나이",K593)),"복습대기(AI도움)",IF(ISNUMBER(SEARCH("간당간당",K593)),"복습대기(간당간당)",IF(OR(ISNUMBER(SEARCH("아이디어",K593)),ISNUMBER(SEARCH("시간초과",K593)),ISNUMBER(SEARCH("자료구조",K593)),ISNUMBER(SEARCH("경계값",K593)),ISNUMBER(SEARCH("다른 풀이",K593)),ISNUMBER(SEARCH("또풀기",K593))),"복습대기",IF(OR(ISNUMBER(SEARCH("복습필요없음",K593)),ISNUMBER(SEARCH("자력완벽",K593))),"품(복습불필요)",IF(F593&lt;&gt;"","품","미완료"))))))))))</f>
        <v/>
      </c>
      <c r="K593" s="32" t="inlineStr">
        <is>
          <t>-</t>
        </is>
      </c>
      <c r="L593" s="32" t="n"/>
      <c r="M593" s="28">
        <f>IF(OR(LEFT(J593,2)="보류", LEFT(J593,4)="복습대기", LEFT(J593,3)="복습1", LEFT(J593,3)="복습2"), MAX($M$3:M592)+1, "")</f>
        <v/>
      </c>
      <c r="N593" s="28" t="inlineStr">
        <is>
          <t>W15</t>
        </is>
      </c>
      <c r="O593" s="36" t="n">
        <v>46361</v>
      </c>
      <c r="P593" s="30">
        <f>IF(F593&lt;&gt;"","✅ 완료",IF(O593="","-",IF(TODAY()&gt;O593,"🚨 지연","⏳ 예정")))</f>
        <v/>
      </c>
      <c r="Q593" s="7" t="n"/>
      <c r="R593" s="7" t="n"/>
      <c r="S593" s="7" t="n"/>
      <c r="T593" s="7" t="n"/>
      <c r="U593" s="7" t="n"/>
      <c r="V593" s="7" t="n"/>
      <c r="W593" s="7" t="n"/>
      <c r="X593" s="7" t="n"/>
    </row>
    <row r="594" ht="21.75" customHeight="1" s="209">
      <c r="A594" s="28" t="n">
        <v>591</v>
      </c>
      <c r="B594" s="28" t="inlineStr">
        <is>
          <t>5690</t>
        </is>
      </c>
      <c r="C594" s="30" t="inlineStr">
        <is>
          <t>D5</t>
        </is>
      </c>
      <c r="D594" s="32" t="inlineStr">
        <is>
          <t>혜리의 숫자 나누기</t>
        </is>
      </c>
      <c r="E594" s="28" t="inlineStr">
        <is>
          <t>동적계획법 (DP) / 그래프</t>
        </is>
      </c>
      <c r="F594" s="28" t="n"/>
      <c r="G594" s="28" t="n"/>
      <c r="H594" s="28" t="n"/>
      <c r="I594" s="28" t="n"/>
      <c r="J594" s="54">
        <f>IF(OR(ISNUMBER(SEARCH("보류",K594)),ISNUMBER(SEARCH("미룸",K594)),ISNUMBER(SEARCH("나중에",K594)),ISNUMBER(SEARCH("보류",L594)),ISNUMBER(SEARCH("미룸",L594)),ISNUMBER(SEARCH("나중에",L594))),"보류(나중에 풀기)",IF(AND(F594="",G594="",H594="",I594=""),"미완료",IF(I594&lt;&gt;"","복습3(마스터)",IF(H594&lt;&gt;"","복습2",IF(G594&lt;&gt;"","복습1",IF(ISNUMBER(SEARCH("제미나이",K594)),"복습대기(AI도움)",IF(ISNUMBER(SEARCH("간당간당",K594)),"복습대기(간당간당)",IF(OR(ISNUMBER(SEARCH("아이디어",K594)),ISNUMBER(SEARCH("시간초과",K594)),ISNUMBER(SEARCH("자료구조",K594)),ISNUMBER(SEARCH("경계값",K594)),ISNUMBER(SEARCH("다른 풀이",K594)),ISNUMBER(SEARCH("또풀기",K594))),"복습대기",IF(OR(ISNUMBER(SEARCH("복습필요없음",K594)),ISNUMBER(SEARCH("자력완벽",K594))),"품(복습불필요)",IF(F594&lt;&gt;"","품","미완료"))))))))))</f>
        <v/>
      </c>
      <c r="K594" s="32" t="inlineStr">
        <is>
          <t>-</t>
        </is>
      </c>
      <c r="L594" s="32" t="n"/>
      <c r="M594" s="28">
        <f>IF(OR(LEFT(J594,2)="보류", LEFT(J594,4)="복습대기", LEFT(J594,3)="복습1", LEFT(J594,3)="복습2"), MAX($M$3:M593)+1, "")</f>
        <v/>
      </c>
      <c r="N594" s="28" t="inlineStr">
        <is>
          <t>W15</t>
        </is>
      </c>
      <c r="O594" s="36" t="n">
        <v>46361</v>
      </c>
      <c r="P594" s="30">
        <f>IF(F594&lt;&gt;"","✅ 완료",IF(O594="","-",IF(TODAY()&gt;O594,"🚨 지연","⏳ 예정")))</f>
        <v/>
      </c>
      <c r="Q594" s="7" t="n"/>
      <c r="R594" s="7" t="n"/>
      <c r="S594" s="7" t="n"/>
      <c r="T594" s="7" t="n"/>
      <c r="U594" s="7" t="n"/>
      <c r="V594" s="7" t="n"/>
      <c r="W594" s="7" t="n"/>
      <c r="X594" s="7" t="n"/>
    </row>
    <row r="595" ht="21.75" customHeight="1" s="209">
      <c r="A595" s="28" t="n">
        <v>592</v>
      </c>
      <c r="B595" s="28" t="inlineStr">
        <is>
          <t>5785</t>
        </is>
      </c>
      <c r="C595" s="30" t="inlineStr">
        <is>
          <t>D5</t>
        </is>
      </c>
      <c r="D595" s="32" t="inlineStr">
        <is>
          <t>살아남는 투자가는 누구일까</t>
        </is>
      </c>
      <c r="E595" s="28" t="inlineStr">
        <is>
          <t>동적계획법 (DP) / 그래프</t>
        </is>
      </c>
      <c r="F595" s="28" t="n"/>
      <c r="G595" s="28" t="n"/>
      <c r="H595" s="28" t="n"/>
      <c r="I595" s="28" t="n"/>
      <c r="J595" s="54">
        <f>IF(OR(ISNUMBER(SEARCH("보류",K595)),ISNUMBER(SEARCH("미룸",K595)),ISNUMBER(SEARCH("나중에",K595)),ISNUMBER(SEARCH("보류",L595)),ISNUMBER(SEARCH("미룸",L595)),ISNUMBER(SEARCH("나중에",L595))),"보류(나중에 풀기)",IF(AND(F595="",G595="",H595="",I595=""),"미완료",IF(I595&lt;&gt;"","복습3(마스터)",IF(H595&lt;&gt;"","복습2",IF(G595&lt;&gt;"","복습1",IF(ISNUMBER(SEARCH("제미나이",K595)),"복습대기(AI도움)",IF(ISNUMBER(SEARCH("간당간당",K595)),"복습대기(간당간당)",IF(OR(ISNUMBER(SEARCH("아이디어",K595)),ISNUMBER(SEARCH("시간초과",K595)),ISNUMBER(SEARCH("자료구조",K595)),ISNUMBER(SEARCH("경계값",K595)),ISNUMBER(SEARCH("다른 풀이",K595)),ISNUMBER(SEARCH("또풀기",K595))),"복습대기",IF(OR(ISNUMBER(SEARCH("복습필요없음",K595)),ISNUMBER(SEARCH("자력완벽",K595))),"품(복습불필요)",IF(F595&lt;&gt;"","품","미완료"))))))))))</f>
        <v/>
      </c>
      <c r="K595" s="32" t="inlineStr">
        <is>
          <t>-</t>
        </is>
      </c>
      <c r="L595" s="32" t="n"/>
      <c r="M595" s="28">
        <f>IF(OR(LEFT(J595,2)="보류", LEFT(J595,4)="복습대기", LEFT(J595,3)="복습1", LEFT(J595,3)="복습2"), MAX($M$3:M594)+1, "")</f>
        <v/>
      </c>
      <c r="N595" s="28" t="inlineStr">
        <is>
          <t>W15</t>
        </is>
      </c>
      <c r="O595" s="36" t="n">
        <v>46361</v>
      </c>
      <c r="P595" s="30">
        <f>IF(F595&lt;&gt;"","✅ 완료",IF(O595="","-",IF(TODAY()&gt;O595,"🚨 지연","⏳ 예정")))</f>
        <v/>
      </c>
      <c r="Q595" s="7" t="n"/>
      <c r="R595" s="7" t="n"/>
      <c r="S595" s="7" t="n"/>
      <c r="T595" s="7" t="n"/>
      <c r="U595" s="7" t="n"/>
      <c r="V595" s="7" t="n"/>
      <c r="W595" s="7" t="n"/>
      <c r="X595" s="7" t="n"/>
    </row>
    <row r="596" ht="21.75" customHeight="1" s="209">
      <c r="A596" s="28" t="n">
        <v>593</v>
      </c>
      <c r="B596" s="28" t="inlineStr">
        <is>
          <t>5949</t>
        </is>
      </c>
      <c r="C596" s="30" t="inlineStr">
        <is>
          <t>D5</t>
        </is>
      </c>
      <c r="D596" s="32" t="inlineStr">
        <is>
          <t>문자열 변경하기</t>
        </is>
      </c>
      <c r="E596" s="28" t="inlineStr">
        <is>
          <t>문자열 / 파싱</t>
        </is>
      </c>
      <c r="F596" s="28" t="n"/>
      <c r="G596" s="28" t="n"/>
      <c r="H596" s="28" t="n"/>
      <c r="I596" s="28" t="n"/>
      <c r="J596" s="54">
        <f>IF(OR(ISNUMBER(SEARCH("보류",K596)),ISNUMBER(SEARCH("미룸",K596)),ISNUMBER(SEARCH("나중에",K596)),ISNUMBER(SEARCH("보류",L596)),ISNUMBER(SEARCH("미룸",L596)),ISNUMBER(SEARCH("나중에",L596))),"보류(나중에 풀기)",IF(AND(F596="",G596="",H596="",I596=""),"미완료",IF(I596&lt;&gt;"","복습3(마스터)",IF(H596&lt;&gt;"","복습2",IF(G596&lt;&gt;"","복습1",IF(ISNUMBER(SEARCH("제미나이",K596)),"복습대기(AI도움)",IF(ISNUMBER(SEARCH("간당간당",K596)),"복습대기(간당간당)",IF(OR(ISNUMBER(SEARCH("아이디어",K596)),ISNUMBER(SEARCH("시간초과",K596)),ISNUMBER(SEARCH("자료구조",K596)),ISNUMBER(SEARCH("경계값",K596)),ISNUMBER(SEARCH("다른 풀이",K596)),ISNUMBER(SEARCH("또풀기",K596))),"복습대기",IF(OR(ISNUMBER(SEARCH("복습필요없음",K596)),ISNUMBER(SEARCH("자력완벽",K596))),"품(복습불필요)",IF(F596&lt;&gt;"","품","미완료"))))))))))</f>
        <v/>
      </c>
      <c r="K596" s="32" t="inlineStr">
        <is>
          <t>-</t>
        </is>
      </c>
      <c r="L596" s="32" t="n"/>
      <c r="M596" s="28">
        <f>IF(OR(LEFT(J596,2)="보류", LEFT(J596,4)="복습대기", LEFT(J596,3)="복습1", LEFT(J596,3)="복습2"), MAX($M$3:M595)+1, "")</f>
        <v/>
      </c>
      <c r="N596" s="28" t="inlineStr">
        <is>
          <t>W15</t>
        </is>
      </c>
      <c r="O596" s="36" t="n">
        <v>46362</v>
      </c>
      <c r="P596" s="30">
        <f>IF(F596&lt;&gt;"","✅ 완료",IF(O596="","-",IF(TODAY()&gt;O596,"🚨 지연","⏳ 예정")))</f>
        <v/>
      </c>
      <c r="Q596" s="7" t="n"/>
      <c r="R596" s="7" t="n"/>
      <c r="S596" s="7" t="n"/>
      <c r="T596" s="7" t="n"/>
      <c r="U596" s="7" t="n"/>
      <c r="V596" s="7" t="n"/>
      <c r="W596" s="7" t="n"/>
      <c r="X596" s="7" t="n"/>
    </row>
    <row r="597" ht="21.75" customHeight="1" s="209">
      <c r="A597" s="28" t="n">
        <v>594</v>
      </c>
      <c r="B597" s="28" t="inlineStr">
        <is>
          <t>5953</t>
        </is>
      </c>
      <c r="C597" s="30" t="inlineStr">
        <is>
          <t>D5</t>
        </is>
      </c>
      <c r="D597" s="32" t="inlineStr">
        <is>
          <t>수의 새로운 비교 기준</t>
        </is>
      </c>
      <c r="E597" s="28" t="inlineStr">
        <is>
          <t>동적계획법 (DP) / 그래프</t>
        </is>
      </c>
      <c r="F597" s="28" t="n"/>
      <c r="G597" s="28" t="n"/>
      <c r="H597" s="28" t="n"/>
      <c r="I597" s="28" t="n"/>
      <c r="J597" s="54">
        <f>IF(OR(ISNUMBER(SEARCH("보류",K597)),ISNUMBER(SEARCH("미룸",K597)),ISNUMBER(SEARCH("나중에",K597)),ISNUMBER(SEARCH("보류",L597)),ISNUMBER(SEARCH("미룸",L597)),ISNUMBER(SEARCH("나중에",L597))),"보류(나중에 풀기)",IF(AND(F597="",G597="",H597="",I597=""),"미완료",IF(I597&lt;&gt;"","복습3(마스터)",IF(H597&lt;&gt;"","복습2",IF(G597&lt;&gt;"","복습1",IF(ISNUMBER(SEARCH("제미나이",K597)),"복습대기(AI도움)",IF(ISNUMBER(SEARCH("간당간당",K597)),"복습대기(간당간당)",IF(OR(ISNUMBER(SEARCH("아이디어",K597)),ISNUMBER(SEARCH("시간초과",K597)),ISNUMBER(SEARCH("자료구조",K597)),ISNUMBER(SEARCH("경계값",K597)),ISNUMBER(SEARCH("다른 풀이",K597)),ISNUMBER(SEARCH("또풀기",K597))),"복습대기",IF(OR(ISNUMBER(SEARCH("복습필요없음",K597)),ISNUMBER(SEARCH("자력완벽",K597))),"품(복습불필요)",IF(F597&lt;&gt;"","품","미완료"))))))))))</f>
        <v/>
      </c>
      <c r="K597" s="32" t="inlineStr">
        <is>
          <t>-</t>
        </is>
      </c>
      <c r="L597" s="32" t="n"/>
      <c r="M597" s="28">
        <f>IF(OR(LEFT(J597,2)="보류", LEFT(J597,4)="복습대기", LEFT(J597,3)="복습1", LEFT(J597,3)="복습2"), MAX($M$3:M596)+1, "")</f>
        <v/>
      </c>
      <c r="N597" s="28" t="inlineStr">
        <is>
          <t>W15</t>
        </is>
      </c>
      <c r="O597" s="36" t="n">
        <v>46362</v>
      </c>
      <c r="P597" s="30">
        <f>IF(F597&lt;&gt;"","✅ 완료",IF(O597="","-",IF(TODAY()&gt;O597,"🚨 지연","⏳ 예정")))</f>
        <v/>
      </c>
      <c r="Q597" s="7" t="n"/>
      <c r="R597" s="7" t="n"/>
      <c r="S597" s="7" t="n"/>
      <c r="T597" s="7" t="n"/>
      <c r="U597" s="7" t="n"/>
      <c r="V597" s="7" t="n"/>
      <c r="W597" s="7" t="n"/>
      <c r="X597" s="7" t="n"/>
    </row>
    <row r="598" ht="21.75" customHeight="1" s="209">
      <c r="A598" s="28" t="n">
        <v>595</v>
      </c>
      <c r="B598" s="28" t="inlineStr">
        <is>
          <t>6058</t>
        </is>
      </c>
      <c r="C598" s="30" t="inlineStr">
        <is>
          <t>D5</t>
        </is>
      </c>
      <c r="D598" s="32" t="inlineStr">
        <is>
          <t>새해 축하 파티</t>
        </is>
      </c>
      <c r="E598" s="28" t="inlineStr">
        <is>
          <t>동적계획법 (DP) / 그래프</t>
        </is>
      </c>
      <c r="F598" s="28" t="n"/>
      <c r="G598" s="28" t="n"/>
      <c r="H598" s="28" t="n"/>
      <c r="I598" s="28" t="n"/>
      <c r="J598" s="54">
        <f>IF(OR(ISNUMBER(SEARCH("보류",K598)),ISNUMBER(SEARCH("미룸",K598)),ISNUMBER(SEARCH("나중에",K598)),ISNUMBER(SEARCH("보류",L598)),ISNUMBER(SEARCH("미룸",L598)),ISNUMBER(SEARCH("나중에",L598))),"보류(나중에 풀기)",IF(AND(F598="",G598="",H598="",I598=""),"미완료",IF(I598&lt;&gt;"","복습3(마스터)",IF(H598&lt;&gt;"","복습2",IF(G598&lt;&gt;"","복습1",IF(ISNUMBER(SEARCH("제미나이",K598)),"복습대기(AI도움)",IF(ISNUMBER(SEARCH("간당간당",K598)),"복습대기(간당간당)",IF(OR(ISNUMBER(SEARCH("아이디어",K598)),ISNUMBER(SEARCH("시간초과",K598)),ISNUMBER(SEARCH("자료구조",K598)),ISNUMBER(SEARCH("경계값",K598)),ISNUMBER(SEARCH("다른 풀이",K598)),ISNUMBER(SEARCH("또풀기",K598))),"복습대기",IF(OR(ISNUMBER(SEARCH("복습필요없음",K598)),ISNUMBER(SEARCH("자력완벽",K598))),"품(복습불필요)",IF(F598&lt;&gt;"","품","미완료"))))))))))</f>
        <v/>
      </c>
      <c r="K598" s="32" t="inlineStr">
        <is>
          <t>-</t>
        </is>
      </c>
      <c r="L598" s="32" t="n"/>
      <c r="M598" s="28">
        <f>IF(OR(LEFT(J598,2)="보류", LEFT(J598,4)="복습대기", LEFT(J598,3)="복습1", LEFT(J598,3)="복습2"), MAX($M$3:M597)+1, "")</f>
        <v/>
      </c>
      <c r="N598" s="28" t="inlineStr">
        <is>
          <t>W15</t>
        </is>
      </c>
      <c r="O598" s="36" t="n">
        <v>46362</v>
      </c>
      <c r="P598" s="30">
        <f>IF(F598&lt;&gt;"","✅ 완료",IF(O598="","-",IF(TODAY()&gt;O598,"🚨 지연","⏳ 예정")))</f>
        <v/>
      </c>
      <c r="Q598" s="7" t="n"/>
      <c r="R598" s="7" t="n"/>
      <c r="S598" s="7" t="n"/>
      <c r="T598" s="7" t="n"/>
      <c r="U598" s="7" t="n"/>
      <c r="V598" s="7" t="n"/>
      <c r="W598" s="7" t="n"/>
      <c r="X598" s="7" t="n"/>
    </row>
    <row r="599" ht="21.75" customHeight="1" s="209">
      <c r="A599" s="28" t="n">
        <v>596</v>
      </c>
      <c r="B599" s="28" t="inlineStr">
        <is>
          <t>6111</t>
        </is>
      </c>
      <c r="C599" s="30" t="inlineStr">
        <is>
          <t>D5</t>
        </is>
      </c>
      <c r="D599" s="32" t="inlineStr">
        <is>
          <t>태양이의 등차 삭제</t>
        </is>
      </c>
      <c r="E599" s="28" t="inlineStr">
        <is>
          <t>동적계획법 (DP) / 그래프</t>
        </is>
      </c>
      <c r="F599" s="28" t="n"/>
      <c r="G599" s="28" t="n"/>
      <c r="H599" s="28" t="n"/>
      <c r="I599" s="28" t="n"/>
      <c r="J599" s="54">
        <f>IF(OR(ISNUMBER(SEARCH("보류",K599)),ISNUMBER(SEARCH("미룸",K599)),ISNUMBER(SEARCH("나중에",K599)),ISNUMBER(SEARCH("보류",L599)),ISNUMBER(SEARCH("미룸",L599)),ISNUMBER(SEARCH("나중에",L599))),"보류(나중에 풀기)",IF(AND(F599="",G599="",H599="",I599=""),"미완료",IF(I599&lt;&gt;"","복습3(마스터)",IF(H599&lt;&gt;"","복습2",IF(G599&lt;&gt;"","복습1",IF(ISNUMBER(SEARCH("제미나이",K599)),"복습대기(AI도움)",IF(ISNUMBER(SEARCH("간당간당",K599)),"복습대기(간당간당)",IF(OR(ISNUMBER(SEARCH("아이디어",K599)),ISNUMBER(SEARCH("시간초과",K599)),ISNUMBER(SEARCH("자료구조",K599)),ISNUMBER(SEARCH("경계값",K599)),ISNUMBER(SEARCH("다른 풀이",K599)),ISNUMBER(SEARCH("또풀기",K599))),"복습대기",IF(OR(ISNUMBER(SEARCH("복습필요없음",K599)),ISNUMBER(SEARCH("자력완벽",K599))),"품(복습불필요)",IF(F599&lt;&gt;"","품","미완료"))))))))))</f>
        <v/>
      </c>
      <c r="K599" s="32" t="inlineStr">
        <is>
          <t>-</t>
        </is>
      </c>
      <c r="L599" s="32" t="n"/>
      <c r="M599" s="28">
        <f>IF(OR(LEFT(J599,2)="보류", LEFT(J599,4)="복습대기", LEFT(J599,3)="복습1", LEFT(J599,3)="복습2"), MAX($M$3:M598)+1, "")</f>
        <v/>
      </c>
      <c r="N599" s="28" t="inlineStr">
        <is>
          <t>W15</t>
        </is>
      </c>
      <c r="O599" s="36" t="n">
        <v>46362</v>
      </c>
      <c r="P599" s="30">
        <f>IF(F599&lt;&gt;"","✅ 완료",IF(O599="","-",IF(TODAY()&gt;O599,"🚨 지연","⏳ 예정")))</f>
        <v/>
      </c>
      <c r="Q599" s="7" t="n"/>
      <c r="R599" s="7" t="n"/>
      <c r="S599" s="7" t="n"/>
      <c r="T599" s="7" t="n"/>
      <c r="U599" s="7" t="n"/>
      <c r="V599" s="7" t="n"/>
      <c r="W599" s="7" t="n"/>
      <c r="X599" s="7" t="n"/>
    </row>
    <row r="600" ht="21.75" customHeight="1" s="209">
      <c r="A600" s="28" t="n">
        <v>597</v>
      </c>
      <c r="B600" s="28" t="inlineStr">
        <is>
          <t>6191</t>
        </is>
      </c>
      <c r="C600" s="30" t="inlineStr">
        <is>
          <t>D5</t>
        </is>
      </c>
      <c r="D600" s="32" t="inlineStr">
        <is>
          <t>사전 순 괄호 문자열</t>
        </is>
      </c>
      <c r="E600" s="28" t="inlineStr">
        <is>
          <t>자료구조 (스택/큐/리스트)</t>
        </is>
      </c>
      <c r="F600" s="28" t="n"/>
      <c r="G600" s="28" t="n"/>
      <c r="H600" s="28" t="n"/>
      <c r="I600" s="28" t="n"/>
      <c r="J600" s="54">
        <f>IF(OR(ISNUMBER(SEARCH("보류",K600)),ISNUMBER(SEARCH("미룸",K600)),ISNUMBER(SEARCH("나중에",K600)),ISNUMBER(SEARCH("보류",L600)),ISNUMBER(SEARCH("미룸",L600)),ISNUMBER(SEARCH("나중에",L600))),"보류(나중에 풀기)",IF(AND(F600="",G600="",H600="",I600=""),"미완료",IF(I600&lt;&gt;"","복습3(마스터)",IF(H600&lt;&gt;"","복습2",IF(G600&lt;&gt;"","복습1",IF(ISNUMBER(SEARCH("제미나이",K600)),"복습대기(AI도움)",IF(ISNUMBER(SEARCH("간당간당",K600)),"복습대기(간당간당)",IF(OR(ISNUMBER(SEARCH("아이디어",K600)),ISNUMBER(SEARCH("시간초과",K600)),ISNUMBER(SEARCH("자료구조",K600)),ISNUMBER(SEARCH("경계값",K600)),ISNUMBER(SEARCH("다른 풀이",K600)),ISNUMBER(SEARCH("또풀기",K600))),"복습대기",IF(OR(ISNUMBER(SEARCH("복습필요없음",K600)),ISNUMBER(SEARCH("자력완벽",K600))),"품(복습불필요)",IF(F600&lt;&gt;"","품","미완료"))))))))))</f>
        <v/>
      </c>
      <c r="K600" s="32" t="inlineStr">
        <is>
          <t>-</t>
        </is>
      </c>
      <c r="L600" s="32" t="n"/>
      <c r="M600" s="28">
        <f>IF(OR(LEFT(J600,2)="보류", LEFT(J600,4)="복습대기", LEFT(J600,3)="복습1", LEFT(J600,3)="복습2"), MAX($M$3:M599)+1, "")</f>
        <v/>
      </c>
      <c r="N600" s="28" t="inlineStr">
        <is>
          <t>W15</t>
        </is>
      </c>
      <c r="O600" s="36" t="n">
        <v>46362</v>
      </c>
      <c r="P600" s="30">
        <f>IF(F600&lt;&gt;"","✅ 완료",IF(O600="","-",IF(TODAY()&gt;O600,"🚨 지연","⏳ 예정")))</f>
        <v/>
      </c>
      <c r="Q600" s="7" t="n"/>
      <c r="R600" s="7" t="n"/>
      <c r="S600" s="7" t="n"/>
      <c r="T600" s="7" t="n"/>
      <c r="U600" s="7" t="n"/>
      <c r="V600" s="7" t="n"/>
      <c r="W600" s="7" t="n"/>
      <c r="X600" s="7" t="n"/>
    </row>
    <row r="601" ht="21.75" customHeight="1" s="209">
      <c r="A601" s="28" t="n">
        <v>598</v>
      </c>
      <c r="B601" s="28" t="inlineStr">
        <is>
          <t>6484</t>
        </is>
      </c>
      <c r="C601" s="30" t="inlineStr">
        <is>
          <t>D5</t>
        </is>
      </c>
      <c r="D601" s="32" t="inlineStr">
        <is>
          <t>조합의 약수의 개수</t>
        </is>
      </c>
      <c r="E601" s="28" t="inlineStr">
        <is>
          <t>DFS / 백트래킹</t>
        </is>
      </c>
      <c r="F601" s="28" t="n"/>
      <c r="G601" s="28" t="n"/>
      <c r="H601" s="28" t="n"/>
      <c r="I601" s="28" t="n"/>
      <c r="J601" s="54">
        <f>IF(OR(ISNUMBER(SEARCH("보류",K601)),ISNUMBER(SEARCH("미룸",K601)),ISNUMBER(SEARCH("나중에",K601)),ISNUMBER(SEARCH("보류",L601)),ISNUMBER(SEARCH("미룸",L601)),ISNUMBER(SEARCH("나중에",L601))),"보류(나중에 풀기)",IF(AND(F601="",G601="",H601="",I601=""),"미완료",IF(I601&lt;&gt;"","복습3(마스터)",IF(H601&lt;&gt;"","복습2",IF(G601&lt;&gt;"","복습1",IF(ISNUMBER(SEARCH("제미나이",K601)),"복습대기(AI도움)",IF(ISNUMBER(SEARCH("간당간당",K601)),"복습대기(간당간당)",IF(OR(ISNUMBER(SEARCH("아이디어",K601)),ISNUMBER(SEARCH("시간초과",K601)),ISNUMBER(SEARCH("자료구조",K601)),ISNUMBER(SEARCH("경계값",K601)),ISNUMBER(SEARCH("다른 풀이",K601)),ISNUMBER(SEARCH("또풀기",K601))),"복습대기",IF(OR(ISNUMBER(SEARCH("복습필요없음",K601)),ISNUMBER(SEARCH("자력완벽",K601))),"품(복습불필요)",IF(F601&lt;&gt;"","품","미완료"))))))))))</f>
        <v/>
      </c>
      <c r="K601" s="32" t="inlineStr">
        <is>
          <t>-</t>
        </is>
      </c>
      <c r="L601" s="32" t="n"/>
      <c r="M601" s="28">
        <f>IF(OR(LEFT(J601,2)="보류", LEFT(J601,4)="복습대기", LEFT(J601,3)="복습1", LEFT(J601,3)="복습2"), MAX($M$3:M600)+1, "")</f>
        <v/>
      </c>
      <c r="N601" s="28" t="inlineStr">
        <is>
          <t>W15</t>
        </is>
      </c>
      <c r="O601" s="36" t="n">
        <v>46362</v>
      </c>
      <c r="P601" s="30">
        <f>IF(F601&lt;&gt;"","✅ 완료",IF(O601="","-",IF(TODAY()&gt;O601,"🚨 지연","⏳ 예정")))</f>
        <v/>
      </c>
      <c r="Q601" s="7" t="n"/>
      <c r="R601" s="7" t="n"/>
      <c r="S601" s="7" t="n"/>
      <c r="T601" s="7" t="n"/>
      <c r="U601" s="7" t="n"/>
      <c r="V601" s="7" t="n"/>
      <c r="W601" s="7" t="n"/>
      <c r="X601" s="7" t="n"/>
    </row>
    <row r="602" ht="21.75" customHeight="1" s="209">
      <c r="A602" s="28" t="n">
        <v>599</v>
      </c>
      <c r="B602" s="28" t="inlineStr">
        <is>
          <t>6697</t>
        </is>
      </c>
      <c r="C602" s="30" t="inlineStr">
        <is>
          <t>D5</t>
        </is>
      </c>
      <c r="D602" s="32" t="inlineStr">
        <is>
          <t>이현이의 괄호 문자열</t>
        </is>
      </c>
      <c r="E602" s="28" t="inlineStr">
        <is>
          <t>자료구조 (스택/큐/리스트)</t>
        </is>
      </c>
      <c r="F602" s="28" t="n"/>
      <c r="G602" s="28" t="n"/>
      <c r="H602" s="28" t="n"/>
      <c r="I602" s="28" t="n"/>
      <c r="J602" s="54">
        <f>IF(OR(ISNUMBER(SEARCH("보류",K602)),ISNUMBER(SEARCH("미룸",K602)),ISNUMBER(SEARCH("나중에",K602)),ISNUMBER(SEARCH("보류",L602)),ISNUMBER(SEARCH("미룸",L602)),ISNUMBER(SEARCH("나중에",L602))),"보류(나중에 풀기)",IF(AND(F602="",G602="",H602="",I602=""),"미완료",IF(I602&lt;&gt;"","복습3(마스터)",IF(H602&lt;&gt;"","복습2",IF(G602&lt;&gt;"","복습1",IF(ISNUMBER(SEARCH("제미나이",K602)),"복습대기(AI도움)",IF(ISNUMBER(SEARCH("간당간당",K602)),"복습대기(간당간당)",IF(OR(ISNUMBER(SEARCH("아이디어",K602)),ISNUMBER(SEARCH("시간초과",K602)),ISNUMBER(SEARCH("자료구조",K602)),ISNUMBER(SEARCH("경계값",K602)),ISNUMBER(SEARCH("다른 풀이",K602)),ISNUMBER(SEARCH("또풀기",K602))),"복습대기",IF(OR(ISNUMBER(SEARCH("복습필요없음",K602)),ISNUMBER(SEARCH("자력완벽",K602))),"품(복습불필요)",IF(F602&lt;&gt;"","품","미완료"))))))))))</f>
        <v/>
      </c>
      <c r="K602" s="32" t="inlineStr">
        <is>
          <t>-</t>
        </is>
      </c>
      <c r="L602" s="32" t="n"/>
      <c r="M602" s="28">
        <f>IF(OR(LEFT(J602,2)="보류", LEFT(J602,4)="복습대기", LEFT(J602,3)="복습1", LEFT(J602,3)="복습2"), MAX($M$3:M601)+1, "")</f>
        <v/>
      </c>
      <c r="N602" s="28" t="inlineStr">
        <is>
          <t>W15</t>
        </is>
      </c>
      <c r="O602" s="36" t="n">
        <v>46362</v>
      </c>
      <c r="P602" s="30">
        <f>IF(F602&lt;&gt;"","✅ 완료",IF(O602="","-",IF(TODAY()&gt;O602,"🚨 지연","⏳ 예정")))</f>
        <v/>
      </c>
      <c r="Q602" s="7" t="n"/>
      <c r="R602" s="7" t="n"/>
      <c r="S602" s="7" t="n"/>
      <c r="T602" s="7" t="n"/>
      <c r="U602" s="7" t="n"/>
      <c r="V602" s="7" t="n"/>
      <c r="W602" s="7" t="n"/>
      <c r="X602" s="7" t="n"/>
    </row>
    <row r="603" ht="21.75" customHeight="1" s="209">
      <c r="A603" s="28" t="n">
        <v>600</v>
      </c>
      <c r="B603" s="28" t="inlineStr">
        <is>
          <t>6732</t>
        </is>
      </c>
      <c r="C603" s="30" t="inlineStr">
        <is>
          <t>D5</t>
        </is>
      </c>
      <c r="D603" s="32" t="inlineStr">
        <is>
          <t>현주의 기차 여행</t>
        </is>
      </c>
      <c r="E603" s="28" t="inlineStr">
        <is>
          <t>동적계획법 (DP) / 그래프</t>
        </is>
      </c>
      <c r="F603" s="28" t="n"/>
      <c r="G603" s="28" t="n"/>
      <c r="H603" s="28" t="n"/>
      <c r="I603" s="28" t="n"/>
      <c r="J603" s="54">
        <f>IF(OR(ISNUMBER(SEARCH("보류",K603)),ISNUMBER(SEARCH("미룸",K603)),ISNUMBER(SEARCH("나중에",K603)),ISNUMBER(SEARCH("보류",L603)),ISNUMBER(SEARCH("미룸",L603)),ISNUMBER(SEARCH("나중에",L603))),"보류(나중에 풀기)",IF(AND(F603="",G603="",H603="",I603=""),"미완료",IF(I603&lt;&gt;"","복습3(마스터)",IF(H603&lt;&gt;"","복습2",IF(G603&lt;&gt;"","복습1",IF(ISNUMBER(SEARCH("제미나이",K603)),"복습대기(AI도움)",IF(ISNUMBER(SEARCH("간당간당",K603)),"복습대기(간당간당)",IF(OR(ISNUMBER(SEARCH("아이디어",K603)),ISNUMBER(SEARCH("시간초과",K603)),ISNUMBER(SEARCH("자료구조",K603)),ISNUMBER(SEARCH("경계값",K603)),ISNUMBER(SEARCH("다른 풀이",K603)),ISNUMBER(SEARCH("또풀기",K603))),"복습대기",IF(OR(ISNUMBER(SEARCH("복습필요없음",K603)),ISNUMBER(SEARCH("자력완벽",K603))),"품(복습불필요)",IF(F603&lt;&gt;"","품","미완료"))))))))))</f>
        <v/>
      </c>
      <c r="K603" s="32" t="inlineStr">
        <is>
          <t>-</t>
        </is>
      </c>
      <c r="L603" s="32" t="n"/>
      <c r="M603" s="28">
        <f>IF(OR(LEFT(J603,2)="보류", LEFT(J603,4)="복습대기", LEFT(J603,3)="복습1", LEFT(J603,3)="복습2"), MAX($M$3:M602)+1, "")</f>
        <v/>
      </c>
      <c r="N603" s="28" t="inlineStr">
        <is>
          <t>W15</t>
        </is>
      </c>
      <c r="O603" s="36" t="n">
        <v>46362</v>
      </c>
      <c r="P603" s="30">
        <f>IF(F603&lt;&gt;"","✅ 완료",IF(O603="","-",IF(TODAY()&gt;O603,"🚨 지연","⏳ 예정")))</f>
        <v/>
      </c>
      <c r="Q603" s="7" t="n"/>
      <c r="R603" s="7" t="n"/>
      <c r="S603" s="7" t="n"/>
      <c r="T603" s="7" t="n"/>
      <c r="U603" s="7" t="n"/>
      <c r="V603" s="7" t="n"/>
      <c r="W603" s="7" t="n"/>
      <c r="X603" s="7" t="n"/>
    </row>
    <row r="604" ht="21.75" customHeight="1" s="209">
      <c r="A604" s="28" t="n">
        <v>601</v>
      </c>
      <c r="B604" s="28" t="inlineStr">
        <is>
          <t>6809</t>
        </is>
      </c>
      <c r="C604" s="30" t="inlineStr">
        <is>
          <t>D5</t>
        </is>
      </c>
      <c r="D604" s="32" t="inlineStr">
        <is>
          <t>에너지 전송 순서</t>
        </is>
      </c>
      <c r="E604" s="28" t="inlineStr">
        <is>
          <t>동적계획법 (DP) / 그래프</t>
        </is>
      </c>
      <c r="F604" s="28" t="n"/>
      <c r="G604" s="28" t="n"/>
      <c r="H604" s="28" t="n"/>
      <c r="I604" s="28" t="n"/>
      <c r="J604" s="54">
        <f>IF(OR(ISNUMBER(SEARCH("보류",K604)),ISNUMBER(SEARCH("미룸",K604)),ISNUMBER(SEARCH("나중에",K604)),ISNUMBER(SEARCH("보류",L604)),ISNUMBER(SEARCH("미룸",L604)),ISNUMBER(SEARCH("나중에",L604))),"보류(나중에 풀기)",IF(AND(F604="",G604="",H604="",I604=""),"미완료",IF(I604&lt;&gt;"","복습3(마스터)",IF(H604&lt;&gt;"","복습2",IF(G604&lt;&gt;"","복습1",IF(ISNUMBER(SEARCH("제미나이",K604)),"복습대기(AI도움)",IF(ISNUMBER(SEARCH("간당간당",K604)),"복습대기(간당간당)",IF(OR(ISNUMBER(SEARCH("아이디어",K604)),ISNUMBER(SEARCH("시간초과",K604)),ISNUMBER(SEARCH("자료구조",K604)),ISNUMBER(SEARCH("경계값",K604)),ISNUMBER(SEARCH("다른 풀이",K604)),ISNUMBER(SEARCH("또풀기",K604))),"복습대기",IF(OR(ISNUMBER(SEARCH("복습필요없음",K604)),ISNUMBER(SEARCH("자력완벽",K604))),"품(복습불필요)",IF(F604&lt;&gt;"","품","미완료"))))))))))</f>
        <v/>
      </c>
      <c r="K604" s="32" t="inlineStr">
        <is>
          <t>-</t>
        </is>
      </c>
      <c r="L604" s="32" t="n"/>
      <c r="M604" s="28">
        <f>IF(OR(LEFT(J604,2)="보류", LEFT(J604,4)="복습대기", LEFT(J604,3)="복습1", LEFT(J604,3)="복습2"), MAX($M$3:M603)+1, "")</f>
        <v/>
      </c>
      <c r="N604" s="28" t="inlineStr">
        <is>
          <t>W16</t>
        </is>
      </c>
      <c r="O604" s="36" t="n">
        <v>46363</v>
      </c>
      <c r="P604" s="30">
        <f>IF(F604&lt;&gt;"","✅ 완료",IF(O604="","-",IF(TODAY()&gt;O604,"🚨 지연","⏳ 예정")))</f>
        <v/>
      </c>
      <c r="Q604" s="7" t="n"/>
      <c r="R604" s="7" t="n"/>
      <c r="S604" s="7" t="n"/>
      <c r="T604" s="7" t="n"/>
      <c r="U604" s="7" t="n"/>
      <c r="V604" s="7" t="n"/>
      <c r="W604" s="7" t="n"/>
      <c r="X604" s="7" t="n"/>
    </row>
    <row r="605" ht="21.75" customHeight="1" s="209">
      <c r="A605" s="28" t="n">
        <v>602</v>
      </c>
      <c r="B605" s="28" t="inlineStr">
        <is>
          <t>7229</t>
        </is>
      </c>
      <c r="C605" s="30" t="inlineStr">
        <is>
          <t>D5</t>
        </is>
      </c>
      <c r="D605" s="32" t="inlineStr">
        <is>
          <t>동환이의 케이크 노나 먹기</t>
        </is>
      </c>
      <c r="E605" s="28" t="inlineStr">
        <is>
          <t>동적계획법 (DP) / 그래프</t>
        </is>
      </c>
      <c r="F605" s="28" t="n"/>
      <c r="G605" s="28" t="n"/>
      <c r="H605" s="28" t="n"/>
      <c r="I605" s="28" t="n"/>
      <c r="J605" s="54">
        <f>IF(OR(ISNUMBER(SEARCH("보류",K605)),ISNUMBER(SEARCH("미룸",K605)),ISNUMBER(SEARCH("나중에",K605)),ISNUMBER(SEARCH("보류",L605)),ISNUMBER(SEARCH("미룸",L605)),ISNUMBER(SEARCH("나중에",L605))),"보류(나중에 풀기)",IF(AND(F605="",G605="",H605="",I605=""),"미완료",IF(I605&lt;&gt;"","복습3(마스터)",IF(H605&lt;&gt;"","복습2",IF(G605&lt;&gt;"","복습1",IF(ISNUMBER(SEARCH("제미나이",K605)),"복습대기(AI도움)",IF(ISNUMBER(SEARCH("간당간당",K605)),"복습대기(간당간당)",IF(OR(ISNUMBER(SEARCH("아이디어",K605)),ISNUMBER(SEARCH("시간초과",K605)),ISNUMBER(SEARCH("자료구조",K605)),ISNUMBER(SEARCH("경계값",K605)),ISNUMBER(SEARCH("다른 풀이",K605)),ISNUMBER(SEARCH("또풀기",K605))),"복습대기",IF(OR(ISNUMBER(SEARCH("복습필요없음",K605)),ISNUMBER(SEARCH("자력완벽",K605))),"품(복습불필요)",IF(F605&lt;&gt;"","품","미완료"))))))))))</f>
        <v/>
      </c>
      <c r="K605" s="32" t="inlineStr">
        <is>
          <t>-</t>
        </is>
      </c>
      <c r="L605" s="32" t="n"/>
      <c r="M605" s="28">
        <f>IF(OR(LEFT(J605,2)="보류", LEFT(J605,4)="복습대기", LEFT(J605,3)="복습1", LEFT(J605,3)="복습2"), MAX($M$3:M604)+1, "")</f>
        <v/>
      </c>
      <c r="N605" s="28" t="inlineStr">
        <is>
          <t>W16</t>
        </is>
      </c>
      <c r="O605" s="36" t="n">
        <v>46363</v>
      </c>
      <c r="P605" s="30">
        <f>IF(F605&lt;&gt;"","✅ 완료",IF(O605="","-",IF(TODAY()&gt;O605,"🚨 지연","⏳ 예정")))</f>
        <v/>
      </c>
      <c r="Q605" s="7" t="n"/>
      <c r="R605" s="7" t="n"/>
      <c r="S605" s="7" t="n"/>
      <c r="T605" s="7" t="n"/>
      <c r="U605" s="7" t="n"/>
      <c r="V605" s="7" t="n"/>
      <c r="W605" s="7" t="n"/>
      <c r="X605" s="7" t="n"/>
    </row>
    <row r="606" ht="21.75" customHeight="1" s="209">
      <c r="A606" s="28" t="n">
        <v>603</v>
      </c>
      <c r="B606" s="28" t="inlineStr">
        <is>
          <t>7230</t>
        </is>
      </c>
      <c r="C606" s="30" t="inlineStr">
        <is>
          <t>D5</t>
        </is>
      </c>
      <c r="D606" s="32" t="inlineStr">
        <is>
          <t>현호의 자물쇠따기</t>
        </is>
      </c>
      <c r="E606" s="28" t="inlineStr">
        <is>
          <t>동적계획법 (DP) / 그래프</t>
        </is>
      </c>
      <c r="F606" s="28" t="n"/>
      <c r="G606" s="28" t="n"/>
      <c r="H606" s="28" t="n"/>
      <c r="I606" s="28" t="n"/>
      <c r="J606" s="54">
        <f>IF(OR(ISNUMBER(SEARCH("보류",K606)),ISNUMBER(SEARCH("미룸",K606)),ISNUMBER(SEARCH("나중에",K606)),ISNUMBER(SEARCH("보류",L606)),ISNUMBER(SEARCH("미룸",L606)),ISNUMBER(SEARCH("나중에",L606))),"보류(나중에 풀기)",IF(AND(F606="",G606="",H606="",I606=""),"미완료",IF(I606&lt;&gt;"","복습3(마스터)",IF(H606&lt;&gt;"","복습2",IF(G606&lt;&gt;"","복습1",IF(ISNUMBER(SEARCH("제미나이",K606)),"복습대기(AI도움)",IF(ISNUMBER(SEARCH("간당간당",K606)),"복습대기(간당간당)",IF(OR(ISNUMBER(SEARCH("아이디어",K606)),ISNUMBER(SEARCH("시간초과",K606)),ISNUMBER(SEARCH("자료구조",K606)),ISNUMBER(SEARCH("경계값",K606)),ISNUMBER(SEARCH("다른 풀이",K606)),ISNUMBER(SEARCH("또풀기",K606))),"복습대기",IF(OR(ISNUMBER(SEARCH("복습필요없음",K606)),ISNUMBER(SEARCH("자력완벽",K606))),"품(복습불필요)",IF(F606&lt;&gt;"","품","미완료"))))))))))</f>
        <v/>
      </c>
      <c r="K606" s="32" t="inlineStr">
        <is>
          <t>-</t>
        </is>
      </c>
      <c r="L606" s="32" t="n"/>
      <c r="M606" s="28">
        <f>IF(OR(LEFT(J606,2)="보류", LEFT(J606,4)="복습대기", LEFT(J606,3)="복습1", LEFT(J606,3)="복습2"), MAX($M$3:M605)+1, "")</f>
        <v/>
      </c>
      <c r="N606" s="28" t="inlineStr">
        <is>
          <t>W16</t>
        </is>
      </c>
      <c r="O606" s="36" t="n">
        <v>46363</v>
      </c>
      <c r="P606" s="30">
        <f>IF(F606&lt;&gt;"","✅ 완료",IF(O606="","-",IF(TODAY()&gt;O606,"🚨 지연","⏳ 예정")))</f>
        <v/>
      </c>
      <c r="Q606" s="7" t="n"/>
      <c r="R606" s="7" t="n"/>
      <c r="S606" s="7" t="n"/>
      <c r="T606" s="7" t="n"/>
      <c r="U606" s="7" t="n"/>
      <c r="V606" s="7" t="n"/>
      <c r="W606" s="7" t="n"/>
      <c r="X606" s="7" t="n"/>
    </row>
    <row r="607" ht="21.75" customHeight="1" s="209">
      <c r="A607" s="28" t="n">
        <v>604</v>
      </c>
      <c r="B607" s="28" t="inlineStr">
        <is>
          <t>7258</t>
        </is>
      </c>
      <c r="C607" s="30" t="inlineStr">
        <is>
          <t>D5</t>
        </is>
      </c>
      <c r="D607" s="32" t="inlineStr">
        <is>
          <t>혁진이의 프로그램 검증</t>
        </is>
      </c>
      <c r="E607" s="28" t="inlineStr">
        <is>
          <t>동적계획법 (DP) / 그래프</t>
        </is>
      </c>
      <c r="F607" s="28" t="n"/>
      <c r="G607" s="28" t="n"/>
      <c r="H607" s="28" t="n"/>
      <c r="I607" s="28" t="n"/>
      <c r="J607" s="54">
        <f>IF(OR(ISNUMBER(SEARCH("보류",K607)),ISNUMBER(SEARCH("미룸",K607)),ISNUMBER(SEARCH("나중에",K607)),ISNUMBER(SEARCH("보류",L607)),ISNUMBER(SEARCH("미룸",L607)),ISNUMBER(SEARCH("나중에",L607))),"보류(나중에 풀기)",IF(AND(F607="",G607="",H607="",I607=""),"미완료",IF(I607&lt;&gt;"","복습3(마스터)",IF(H607&lt;&gt;"","복습2",IF(G607&lt;&gt;"","복습1",IF(ISNUMBER(SEARCH("제미나이",K607)),"복습대기(AI도움)",IF(ISNUMBER(SEARCH("간당간당",K607)),"복습대기(간당간당)",IF(OR(ISNUMBER(SEARCH("아이디어",K607)),ISNUMBER(SEARCH("시간초과",K607)),ISNUMBER(SEARCH("자료구조",K607)),ISNUMBER(SEARCH("경계값",K607)),ISNUMBER(SEARCH("다른 풀이",K607)),ISNUMBER(SEARCH("또풀기",K607))),"복습대기",IF(OR(ISNUMBER(SEARCH("복습필요없음",K607)),ISNUMBER(SEARCH("자력완벽",K607))),"품(복습불필요)",IF(F607&lt;&gt;"","품","미완료"))))))))))</f>
        <v/>
      </c>
      <c r="K607" s="32" t="inlineStr">
        <is>
          <t>-</t>
        </is>
      </c>
      <c r="L607" s="32" t="n"/>
      <c r="M607" s="28">
        <f>IF(OR(LEFT(J607,2)="보류", LEFT(J607,4)="복습대기", LEFT(J607,3)="복습1", LEFT(J607,3)="복습2"), MAX($M$3:M606)+1, "")</f>
        <v/>
      </c>
      <c r="N607" s="28" t="inlineStr">
        <is>
          <t>W16</t>
        </is>
      </c>
      <c r="O607" s="36" t="n">
        <v>46363</v>
      </c>
      <c r="P607" s="30">
        <f>IF(F607&lt;&gt;"","✅ 완료",IF(O607="","-",IF(TODAY()&gt;O607,"🚨 지연","⏳ 예정")))</f>
        <v/>
      </c>
      <c r="Q607" s="7" t="n"/>
      <c r="R607" s="7" t="n"/>
      <c r="S607" s="7" t="n"/>
      <c r="T607" s="7" t="n"/>
      <c r="U607" s="7" t="n"/>
      <c r="V607" s="7" t="n"/>
      <c r="W607" s="7" t="n"/>
      <c r="X607" s="7" t="n"/>
    </row>
    <row r="608" ht="21.75" customHeight="1" s="209">
      <c r="A608" s="28" t="n">
        <v>605</v>
      </c>
      <c r="B608" s="28" t="inlineStr">
        <is>
          <t>7273</t>
        </is>
      </c>
      <c r="C608" s="30" t="inlineStr">
        <is>
          <t>D5</t>
        </is>
      </c>
      <c r="D608" s="32" t="inlineStr">
        <is>
          <t>정우의 문자열 꿈</t>
        </is>
      </c>
      <c r="E608" s="28" t="inlineStr">
        <is>
          <t>문자열 / 파싱</t>
        </is>
      </c>
      <c r="F608" s="28" t="n"/>
      <c r="G608" s="28" t="n"/>
      <c r="H608" s="28" t="n"/>
      <c r="I608" s="28" t="n"/>
      <c r="J608" s="54">
        <f>IF(OR(ISNUMBER(SEARCH("보류",K608)),ISNUMBER(SEARCH("미룸",K608)),ISNUMBER(SEARCH("나중에",K608)),ISNUMBER(SEARCH("보류",L608)),ISNUMBER(SEARCH("미룸",L608)),ISNUMBER(SEARCH("나중에",L608))),"보류(나중에 풀기)",IF(AND(F608="",G608="",H608="",I608=""),"미완료",IF(I608&lt;&gt;"","복습3(마스터)",IF(H608&lt;&gt;"","복습2",IF(G608&lt;&gt;"","복습1",IF(ISNUMBER(SEARCH("제미나이",K608)),"복습대기(AI도움)",IF(ISNUMBER(SEARCH("간당간당",K608)),"복습대기(간당간당)",IF(OR(ISNUMBER(SEARCH("아이디어",K608)),ISNUMBER(SEARCH("시간초과",K608)),ISNUMBER(SEARCH("자료구조",K608)),ISNUMBER(SEARCH("경계값",K608)),ISNUMBER(SEARCH("다른 풀이",K608)),ISNUMBER(SEARCH("또풀기",K608))),"복습대기",IF(OR(ISNUMBER(SEARCH("복습필요없음",K608)),ISNUMBER(SEARCH("자력완벽",K608))),"품(복습불필요)",IF(F608&lt;&gt;"","품","미완료"))))))))))</f>
        <v/>
      </c>
      <c r="K608" s="32" t="inlineStr">
        <is>
          <t>-</t>
        </is>
      </c>
      <c r="L608" s="32" t="n"/>
      <c r="M608" s="28">
        <f>IF(OR(LEFT(J608,2)="보류", LEFT(J608,4)="복습대기", LEFT(J608,3)="복습1", LEFT(J608,3)="복습2"), MAX($M$3:M607)+1, "")</f>
        <v/>
      </c>
      <c r="N608" s="28" t="inlineStr">
        <is>
          <t>W16</t>
        </is>
      </c>
      <c r="O608" s="36" t="n">
        <v>46363</v>
      </c>
      <c r="P608" s="30">
        <f>IF(F608&lt;&gt;"","✅ 완료",IF(O608="","-",IF(TODAY()&gt;O608,"🚨 지연","⏳ 예정")))</f>
        <v/>
      </c>
      <c r="Q608" s="7" t="n"/>
      <c r="R608" s="7" t="n"/>
      <c r="S608" s="7" t="n"/>
      <c r="T608" s="7" t="n"/>
      <c r="U608" s="7" t="n"/>
      <c r="V608" s="7" t="n"/>
      <c r="W608" s="7" t="n"/>
      <c r="X608" s="7" t="n"/>
    </row>
    <row r="609" ht="21.75" customHeight="1" s="209">
      <c r="A609" s="28" t="n">
        <v>606</v>
      </c>
      <c r="B609" s="28" t="inlineStr">
        <is>
          <t>7396</t>
        </is>
      </c>
      <c r="C609" s="30" t="inlineStr">
        <is>
          <t>D5</t>
        </is>
      </c>
      <c r="D609" s="32" t="inlineStr">
        <is>
          <t>종구의 딸이름 짓기</t>
        </is>
      </c>
      <c r="E609" s="28" t="inlineStr">
        <is>
          <t>동적계획법 (DP) / 그래프</t>
        </is>
      </c>
      <c r="F609" s="28" t="n"/>
      <c r="G609" s="28" t="n"/>
      <c r="H609" s="28" t="n"/>
      <c r="I609" s="28" t="n"/>
      <c r="J609" s="54">
        <f>IF(OR(ISNUMBER(SEARCH("보류",K609)),ISNUMBER(SEARCH("미룸",K609)),ISNUMBER(SEARCH("나중에",K609)),ISNUMBER(SEARCH("보류",L609)),ISNUMBER(SEARCH("미룸",L609)),ISNUMBER(SEARCH("나중에",L609))),"보류(나중에 풀기)",IF(AND(F609="",G609="",H609="",I609=""),"미완료",IF(I609&lt;&gt;"","복습3(마스터)",IF(H609&lt;&gt;"","복습2",IF(G609&lt;&gt;"","복습1",IF(ISNUMBER(SEARCH("제미나이",K609)),"복습대기(AI도움)",IF(ISNUMBER(SEARCH("간당간당",K609)),"복습대기(간당간당)",IF(OR(ISNUMBER(SEARCH("아이디어",K609)),ISNUMBER(SEARCH("시간초과",K609)),ISNUMBER(SEARCH("자료구조",K609)),ISNUMBER(SEARCH("경계값",K609)),ISNUMBER(SEARCH("다른 풀이",K609)),ISNUMBER(SEARCH("또풀기",K609))),"복습대기",IF(OR(ISNUMBER(SEARCH("복습필요없음",K609)),ISNUMBER(SEARCH("자력완벽",K609))),"품(복습불필요)",IF(F609&lt;&gt;"","품","미완료"))))))))))</f>
        <v/>
      </c>
      <c r="K609" s="32" t="inlineStr">
        <is>
          <t>-</t>
        </is>
      </c>
      <c r="L609" s="32" t="n"/>
      <c r="M609" s="28">
        <f>IF(OR(LEFT(J609,2)="보류", LEFT(J609,4)="복습대기", LEFT(J609,3)="복습1", LEFT(J609,3)="복습2"), MAX($M$3:M608)+1, "")</f>
        <v/>
      </c>
      <c r="N609" s="28" t="inlineStr">
        <is>
          <t>W16</t>
        </is>
      </c>
      <c r="O609" s="36" t="n">
        <v>46363</v>
      </c>
      <c r="P609" s="30">
        <f>IF(F609&lt;&gt;"","✅ 완료",IF(O609="","-",IF(TODAY()&gt;O609,"🚨 지연","⏳ 예정")))</f>
        <v/>
      </c>
      <c r="Q609" s="7" t="n"/>
      <c r="R609" s="7" t="n"/>
      <c r="S609" s="7" t="n"/>
      <c r="T609" s="7" t="n"/>
      <c r="U609" s="7" t="n"/>
      <c r="V609" s="7" t="n"/>
      <c r="W609" s="7" t="n"/>
      <c r="X609" s="7" t="n"/>
    </row>
    <row r="610" ht="21.75" customHeight="1" s="209">
      <c r="A610" s="28" t="n">
        <v>607</v>
      </c>
      <c r="B610" s="28" t="inlineStr">
        <is>
          <t>7508</t>
        </is>
      </c>
      <c r="C610" s="30" t="inlineStr">
        <is>
          <t>D5</t>
        </is>
      </c>
      <c r="D610" s="32" t="inlineStr">
        <is>
          <t>화물을 옮기는 자</t>
        </is>
      </c>
      <c r="E610" s="28" t="inlineStr">
        <is>
          <t>동적계획법 (DP) / 그래프</t>
        </is>
      </c>
      <c r="F610" s="28" t="n"/>
      <c r="G610" s="28" t="n"/>
      <c r="H610" s="28" t="n"/>
      <c r="I610" s="28" t="n"/>
      <c r="J610" s="54">
        <f>IF(OR(ISNUMBER(SEARCH("보류",K610)),ISNUMBER(SEARCH("미룸",K610)),ISNUMBER(SEARCH("나중에",K610)),ISNUMBER(SEARCH("보류",L610)),ISNUMBER(SEARCH("미룸",L610)),ISNUMBER(SEARCH("나중에",L610))),"보류(나중에 풀기)",IF(AND(F610="",G610="",H610="",I610=""),"미완료",IF(I610&lt;&gt;"","복습3(마스터)",IF(H610&lt;&gt;"","복습2",IF(G610&lt;&gt;"","복습1",IF(ISNUMBER(SEARCH("제미나이",K610)),"복습대기(AI도움)",IF(ISNUMBER(SEARCH("간당간당",K610)),"복습대기(간당간당)",IF(OR(ISNUMBER(SEARCH("아이디어",K610)),ISNUMBER(SEARCH("시간초과",K610)),ISNUMBER(SEARCH("자료구조",K610)),ISNUMBER(SEARCH("경계값",K610)),ISNUMBER(SEARCH("다른 풀이",K610)),ISNUMBER(SEARCH("또풀기",K610))),"복습대기",IF(OR(ISNUMBER(SEARCH("복습필요없음",K610)),ISNUMBER(SEARCH("자력완벽",K610))),"품(복습불필요)",IF(F610&lt;&gt;"","품","미완료"))))))))))</f>
        <v/>
      </c>
      <c r="K610" s="32" t="inlineStr">
        <is>
          <t>-</t>
        </is>
      </c>
      <c r="L610" s="32" t="n"/>
      <c r="M610" s="28">
        <f>IF(OR(LEFT(J610,2)="보류", LEFT(J610,4)="복습대기", LEFT(J610,3)="복습1", LEFT(J610,3)="복습2"), MAX($M$3:M609)+1, "")</f>
        <v/>
      </c>
      <c r="N610" s="28" t="inlineStr">
        <is>
          <t>W16</t>
        </is>
      </c>
      <c r="O610" s="36" t="n">
        <v>46363</v>
      </c>
      <c r="P610" s="30">
        <f>IF(F610&lt;&gt;"","✅ 완료",IF(O610="","-",IF(TODAY()&gt;O610,"🚨 지연","⏳ 예정")))</f>
        <v/>
      </c>
      <c r="Q610" s="7" t="n"/>
      <c r="R610" s="7" t="n"/>
      <c r="S610" s="7" t="n"/>
      <c r="T610" s="7" t="n"/>
      <c r="U610" s="7" t="n"/>
      <c r="V610" s="7" t="n"/>
      <c r="W610" s="7" t="n"/>
      <c r="X610" s="7" t="n"/>
    </row>
    <row r="611" ht="21.75" customHeight="1" s="209">
      <c r="A611" s="28" t="n">
        <v>608</v>
      </c>
      <c r="B611" s="28" t="inlineStr">
        <is>
          <t>7534</t>
        </is>
      </c>
      <c r="C611" s="30" t="inlineStr">
        <is>
          <t>D5</t>
        </is>
      </c>
      <c r="D611" s="32" t="inlineStr">
        <is>
          <t>스택 장인</t>
        </is>
      </c>
      <c r="E611" s="28" t="inlineStr">
        <is>
          <t>자료구조 (스택/큐/리스트)</t>
        </is>
      </c>
      <c r="F611" s="28" t="n"/>
      <c r="G611" s="28" t="n"/>
      <c r="H611" s="28" t="n"/>
      <c r="I611" s="28" t="n"/>
      <c r="J611" s="54">
        <f>IF(OR(ISNUMBER(SEARCH("보류",K611)),ISNUMBER(SEARCH("미룸",K611)),ISNUMBER(SEARCH("나중에",K611)),ISNUMBER(SEARCH("보류",L611)),ISNUMBER(SEARCH("미룸",L611)),ISNUMBER(SEARCH("나중에",L611))),"보류(나중에 풀기)",IF(AND(F611="",G611="",H611="",I611=""),"미완료",IF(I611&lt;&gt;"","복습3(마스터)",IF(H611&lt;&gt;"","복습2",IF(G611&lt;&gt;"","복습1",IF(ISNUMBER(SEARCH("제미나이",K611)),"복습대기(AI도움)",IF(ISNUMBER(SEARCH("간당간당",K611)),"복습대기(간당간당)",IF(OR(ISNUMBER(SEARCH("아이디어",K611)),ISNUMBER(SEARCH("시간초과",K611)),ISNUMBER(SEARCH("자료구조",K611)),ISNUMBER(SEARCH("경계값",K611)),ISNUMBER(SEARCH("다른 풀이",K611)),ISNUMBER(SEARCH("또풀기",K611))),"복습대기",IF(OR(ISNUMBER(SEARCH("복습필요없음",K611)),ISNUMBER(SEARCH("자력완벽",K611))),"품(복습불필요)",IF(F611&lt;&gt;"","품","미완료"))))))))))</f>
        <v/>
      </c>
      <c r="K611" s="32" t="inlineStr">
        <is>
          <t>-</t>
        </is>
      </c>
      <c r="L611" s="32" t="n"/>
      <c r="M611" s="28">
        <f>IF(OR(LEFT(J611,2)="보류", LEFT(J611,4)="복습대기", LEFT(J611,3)="복습1", LEFT(J611,3)="복습2"), MAX($M$3:M610)+1, "")</f>
        <v/>
      </c>
      <c r="N611" s="28" t="inlineStr">
        <is>
          <t>W16</t>
        </is>
      </c>
      <c r="O611" s="36" t="n">
        <v>46364</v>
      </c>
      <c r="P611" s="30">
        <f>IF(F611&lt;&gt;"","✅ 완료",IF(O611="","-",IF(TODAY()&gt;O611,"🚨 지연","⏳ 예정")))</f>
        <v/>
      </c>
      <c r="Q611" s="7" t="n"/>
      <c r="R611" s="7" t="n"/>
      <c r="S611" s="7" t="n"/>
      <c r="T611" s="7" t="n"/>
      <c r="U611" s="7" t="n"/>
      <c r="V611" s="7" t="n"/>
      <c r="W611" s="7" t="n"/>
      <c r="X611" s="7" t="n"/>
    </row>
    <row r="612" ht="21.75" customHeight="1" s="209">
      <c r="A612" s="28" t="n">
        <v>609</v>
      </c>
      <c r="B612" s="28" t="inlineStr">
        <is>
          <t>7585</t>
        </is>
      </c>
      <c r="C612" s="30" t="inlineStr">
        <is>
          <t>D5</t>
        </is>
      </c>
      <c r="D612" s="32" t="inlineStr">
        <is>
          <t>수상한 점집</t>
        </is>
      </c>
      <c r="E612" s="28" t="inlineStr">
        <is>
          <t>동적계획법 (DP) / 그래프</t>
        </is>
      </c>
      <c r="F612" s="28" t="n"/>
      <c r="G612" s="28" t="n"/>
      <c r="H612" s="28" t="n"/>
      <c r="I612" s="28" t="n"/>
      <c r="J612" s="54">
        <f>IF(OR(ISNUMBER(SEARCH("보류",K612)),ISNUMBER(SEARCH("미룸",K612)),ISNUMBER(SEARCH("나중에",K612)),ISNUMBER(SEARCH("보류",L612)),ISNUMBER(SEARCH("미룸",L612)),ISNUMBER(SEARCH("나중에",L612))),"보류(나중에 풀기)",IF(AND(F612="",G612="",H612="",I612=""),"미완료",IF(I612&lt;&gt;"","복습3(마스터)",IF(H612&lt;&gt;"","복습2",IF(G612&lt;&gt;"","복습1",IF(ISNUMBER(SEARCH("제미나이",K612)),"복습대기(AI도움)",IF(ISNUMBER(SEARCH("간당간당",K612)),"복습대기(간당간당)",IF(OR(ISNUMBER(SEARCH("아이디어",K612)),ISNUMBER(SEARCH("시간초과",K612)),ISNUMBER(SEARCH("자료구조",K612)),ISNUMBER(SEARCH("경계값",K612)),ISNUMBER(SEARCH("다른 풀이",K612)),ISNUMBER(SEARCH("또풀기",K612))),"복습대기",IF(OR(ISNUMBER(SEARCH("복습필요없음",K612)),ISNUMBER(SEARCH("자력완벽",K612))),"품(복습불필요)",IF(F612&lt;&gt;"","품","미완료"))))))))))</f>
        <v/>
      </c>
      <c r="K612" s="32" t="inlineStr">
        <is>
          <t>-</t>
        </is>
      </c>
      <c r="L612" s="32" t="n"/>
      <c r="M612" s="28">
        <f>IF(OR(LEFT(J612,2)="보류", LEFT(J612,4)="복습대기", LEFT(J612,3)="복습1", LEFT(J612,3)="복습2"), MAX($M$3:M611)+1, "")</f>
        <v/>
      </c>
      <c r="N612" s="28" t="inlineStr">
        <is>
          <t>W16</t>
        </is>
      </c>
      <c r="O612" s="36" t="n">
        <v>46364</v>
      </c>
      <c r="P612" s="30">
        <f>IF(F612&lt;&gt;"","✅ 완료",IF(O612="","-",IF(TODAY()&gt;O612,"🚨 지연","⏳ 예정")))</f>
        <v/>
      </c>
      <c r="Q612" s="7" t="n"/>
      <c r="R612" s="7" t="n"/>
      <c r="S612" s="7" t="n"/>
      <c r="T612" s="7" t="n"/>
      <c r="U612" s="7" t="n"/>
      <c r="V612" s="7" t="n"/>
      <c r="W612" s="7" t="n"/>
      <c r="X612" s="7" t="n"/>
    </row>
    <row r="613" ht="21.75" customHeight="1" s="209">
      <c r="A613" s="28" t="n">
        <v>610</v>
      </c>
      <c r="B613" s="28" t="inlineStr">
        <is>
          <t>7586</t>
        </is>
      </c>
      <c r="C613" s="30" t="inlineStr">
        <is>
          <t>D5</t>
        </is>
      </c>
      <c r="D613" s="32" t="inlineStr">
        <is>
          <t>슬기의 원룸 인테리어</t>
        </is>
      </c>
      <c r="E613" s="28" t="inlineStr">
        <is>
          <t>동적계획법 (DP) / 그래프</t>
        </is>
      </c>
      <c r="F613" s="28" t="n"/>
      <c r="G613" s="28" t="n"/>
      <c r="H613" s="28" t="n"/>
      <c r="I613" s="28" t="n"/>
      <c r="J613" s="54">
        <f>IF(OR(ISNUMBER(SEARCH("보류",K613)),ISNUMBER(SEARCH("미룸",K613)),ISNUMBER(SEARCH("나중에",K613)),ISNUMBER(SEARCH("보류",L613)),ISNUMBER(SEARCH("미룸",L613)),ISNUMBER(SEARCH("나중에",L613))),"보류(나중에 풀기)",IF(AND(F613="",G613="",H613="",I613=""),"미완료",IF(I613&lt;&gt;"","복습3(마스터)",IF(H613&lt;&gt;"","복습2",IF(G613&lt;&gt;"","복습1",IF(ISNUMBER(SEARCH("제미나이",K613)),"복습대기(AI도움)",IF(ISNUMBER(SEARCH("간당간당",K613)),"복습대기(간당간당)",IF(OR(ISNUMBER(SEARCH("아이디어",K613)),ISNUMBER(SEARCH("시간초과",K613)),ISNUMBER(SEARCH("자료구조",K613)),ISNUMBER(SEARCH("경계값",K613)),ISNUMBER(SEARCH("다른 풀이",K613)),ISNUMBER(SEARCH("또풀기",K613))),"복습대기",IF(OR(ISNUMBER(SEARCH("복습필요없음",K613)),ISNUMBER(SEARCH("자력완벽",K613))),"품(복습불필요)",IF(F613&lt;&gt;"","품","미완료"))))))))))</f>
        <v/>
      </c>
      <c r="K613" s="32" t="inlineStr">
        <is>
          <t>-</t>
        </is>
      </c>
      <c r="L613" s="32" t="n"/>
      <c r="M613" s="28">
        <f>IF(OR(LEFT(J613,2)="보류", LEFT(J613,4)="복습대기", LEFT(J613,3)="복습1", LEFT(J613,3)="복습2"), MAX($M$3:M612)+1, "")</f>
        <v/>
      </c>
      <c r="N613" s="28" t="inlineStr">
        <is>
          <t>W16</t>
        </is>
      </c>
      <c r="O613" s="36" t="n">
        <v>46364</v>
      </c>
      <c r="P613" s="30">
        <f>IF(F613&lt;&gt;"","✅ 완료",IF(O613="","-",IF(TODAY()&gt;O613,"🚨 지연","⏳ 예정")))</f>
        <v/>
      </c>
      <c r="Q613" s="7" t="n"/>
      <c r="R613" s="7" t="n"/>
      <c r="S613" s="7" t="n"/>
      <c r="T613" s="7" t="n"/>
      <c r="U613" s="7" t="n"/>
      <c r="V613" s="7" t="n"/>
      <c r="W613" s="7" t="n"/>
      <c r="X613" s="7" t="n"/>
    </row>
    <row r="614" ht="21.75" customHeight="1" s="209">
      <c r="A614" s="28" t="n">
        <v>611</v>
      </c>
      <c r="B614" s="28" t="inlineStr">
        <is>
          <t>7588</t>
        </is>
      </c>
      <c r="C614" s="30" t="inlineStr">
        <is>
          <t>D5</t>
        </is>
      </c>
      <c r="D614" s="32" t="inlineStr">
        <is>
          <t>직선의 삽입과 삭제</t>
        </is>
      </c>
      <c r="E614" s="28" t="inlineStr">
        <is>
          <t>동적계획법 (DP) / 그래프</t>
        </is>
      </c>
      <c r="F614" s="28" t="n"/>
      <c r="G614" s="28" t="n"/>
      <c r="H614" s="28" t="n"/>
      <c r="I614" s="28" t="n"/>
      <c r="J614" s="54">
        <f>IF(OR(ISNUMBER(SEARCH("보류",K614)),ISNUMBER(SEARCH("미룸",K614)),ISNUMBER(SEARCH("나중에",K614)),ISNUMBER(SEARCH("보류",L614)),ISNUMBER(SEARCH("미룸",L614)),ISNUMBER(SEARCH("나중에",L614))),"보류(나중에 풀기)",IF(AND(F614="",G614="",H614="",I614=""),"미완료",IF(I614&lt;&gt;"","복습3(마스터)",IF(H614&lt;&gt;"","복습2",IF(G614&lt;&gt;"","복습1",IF(ISNUMBER(SEARCH("제미나이",K614)),"복습대기(AI도움)",IF(ISNUMBER(SEARCH("간당간당",K614)),"복습대기(간당간당)",IF(OR(ISNUMBER(SEARCH("아이디어",K614)),ISNUMBER(SEARCH("시간초과",K614)),ISNUMBER(SEARCH("자료구조",K614)),ISNUMBER(SEARCH("경계값",K614)),ISNUMBER(SEARCH("다른 풀이",K614)),ISNUMBER(SEARCH("또풀기",K614))),"복습대기",IF(OR(ISNUMBER(SEARCH("복습필요없음",K614)),ISNUMBER(SEARCH("자력완벽",K614))),"품(복습불필요)",IF(F614&lt;&gt;"","품","미완료"))))))))))</f>
        <v/>
      </c>
      <c r="K614" s="32" t="inlineStr">
        <is>
          <t>-</t>
        </is>
      </c>
      <c r="L614" s="32" t="n"/>
      <c r="M614" s="28">
        <f>IF(OR(LEFT(J614,2)="보류", LEFT(J614,4)="복습대기", LEFT(J614,3)="복습1", LEFT(J614,3)="복습2"), MAX($M$3:M613)+1, "")</f>
        <v/>
      </c>
      <c r="N614" s="28" t="inlineStr">
        <is>
          <t>W16</t>
        </is>
      </c>
      <c r="O614" s="36" t="n">
        <v>46364</v>
      </c>
      <c r="P614" s="30">
        <f>IF(F614&lt;&gt;"","✅ 완료",IF(O614="","-",IF(TODAY()&gt;O614,"🚨 지연","⏳ 예정")))</f>
        <v/>
      </c>
      <c r="Q614" s="7" t="n"/>
      <c r="R614" s="7" t="n"/>
      <c r="S614" s="7" t="n"/>
      <c r="T614" s="7" t="n"/>
      <c r="U614" s="7" t="n"/>
      <c r="V614" s="7" t="n"/>
      <c r="W614" s="7" t="n"/>
      <c r="X614" s="7" t="n"/>
    </row>
    <row r="615" ht="21.75" customHeight="1" s="209">
      <c r="A615" s="28" t="n">
        <v>612</v>
      </c>
      <c r="B615" s="28" t="inlineStr">
        <is>
          <t>7673</t>
        </is>
      </c>
      <c r="C615" s="30" t="inlineStr">
        <is>
          <t>D5</t>
        </is>
      </c>
      <c r="D615" s="32" t="inlineStr">
        <is>
          <t>영이는 영이 시져시져!</t>
        </is>
      </c>
      <c r="E615" s="28" t="inlineStr">
        <is>
          <t>동적계획법 (DP) / 그래프</t>
        </is>
      </c>
      <c r="F615" s="28" t="n"/>
      <c r="G615" s="28" t="n"/>
      <c r="H615" s="28" t="n"/>
      <c r="I615" s="28" t="n"/>
      <c r="J615" s="54">
        <f>IF(OR(ISNUMBER(SEARCH("보류",K615)),ISNUMBER(SEARCH("미룸",K615)),ISNUMBER(SEARCH("나중에",K615)),ISNUMBER(SEARCH("보류",L615)),ISNUMBER(SEARCH("미룸",L615)),ISNUMBER(SEARCH("나중에",L615))),"보류(나중에 풀기)",IF(AND(F615="",G615="",H615="",I615=""),"미완료",IF(I615&lt;&gt;"","복습3(마스터)",IF(H615&lt;&gt;"","복습2",IF(G615&lt;&gt;"","복습1",IF(ISNUMBER(SEARCH("제미나이",K615)),"복습대기(AI도움)",IF(ISNUMBER(SEARCH("간당간당",K615)),"복습대기(간당간당)",IF(OR(ISNUMBER(SEARCH("아이디어",K615)),ISNUMBER(SEARCH("시간초과",K615)),ISNUMBER(SEARCH("자료구조",K615)),ISNUMBER(SEARCH("경계값",K615)),ISNUMBER(SEARCH("다른 풀이",K615)),ISNUMBER(SEARCH("또풀기",K615))),"복습대기",IF(OR(ISNUMBER(SEARCH("복습필요없음",K615)),ISNUMBER(SEARCH("자력완벽",K615))),"품(복습불필요)",IF(F615&lt;&gt;"","품","미완료"))))))))))</f>
        <v/>
      </c>
      <c r="K615" s="32" t="inlineStr">
        <is>
          <t>-</t>
        </is>
      </c>
      <c r="L615" s="32" t="n"/>
      <c r="M615" s="28">
        <f>IF(OR(LEFT(J615,2)="보류", LEFT(J615,4)="복습대기", LEFT(J615,3)="복습1", LEFT(J615,3)="복습2"), MAX($M$3:M614)+1, "")</f>
        <v/>
      </c>
      <c r="N615" s="28" t="inlineStr">
        <is>
          <t>W16</t>
        </is>
      </c>
      <c r="O615" s="36" t="n">
        <v>46364</v>
      </c>
      <c r="P615" s="30">
        <f>IF(F615&lt;&gt;"","✅ 완료",IF(O615="","-",IF(TODAY()&gt;O615,"🚨 지연","⏳ 예정")))</f>
        <v/>
      </c>
      <c r="Q615" s="7" t="n"/>
      <c r="R615" s="7" t="n"/>
      <c r="S615" s="7" t="n"/>
      <c r="T615" s="7" t="n"/>
      <c r="U615" s="7" t="n"/>
      <c r="V615" s="7" t="n"/>
      <c r="W615" s="7" t="n"/>
      <c r="X615" s="7" t="n"/>
    </row>
    <row r="616" ht="21.75" customHeight="1" s="209">
      <c r="A616" s="28" t="n">
        <v>613</v>
      </c>
      <c r="B616" s="28" t="inlineStr">
        <is>
          <t>7730</t>
        </is>
      </c>
      <c r="C616" s="30" t="inlineStr">
        <is>
          <t>D5</t>
        </is>
      </c>
      <c r="D616" s="32" t="inlineStr">
        <is>
          <t>나무 깎는 홍준</t>
        </is>
      </c>
      <c r="E616" s="28" t="inlineStr">
        <is>
          <t>동적계획법 (DP) / 그래프</t>
        </is>
      </c>
      <c r="F616" s="28" t="n"/>
      <c r="G616" s="28" t="n"/>
      <c r="H616" s="28" t="n"/>
      <c r="I616" s="28" t="n"/>
      <c r="J616" s="54">
        <f>IF(OR(ISNUMBER(SEARCH("보류",K616)),ISNUMBER(SEARCH("미룸",K616)),ISNUMBER(SEARCH("나중에",K616)),ISNUMBER(SEARCH("보류",L616)),ISNUMBER(SEARCH("미룸",L616)),ISNUMBER(SEARCH("나중에",L616))),"보류(나중에 풀기)",IF(AND(F616="",G616="",H616="",I616=""),"미완료",IF(I616&lt;&gt;"","복습3(마스터)",IF(H616&lt;&gt;"","복습2",IF(G616&lt;&gt;"","복습1",IF(ISNUMBER(SEARCH("제미나이",K616)),"복습대기(AI도움)",IF(ISNUMBER(SEARCH("간당간당",K616)),"복습대기(간당간당)",IF(OR(ISNUMBER(SEARCH("아이디어",K616)),ISNUMBER(SEARCH("시간초과",K616)),ISNUMBER(SEARCH("자료구조",K616)),ISNUMBER(SEARCH("경계값",K616)),ISNUMBER(SEARCH("다른 풀이",K616)),ISNUMBER(SEARCH("또풀기",K616))),"복습대기",IF(OR(ISNUMBER(SEARCH("복습필요없음",K616)),ISNUMBER(SEARCH("자력완벽",K616))),"품(복습불필요)",IF(F616&lt;&gt;"","품","미완료"))))))))))</f>
        <v/>
      </c>
      <c r="K616" s="32" t="inlineStr">
        <is>
          <t>-</t>
        </is>
      </c>
      <c r="L616" s="32" t="n"/>
      <c r="M616" s="28">
        <f>IF(OR(LEFT(J616,2)="보류", LEFT(J616,4)="복습대기", LEFT(J616,3)="복습1", LEFT(J616,3)="복습2"), MAX($M$3:M615)+1, "")</f>
        <v/>
      </c>
      <c r="N616" s="28" t="inlineStr">
        <is>
          <t>W16</t>
        </is>
      </c>
      <c r="O616" s="36" t="n">
        <v>46364</v>
      </c>
      <c r="P616" s="30">
        <f>IF(F616&lt;&gt;"","✅ 완료",IF(O616="","-",IF(TODAY()&gt;O616,"🚨 지연","⏳ 예정")))</f>
        <v/>
      </c>
      <c r="Q616" s="7" t="n"/>
      <c r="R616" s="7" t="n"/>
      <c r="S616" s="7" t="n"/>
      <c r="T616" s="7" t="n"/>
      <c r="U616" s="7" t="n"/>
      <c r="V616" s="7" t="n"/>
      <c r="W616" s="7" t="n"/>
      <c r="X616" s="7" t="n"/>
    </row>
    <row r="617" ht="21.75" customHeight="1" s="209">
      <c r="A617" s="28" t="n">
        <v>614</v>
      </c>
      <c r="B617" s="28" t="inlineStr">
        <is>
          <t>7731</t>
        </is>
      </c>
      <c r="C617" s="30" t="inlineStr">
        <is>
          <t>D5</t>
        </is>
      </c>
      <c r="D617" s="32" t="inlineStr">
        <is>
          <t>복불복 다트판 만들기</t>
        </is>
      </c>
      <c r="E617" s="28" t="inlineStr">
        <is>
          <t>동적계획법 (DP) / 그래프</t>
        </is>
      </c>
      <c r="F617" s="28" t="n"/>
      <c r="G617" s="28" t="n"/>
      <c r="H617" s="28" t="n"/>
      <c r="I617" s="28" t="n"/>
      <c r="J617" s="54">
        <f>IF(OR(ISNUMBER(SEARCH("보류",K617)),ISNUMBER(SEARCH("미룸",K617)),ISNUMBER(SEARCH("나중에",K617)),ISNUMBER(SEARCH("보류",L617)),ISNUMBER(SEARCH("미룸",L617)),ISNUMBER(SEARCH("나중에",L617))),"보류(나중에 풀기)",IF(AND(F617="",G617="",H617="",I617=""),"미완료",IF(I617&lt;&gt;"","복습3(마스터)",IF(H617&lt;&gt;"","복습2",IF(G617&lt;&gt;"","복습1",IF(ISNUMBER(SEARCH("제미나이",K617)),"복습대기(AI도움)",IF(ISNUMBER(SEARCH("간당간당",K617)),"복습대기(간당간당)",IF(OR(ISNUMBER(SEARCH("아이디어",K617)),ISNUMBER(SEARCH("시간초과",K617)),ISNUMBER(SEARCH("자료구조",K617)),ISNUMBER(SEARCH("경계값",K617)),ISNUMBER(SEARCH("다른 풀이",K617)),ISNUMBER(SEARCH("또풀기",K617))),"복습대기",IF(OR(ISNUMBER(SEARCH("복습필요없음",K617)),ISNUMBER(SEARCH("자력완벽",K617))),"품(복습불필요)",IF(F617&lt;&gt;"","품","미완료"))))))))))</f>
        <v/>
      </c>
      <c r="K617" s="32" t="inlineStr">
        <is>
          <t>-</t>
        </is>
      </c>
      <c r="L617" s="32" t="n"/>
      <c r="M617" s="28">
        <f>IF(OR(LEFT(J617,2)="보류", LEFT(J617,4)="복습대기", LEFT(J617,3)="복습1", LEFT(J617,3)="복습2"), MAX($M$3:M616)+1, "")</f>
        <v/>
      </c>
      <c r="N617" s="28" t="inlineStr">
        <is>
          <t>W16</t>
        </is>
      </c>
      <c r="O617" s="36" t="n">
        <v>46364</v>
      </c>
      <c r="P617" s="30">
        <f>IF(F617&lt;&gt;"","✅ 완료",IF(O617="","-",IF(TODAY()&gt;O617,"🚨 지연","⏳ 예정")))</f>
        <v/>
      </c>
      <c r="Q617" s="7" t="n"/>
      <c r="R617" s="7" t="n"/>
      <c r="S617" s="7" t="n"/>
      <c r="T617" s="7" t="n"/>
      <c r="U617" s="7" t="n"/>
      <c r="V617" s="7" t="n"/>
      <c r="W617" s="7" t="n"/>
      <c r="X617" s="7" t="n"/>
    </row>
    <row r="618" ht="21.75" customHeight="1" s="209">
      <c r="A618" s="28" t="n">
        <v>615</v>
      </c>
      <c r="B618" s="28" t="inlineStr">
        <is>
          <t>7793</t>
        </is>
      </c>
      <c r="C618" s="30" t="inlineStr">
        <is>
          <t>D5</t>
        </is>
      </c>
      <c r="D618" s="32" t="inlineStr">
        <is>
          <t>오! 나의 여신님</t>
        </is>
      </c>
      <c r="E618" s="28" t="inlineStr">
        <is>
          <t>동적계획법 (DP) / 그래프</t>
        </is>
      </c>
      <c r="F618" s="28" t="n"/>
      <c r="G618" s="28" t="n"/>
      <c r="H618" s="28" t="n"/>
      <c r="I618" s="28" t="n"/>
      <c r="J618" s="54">
        <f>IF(OR(ISNUMBER(SEARCH("보류",K618)),ISNUMBER(SEARCH("미룸",K618)),ISNUMBER(SEARCH("나중에",K618)),ISNUMBER(SEARCH("보류",L618)),ISNUMBER(SEARCH("미룸",L618)),ISNUMBER(SEARCH("나중에",L618))),"보류(나중에 풀기)",IF(AND(F618="",G618="",H618="",I618=""),"미완료",IF(I618&lt;&gt;"","복습3(마스터)",IF(H618&lt;&gt;"","복습2",IF(G618&lt;&gt;"","복습1",IF(ISNUMBER(SEARCH("제미나이",K618)),"복습대기(AI도움)",IF(ISNUMBER(SEARCH("간당간당",K618)),"복습대기(간당간당)",IF(OR(ISNUMBER(SEARCH("아이디어",K618)),ISNUMBER(SEARCH("시간초과",K618)),ISNUMBER(SEARCH("자료구조",K618)),ISNUMBER(SEARCH("경계값",K618)),ISNUMBER(SEARCH("다른 풀이",K618)),ISNUMBER(SEARCH("또풀기",K618))),"복습대기",IF(OR(ISNUMBER(SEARCH("복습필요없음",K618)),ISNUMBER(SEARCH("자력완벽",K618))),"품(복습불필요)",IF(F618&lt;&gt;"","품","미완료"))))))))))</f>
        <v/>
      </c>
      <c r="K618" s="32" t="inlineStr">
        <is>
          <t>-</t>
        </is>
      </c>
      <c r="L618" s="32" t="n"/>
      <c r="M618" s="28">
        <f>IF(OR(LEFT(J618,2)="보류", LEFT(J618,4)="복습대기", LEFT(J618,3)="복습1", LEFT(J618,3)="복습2"), MAX($M$3:M617)+1, "")</f>
        <v/>
      </c>
      <c r="N618" s="28" t="inlineStr">
        <is>
          <t>W16</t>
        </is>
      </c>
      <c r="O618" s="36" t="n">
        <v>46365</v>
      </c>
      <c r="P618" s="30">
        <f>IF(F618&lt;&gt;"","✅ 완료",IF(O618="","-",IF(TODAY()&gt;O618,"🚨 지연","⏳ 예정")))</f>
        <v/>
      </c>
      <c r="Q618" s="7" t="n"/>
      <c r="R618" s="7" t="n"/>
      <c r="S618" s="7" t="n"/>
      <c r="T618" s="7" t="n"/>
      <c r="U618" s="7" t="n"/>
      <c r="V618" s="7" t="n"/>
      <c r="W618" s="7" t="n"/>
      <c r="X618" s="7" t="n"/>
    </row>
    <row r="619" ht="21.75" customHeight="1" s="209">
      <c r="A619" s="28" t="n">
        <v>616</v>
      </c>
      <c r="B619" s="28" t="inlineStr">
        <is>
          <t>7812</t>
        </is>
      </c>
      <c r="C619" s="30" t="inlineStr">
        <is>
          <t>D5</t>
        </is>
      </c>
      <c r="D619" s="32" t="inlineStr">
        <is>
          <t>옥희의 OK! 부동산</t>
        </is>
      </c>
      <c r="E619" s="28" t="inlineStr">
        <is>
          <t>동적계획법 (DP) / 그래프</t>
        </is>
      </c>
      <c r="F619" s="28" t="n"/>
      <c r="G619" s="28" t="n"/>
      <c r="H619" s="28" t="n"/>
      <c r="I619" s="28" t="n"/>
      <c r="J619" s="54">
        <f>IF(OR(ISNUMBER(SEARCH("보류",K619)),ISNUMBER(SEARCH("미룸",K619)),ISNUMBER(SEARCH("나중에",K619)),ISNUMBER(SEARCH("보류",L619)),ISNUMBER(SEARCH("미룸",L619)),ISNUMBER(SEARCH("나중에",L619))),"보류(나중에 풀기)",IF(AND(F619="",G619="",H619="",I619=""),"미완료",IF(I619&lt;&gt;"","복습3(마스터)",IF(H619&lt;&gt;"","복습2",IF(G619&lt;&gt;"","복습1",IF(ISNUMBER(SEARCH("제미나이",K619)),"복습대기(AI도움)",IF(ISNUMBER(SEARCH("간당간당",K619)),"복습대기(간당간당)",IF(OR(ISNUMBER(SEARCH("아이디어",K619)),ISNUMBER(SEARCH("시간초과",K619)),ISNUMBER(SEARCH("자료구조",K619)),ISNUMBER(SEARCH("경계값",K619)),ISNUMBER(SEARCH("다른 풀이",K619)),ISNUMBER(SEARCH("또풀기",K619))),"복습대기",IF(OR(ISNUMBER(SEARCH("복습필요없음",K619)),ISNUMBER(SEARCH("자력완벽",K619))),"품(복습불필요)",IF(F619&lt;&gt;"","품","미완료"))))))))))</f>
        <v/>
      </c>
      <c r="K619" s="32" t="inlineStr">
        <is>
          <t>-</t>
        </is>
      </c>
      <c r="L619" s="32" t="n"/>
      <c r="M619" s="28">
        <f>IF(OR(LEFT(J619,2)="보류", LEFT(J619,4)="복습대기", LEFT(J619,3)="복습1", LEFT(J619,3)="복습2"), MAX($M$3:M618)+1, "")</f>
        <v/>
      </c>
      <c r="N619" s="28" t="inlineStr">
        <is>
          <t>W16</t>
        </is>
      </c>
      <c r="O619" s="36" t="n">
        <v>46365</v>
      </c>
      <c r="P619" s="30">
        <f>IF(F619&lt;&gt;"","✅ 완료",IF(O619="","-",IF(TODAY()&gt;O619,"🚨 지연","⏳ 예정")))</f>
        <v/>
      </c>
      <c r="Q619" s="7" t="n"/>
      <c r="R619" s="7" t="n"/>
      <c r="S619" s="7" t="n"/>
      <c r="T619" s="7" t="n"/>
      <c r="U619" s="7" t="n"/>
      <c r="V619" s="7" t="n"/>
      <c r="W619" s="7" t="n"/>
      <c r="X619" s="7" t="n"/>
    </row>
    <row r="620" ht="21.75" customHeight="1" s="209">
      <c r="A620" s="28" t="n">
        <v>617</v>
      </c>
      <c r="B620" s="28" t="inlineStr">
        <is>
          <t>7830</t>
        </is>
      </c>
      <c r="C620" s="30" t="inlineStr">
        <is>
          <t>D5</t>
        </is>
      </c>
      <c r="D620" s="32" t="inlineStr">
        <is>
          <t>마름모 찾기</t>
        </is>
      </c>
      <c r="E620" s="28" t="inlineStr">
        <is>
          <t>동적계획법 (DP) / 그래프</t>
        </is>
      </c>
      <c r="F620" s="28" t="n"/>
      <c r="G620" s="28" t="n"/>
      <c r="H620" s="28" t="n"/>
      <c r="I620" s="28" t="n"/>
      <c r="J620" s="54">
        <f>IF(OR(ISNUMBER(SEARCH("보류",K620)),ISNUMBER(SEARCH("미룸",K620)),ISNUMBER(SEARCH("나중에",K620)),ISNUMBER(SEARCH("보류",L620)),ISNUMBER(SEARCH("미룸",L620)),ISNUMBER(SEARCH("나중에",L620))),"보류(나중에 풀기)",IF(AND(F620="",G620="",H620="",I620=""),"미완료",IF(I620&lt;&gt;"","복습3(마스터)",IF(H620&lt;&gt;"","복습2",IF(G620&lt;&gt;"","복습1",IF(ISNUMBER(SEARCH("제미나이",K620)),"복습대기(AI도움)",IF(ISNUMBER(SEARCH("간당간당",K620)),"복습대기(간당간당)",IF(OR(ISNUMBER(SEARCH("아이디어",K620)),ISNUMBER(SEARCH("시간초과",K620)),ISNUMBER(SEARCH("자료구조",K620)),ISNUMBER(SEARCH("경계값",K620)),ISNUMBER(SEARCH("다른 풀이",K620)),ISNUMBER(SEARCH("또풀기",K620))),"복습대기",IF(OR(ISNUMBER(SEARCH("복습필요없음",K620)),ISNUMBER(SEARCH("자력완벽",K620))),"품(복습불필요)",IF(F620&lt;&gt;"","품","미완료"))))))))))</f>
        <v/>
      </c>
      <c r="K620" s="32" t="inlineStr">
        <is>
          <t>-</t>
        </is>
      </c>
      <c r="L620" s="32" t="n"/>
      <c r="M620" s="28">
        <f>IF(OR(LEFT(J620,2)="보류", LEFT(J620,4)="복습대기", LEFT(J620,3)="복습1", LEFT(J620,3)="복습2"), MAX($M$3:M619)+1, "")</f>
        <v/>
      </c>
      <c r="N620" s="28" t="inlineStr">
        <is>
          <t>W16</t>
        </is>
      </c>
      <c r="O620" s="36" t="n">
        <v>46365</v>
      </c>
      <c r="P620" s="30">
        <f>IF(F620&lt;&gt;"","✅ 완료",IF(O620="","-",IF(TODAY()&gt;O620,"🚨 지연","⏳ 예정")))</f>
        <v/>
      </c>
      <c r="Q620" s="7" t="n"/>
      <c r="R620" s="7" t="n"/>
      <c r="S620" s="7" t="n"/>
      <c r="T620" s="7" t="n"/>
      <c r="U620" s="7" t="n"/>
      <c r="V620" s="7" t="n"/>
      <c r="W620" s="7" t="n"/>
      <c r="X620" s="7" t="n"/>
    </row>
    <row r="621" ht="21.75" customHeight="1" s="209">
      <c r="A621" s="28" t="n">
        <v>618</v>
      </c>
      <c r="B621" s="28" t="inlineStr">
        <is>
          <t>7966</t>
        </is>
      </c>
      <c r="C621" s="30" t="inlineStr">
        <is>
          <t>D5</t>
        </is>
      </c>
      <c r="D621" s="32" t="inlineStr">
        <is>
          <t>보석상 홍준</t>
        </is>
      </c>
      <c r="E621" s="28" t="inlineStr">
        <is>
          <t>동적계획법 (DP) / 그래프</t>
        </is>
      </c>
      <c r="F621" s="28" t="n"/>
      <c r="G621" s="28" t="n"/>
      <c r="H621" s="28" t="n"/>
      <c r="I621" s="28" t="n"/>
      <c r="J621" s="54">
        <f>IF(OR(ISNUMBER(SEARCH("보류",K621)),ISNUMBER(SEARCH("미룸",K621)),ISNUMBER(SEARCH("나중에",K621)),ISNUMBER(SEARCH("보류",L621)),ISNUMBER(SEARCH("미룸",L621)),ISNUMBER(SEARCH("나중에",L621))),"보류(나중에 풀기)",IF(AND(F621="",G621="",H621="",I621=""),"미완료",IF(I621&lt;&gt;"","복습3(마스터)",IF(H621&lt;&gt;"","복습2",IF(G621&lt;&gt;"","복습1",IF(ISNUMBER(SEARCH("제미나이",K621)),"복습대기(AI도움)",IF(ISNUMBER(SEARCH("간당간당",K621)),"복습대기(간당간당)",IF(OR(ISNUMBER(SEARCH("아이디어",K621)),ISNUMBER(SEARCH("시간초과",K621)),ISNUMBER(SEARCH("자료구조",K621)),ISNUMBER(SEARCH("경계값",K621)),ISNUMBER(SEARCH("다른 풀이",K621)),ISNUMBER(SEARCH("또풀기",K621))),"복습대기",IF(OR(ISNUMBER(SEARCH("복습필요없음",K621)),ISNUMBER(SEARCH("자력완벽",K621))),"품(복습불필요)",IF(F621&lt;&gt;"","품","미완료"))))))))))</f>
        <v/>
      </c>
      <c r="K621" s="32" t="inlineStr">
        <is>
          <t>-</t>
        </is>
      </c>
      <c r="L621" s="32" t="n"/>
      <c r="M621" s="28">
        <f>IF(OR(LEFT(J621,2)="보류", LEFT(J621,4)="복습대기", LEFT(J621,3)="복습1", LEFT(J621,3)="복습2"), MAX($M$3:M620)+1, "")</f>
        <v/>
      </c>
      <c r="N621" s="28" t="inlineStr">
        <is>
          <t>W16</t>
        </is>
      </c>
      <c r="O621" s="36" t="n">
        <v>46365</v>
      </c>
      <c r="P621" s="30">
        <f>IF(F621&lt;&gt;"","✅ 완료",IF(O621="","-",IF(TODAY()&gt;O621,"🚨 지연","⏳ 예정")))</f>
        <v/>
      </c>
      <c r="Q621" s="7" t="n"/>
      <c r="R621" s="7" t="n"/>
      <c r="S621" s="7" t="n"/>
      <c r="T621" s="7" t="n"/>
      <c r="U621" s="7" t="n"/>
      <c r="V621" s="7" t="n"/>
      <c r="W621" s="7" t="n"/>
      <c r="X621" s="7" t="n"/>
    </row>
    <row r="622" ht="21.75" customHeight="1" s="209">
      <c r="A622" s="28" t="n">
        <v>619</v>
      </c>
      <c r="B622" s="28" t="inlineStr">
        <is>
          <t>7991</t>
        </is>
      </c>
      <c r="C622" s="30" t="inlineStr">
        <is>
          <t>D5</t>
        </is>
      </c>
      <c r="D622" s="32" t="inlineStr">
        <is>
          <t>줄 세우기</t>
        </is>
      </c>
      <c r="E622" s="28" t="inlineStr">
        <is>
          <t>동적계획법 (DP) / 그래프</t>
        </is>
      </c>
      <c r="F622" s="28" t="n"/>
      <c r="G622" s="28" t="n"/>
      <c r="H622" s="28" t="n"/>
      <c r="I622" s="28" t="n"/>
      <c r="J622" s="54">
        <f>IF(OR(ISNUMBER(SEARCH("보류",K622)),ISNUMBER(SEARCH("미룸",K622)),ISNUMBER(SEARCH("나중에",K622)),ISNUMBER(SEARCH("보류",L622)),ISNUMBER(SEARCH("미룸",L622)),ISNUMBER(SEARCH("나중에",L622))),"보류(나중에 풀기)",IF(AND(F622="",G622="",H622="",I622=""),"미완료",IF(I622&lt;&gt;"","복습3(마스터)",IF(H622&lt;&gt;"","복습2",IF(G622&lt;&gt;"","복습1",IF(ISNUMBER(SEARCH("제미나이",K622)),"복습대기(AI도움)",IF(ISNUMBER(SEARCH("간당간당",K622)),"복습대기(간당간당)",IF(OR(ISNUMBER(SEARCH("아이디어",K622)),ISNUMBER(SEARCH("시간초과",K622)),ISNUMBER(SEARCH("자료구조",K622)),ISNUMBER(SEARCH("경계값",K622)),ISNUMBER(SEARCH("다른 풀이",K622)),ISNUMBER(SEARCH("또풀기",K622))),"복습대기",IF(OR(ISNUMBER(SEARCH("복습필요없음",K622)),ISNUMBER(SEARCH("자력완벽",K622))),"품(복습불필요)",IF(F622&lt;&gt;"","품","미완료"))))))))))</f>
        <v/>
      </c>
      <c r="K622" s="32" t="inlineStr">
        <is>
          <t>-</t>
        </is>
      </c>
      <c r="L622" s="32" t="n"/>
      <c r="M622" s="28">
        <f>IF(OR(LEFT(J622,2)="보류", LEFT(J622,4)="복습대기", LEFT(J622,3)="복습1", LEFT(J622,3)="복습2"), MAX($M$3:M621)+1, "")</f>
        <v/>
      </c>
      <c r="N622" s="28" t="inlineStr">
        <is>
          <t>W16</t>
        </is>
      </c>
      <c r="O622" s="36" t="n">
        <v>46365</v>
      </c>
      <c r="P622" s="30">
        <f>IF(F622&lt;&gt;"","✅ 완료",IF(O622="","-",IF(TODAY()&gt;O622,"🚨 지연","⏳ 예정")))</f>
        <v/>
      </c>
      <c r="Q622" s="7" t="n"/>
      <c r="R622" s="7" t="n"/>
      <c r="S622" s="7" t="n"/>
      <c r="T622" s="7" t="n"/>
      <c r="U622" s="7" t="n"/>
      <c r="V622" s="7" t="n"/>
      <c r="W622" s="7" t="n"/>
      <c r="X622" s="7" t="n"/>
    </row>
    <row r="623" ht="21.75" customHeight="1" s="209">
      <c r="A623" s="28" t="n">
        <v>620</v>
      </c>
      <c r="B623" s="28" t="inlineStr">
        <is>
          <t>8050</t>
        </is>
      </c>
      <c r="C623" s="30" t="inlineStr">
        <is>
          <t>D5</t>
        </is>
      </c>
      <c r="D623" s="32" t="inlineStr">
        <is>
          <t>영양사 수정</t>
        </is>
      </c>
      <c r="E623" s="28" t="inlineStr">
        <is>
          <t>동적계획법 (DP) / 그래프</t>
        </is>
      </c>
      <c r="F623" s="28" t="n"/>
      <c r="G623" s="28" t="n"/>
      <c r="H623" s="28" t="n"/>
      <c r="I623" s="28" t="n"/>
      <c r="J623" s="54">
        <f>IF(OR(ISNUMBER(SEARCH("보류",K623)),ISNUMBER(SEARCH("미룸",K623)),ISNUMBER(SEARCH("나중에",K623)),ISNUMBER(SEARCH("보류",L623)),ISNUMBER(SEARCH("미룸",L623)),ISNUMBER(SEARCH("나중에",L623))),"보류(나중에 풀기)",IF(AND(F623="",G623="",H623="",I623=""),"미완료",IF(I623&lt;&gt;"","복습3(마스터)",IF(H623&lt;&gt;"","복습2",IF(G623&lt;&gt;"","복습1",IF(ISNUMBER(SEARCH("제미나이",K623)),"복습대기(AI도움)",IF(ISNUMBER(SEARCH("간당간당",K623)),"복습대기(간당간당)",IF(OR(ISNUMBER(SEARCH("아이디어",K623)),ISNUMBER(SEARCH("시간초과",K623)),ISNUMBER(SEARCH("자료구조",K623)),ISNUMBER(SEARCH("경계값",K623)),ISNUMBER(SEARCH("다른 풀이",K623)),ISNUMBER(SEARCH("또풀기",K623))),"복습대기",IF(OR(ISNUMBER(SEARCH("복습필요없음",K623)),ISNUMBER(SEARCH("자력완벽",K623))),"품(복습불필요)",IF(F623&lt;&gt;"","품","미완료"))))))))))</f>
        <v/>
      </c>
      <c r="K623" s="32" t="inlineStr">
        <is>
          <t>-</t>
        </is>
      </c>
      <c r="L623" s="32" t="n"/>
      <c r="M623" s="28">
        <f>IF(OR(LEFT(J623,2)="보류", LEFT(J623,4)="복습대기", LEFT(J623,3)="복습1", LEFT(J623,3)="복습2"), MAX($M$3:M622)+1, "")</f>
        <v/>
      </c>
      <c r="N623" s="28" t="inlineStr">
        <is>
          <t>W16</t>
        </is>
      </c>
      <c r="O623" s="36" t="n">
        <v>46365</v>
      </c>
      <c r="P623" s="30">
        <f>IF(F623&lt;&gt;"","✅ 완료",IF(O623="","-",IF(TODAY()&gt;O623,"🚨 지연","⏳ 예정")))</f>
        <v/>
      </c>
      <c r="Q623" s="7" t="n"/>
      <c r="R623" s="7" t="n"/>
      <c r="S623" s="7" t="n"/>
      <c r="T623" s="7" t="n"/>
      <c r="U623" s="7" t="n"/>
      <c r="V623" s="7" t="n"/>
      <c r="W623" s="7" t="n"/>
      <c r="X623" s="7" t="n"/>
    </row>
    <row r="624" ht="21.75" customHeight="1" s="209">
      <c r="A624" s="28" t="n">
        <v>621</v>
      </c>
      <c r="B624" s="28" t="inlineStr">
        <is>
          <t>8105</t>
        </is>
      </c>
      <c r="C624" s="30" t="inlineStr">
        <is>
          <t>D5</t>
        </is>
      </c>
      <c r="D624" s="32" t="inlineStr">
        <is>
          <t>두 돌 무더기</t>
        </is>
      </c>
      <c r="E624" s="28" t="inlineStr">
        <is>
          <t>동적계획법 (DP) / 그래프</t>
        </is>
      </c>
      <c r="F624" s="28" t="n"/>
      <c r="G624" s="28" t="n"/>
      <c r="H624" s="28" t="n"/>
      <c r="I624" s="28" t="n"/>
      <c r="J624" s="54">
        <f>IF(OR(ISNUMBER(SEARCH("보류",K624)),ISNUMBER(SEARCH("미룸",K624)),ISNUMBER(SEARCH("나중에",K624)),ISNUMBER(SEARCH("보류",L624)),ISNUMBER(SEARCH("미룸",L624)),ISNUMBER(SEARCH("나중에",L624))),"보류(나중에 풀기)",IF(AND(F624="",G624="",H624="",I624=""),"미완료",IF(I624&lt;&gt;"","복습3(마스터)",IF(H624&lt;&gt;"","복습2",IF(G624&lt;&gt;"","복습1",IF(ISNUMBER(SEARCH("제미나이",K624)),"복습대기(AI도움)",IF(ISNUMBER(SEARCH("간당간당",K624)),"복습대기(간당간당)",IF(OR(ISNUMBER(SEARCH("아이디어",K624)),ISNUMBER(SEARCH("시간초과",K624)),ISNUMBER(SEARCH("자료구조",K624)),ISNUMBER(SEARCH("경계값",K624)),ISNUMBER(SEARCH("다른 풀이",K624)),ISNUMBER(SEARCH("또풀기",K624))),"복습대기",IF(OR(ISNUMBER(SEARCH("복습필요없음",K624)),ISNUMBER(SEARCH("자력완벽",K624))),"품(복습불필요)",IF(F624&lt;&gt;"","품","미완료"))))))))))</f>
        <v/>
      </c>
      <c r="K624" s="32" t="inlineStr">
        <is>
          <t>-</t>
        </is>
      </c>
      <c r="L624" s="32" t="n"/>
      <c r="M624" s="28">
        <f>IF(OR(LEFT(J624,2)="보류", LEFT(J624,4)="복습대기", LEFT(J624,3)="복습1", LEFT(J624,3)="복습2"), MAX($M$3:M623)+1, "")</f>
        <v/>
      </c>
      <c r="N624" s="28" t="inlineStr">
        <is>
          <t>W16</t>
        </is>
      </c>
      <c r="O624" s="36" t="n">
        <v>46365</v>
      </c>
      <c r="P624" s="30">
        <f>IF(F624&lt;&gt;"","✅ 완료",IF(O624="","-",IF(TODAY()&gt;O624,"🚨 지연","⏳ 예정")))</f>
        <v/>
      </c>
      <c r="Q624" s="7" t="n"/>
      <c r="R624" s="7" t="n"/>
      <c r="S624" s="7" t="n"/>
      <c r="T624" s="7" t="n"/>
      <c r="U624" s="7" t="n"/>
      <c r="V624" s="7" t="n"/>
      <c r="W624" s="7" t="n"/>
      <c r="X624" s="7" t="n"/>
    </row>
    <row r="625" ht="21.75" customHeight="1" s="209">
      <c r="A625" s="28" t="n">
        <v>622</v>
      </c>
      <c r="B625" s="28" t="inlineStr">
        <is>
          <t>8191</t>
        </is>
      </c>
      <c r="C625" s="30" t="inlineStr">
        <is>
          <t>D5</t>
        </is>
      </c>
      <c r="D625" s="32" t="inlineStr">
        <is>
          <t>만화책 정렬하기</t>
        </is>
      </c>
      <c r="E625" s="28" t="inlineStr">
        <is>
          <t>동적계획법 (DP) / 그래프</t>
        </is>
      </c>
      <c r="F625" s="28" t="n"/>
      <c r="G625" s="28" t="n"/>
      <c r="H625" s="28" t="n"/>
      <c r="I625" s="28" t="n"/>
      <c r="J625" s="54">
        <f>IF(OR(ISNUMBER(SEARCH("보류",K625)),ISNUMBER(SEARCH("미룸",K625)),ISNUMBER(SEARCH("나중에",K625)),ISNUMBER(SEARCH("보류",L625)),ISNUMBER(SEARCH("미룸",L625)),ISNUMBER(SEARCH("나중에",L625))),"보류(나중에 풀기)",IF(AND(F625="",G625="",H625="",I625=""),"미완료",IF(I625&lt;&gt;"","복습3(마스터)",IF(H625&lt;&gt;"","복습2",IF(G625&lt;&gt;"","복습1",IF(ISNUMBER(SEARCH("제미나이",K625)),"복습대기(AI도움)",IF(ISNUMBER(SEARCH("간당간당",K625)),"복습대기(간당간당)",IF(OR(ISNUMBER(SEARCH("아이디어",K625)),ISNUMBER(SEARCH("시간초과",K625)),ISNUMBER(SEARCH("자료구조",K625)),ISNUMBER(SEARCH("경계값",K625)),ISNUMBER(SEARCH("다른 풀이",K625)),ISNUMBER(SEARCH("또풀기",K625))),"복습대기",IF(OR(ISNUMBER(SEARCH("복습필요없음",K625)),ISNUMBER(SEARCH("자력완벽",K625))),"품(복습불필요)",IF(F625&lt;&gt;"","품","미완료"))))))))))</f>
        <v/>
      </c>
      <c r="K625" s="32" t="inlineStr">
        <is>
          <t>-</t>
        </is>
      </c>
      <c r="L625" s="32" t="n"/>
      <c r="M625" s="28">
        <f>IF(OR(LEFT(J625,2)="보류", LEFT(J625,4)="복습대기", LEFT(J625,3)="복습1", LEFT(J625,3)="복습2"), MAX($M$3:M624)+1, "")</f>
        <v/>
      </c>
      <c r="N625" s="28" t="inlineStr">
        <is>
          <t>W16</t>
        </is>
      </c>
      <c r="O625" s="36" t="n">
        <v>46366</v>
      </c>
      <c r="P625" s="30">
        <f>IF(F625&lt;&gt;"","✅ 완료",IF(O625="","-",IF(TODAY()&gt;O625,"🚨 지연","⏳ 예정")))</f>
        <v/>
      </c>
      <c r="Q625" s="7" t="n"/>
      <c r="R625" s="7" t="n"/>
      <c r="S625" s="7" t="n"/>
      <c r="T625" s="7" t="n"/>
      <c r="U625" s="7" t="n"/>
      <c r="V625" s="7" t="n"/>
      <c r="W625" s="7" t="n"/>
      <c r="X625" s="7" t="n"/>
    </row>
    <row r="626" ht="21.75" customHeight="1" s="209">
      <c r="A626" s="28" t="n">
        <v>623</v>
      </c>
      <c r="B626" s="28" t="inlineStr">
        <is>
          <t>8278</t>
        </is>
      </c>
      <c r="C626" s="30" t="inlineStr">
        <is>
          <t>D5</t>
        </is>
      </c>
      <c r="D626" s="32" t="inlineStr">
        <is>
          <t>이상한 수열</t>
        </is>
      </c>
      <c r="E626" s="28" t="inlineStr">
        <is>
          <t>동적계획법 (DP)</t>
        </is>
      </c>
      <c r="F626" s="28" t="n"/>
      <c r="G626" s="28" t="n"/>
      <c r="H626" s="28" t="n"/>
      <c r="I626" s="28" t="n"/>
      <c r="J626" s="54">
        <f>IF(OR(ISNUMBER(SEARCH("보류",K626)),ISNUMBER(SEARCH("미룸",K626)),ISNUMBER(SEARCH("나중에",K626)),ISNUMBER(SEARCH("보류",L626)),ISNUMBER(SEARCH("미룸",L626)),ISNUMBER(SEARCH("나중에",L626))),"보류(나중에 풀기)",IF(AND(F626="",G626="",H626="",I626=""),"미완료",IF(I626&lt;&gt;"","복습3(마스터)",IF(H626&lt;&gt;"","복습2",IF(G626&lt;&gt;"","복습1",IF(ISNUMBER(SEARCH("제미나이",K626)),"복습대기(AI도움)",IF(ISNUMBER(SEARCH("간당간당",K626)),"복습대기(간당간당)",IF(OR(ISNUMBER(SEARCH("아이디어",K626)),ISNUMBER(SEARCH("시간초과",K626)),ISNUMBER(SEARCH("자료구조",K626)),ISNUMBER(SEARCH("경계값",K626)),ISNUMBER(SEARCH("다른 풀이",K626)),ISNUMBER(SEARCH("또풀기",K626))),"복습대기",IF(OR(ISNUMBER(SEARCH("복습필요없음",K626)),ISNUMBER(SEARCH("자력완벽",K626))),"품(복습불필요)",IF(F626&lt;&gt;"","품","미완료"))))))))))</f>
        <v/>
      </c>
      <c r="K626" s="32" t="inlineStr">
        <is>
          <t>-</t>
        </is>
      </c>
      <c r="L626" s="32" t="n"/>
      <c r="M626" s="28">
        <f>IF(OR(LEFT(J626,2)="보류", LEFT(J626,4)="복습대기", LEFT(J626,3)="복습1", LEFT(J626,3)="복습2"), MAX($M$3:M625)+1, "")</f>
        <v/>
      </c>
      <c r="N626" s="28" t="inlineStr">
        <is>
          <t>W16</t>
        </is>
      </c>
      <c r="O626" s="36" t="n">
        <v>46366</v>
      </c>
      <c r="P626" s="30">
        <f>IF(F626&lt;&gt;"","✅ 완료",IF(O626="","-",IF(TODAY()&gt;O626,"🚨 지연","⏳ 예정")))</f>
        <v/>
      </c>
      <c r="Q626" s="7" t="n"/>
      <c r="R626" s="7" t="n"/>
      <c r="S626" s="7" t="n"/>
      <c r="T626" s="7" t="n"/>
      <c r="U626" s="7" t="n"/>
      <c r="V626" s="7" t="n"/>
      <c r="W626" s="7" t="n"/>
      <c r="X626" s="7" t="n"/>
    </row>
    <row r="627" ht="21.75" customHeight="1" s="209">
      <c r="A627" s="28" t="n">
        <v>624</v>
      </c>
      <c r="B627" s="28" t="inlineStr">
        <is>
          <t>8279</t>
        </is>
      </c>
      <c r="C627" s="30" t="inlineStr">
        <is>
          <t>D5</t>
        </is>
      </c>
      <c r="D627" s="32" t="inlineStr">
        <is>
          <t>가위바위보 내기</t>
        </is>
      </c>
      <c r="E627" s="28" t="inlineStr">
        <is>
          <t>동적계획법 (DP) / 그래프</t>
        </is>
      </c>
      <c r="F627" s="28" t="n"/>
      <c r="G627" s="28" t="n"/>
      <c r="H627" s="28" t="n"/>
      <c r="I627" s="28" t="n"/>
      <c r="J627" s="54">
        <f>IF(OR(ISNUMBER(SEARCH("보류",K627)),ISNUMBER(SEARCH("미룸",K627)),ISNUMBER(SEARCH("나중에",K627)),ISNUMBER(SEARCH("보류",L627)),ISNUMBER(SEARCH("미룸",L627)),ISNUMBER(SEARCH("나중에",L627))),"보류(나중에 풀기)",IF(AND(F627="",G627="",H627="",I627=""),"미완료",IF(I627&lt;&gt;"","복습3(마스터)",IF(H627&lt;&gt;"","복습2",IF(G627&lt;&gt;"","복습1",IF(ISNUMBER(SEARCH("제미나이",K627)),"복습대기(AI도움)",IF(ISNUMBER(SEARCH("간당간당",K627)),"복습대기(간당간당)",IF(OR(ISNUMBER(SEARCH("아이디어",K627)),ISNUMBER(SEARCH("시간초과",K627)),ISNUMBER(SEARCH("자료구조",K627)),ISNUMBER(SEARCH("경계값",K627)),ISNUMBER(SEARCH("다른 풀이",K627)),ISNUMBER(SEARCH("또풀기",K627))),"복습대기",IF(OR(ISNUMBER(SEARCH("복습필요없음",K627)),ISNUMBER(SEARCH("자력완벽",K627))),"품(복습불필요)",IF(F627&lt;&gt;"","품","미완료"))))))))))</f>
        <v/>
      </c>
      <c r="K627" s="32" t="inlineStr">
        <is>
          <t>-</t>
        </is>
      </c>
      <c r="L627" s="32" t="n"/>
      <c r="M627" s="28">
        <f>IF(OR(LEFT(J627,2)="보류", LEFT(J627,4)="복습대기", LEFT(J627,3)="복습1", LEFT(J627,3)="복습2"), MAX($M$3:M626)+1, "")</f>
        <v/>
      </c>
      <c r="N627" s="28" t="inlineStr">
        <is>
          <t>W16</t>
        </is>
      </c>
      <c r="O627" s="36" t="n">
        <v>46366</v>
      </c>
      <c r="P627" s="30">
        <f>IF(F627&lt;&gt;"","✅ 완료",IF(O627="","-",IF(TODAY()&gt;O627,"🚨 지연","⏳ 예정")))</f>
        <v/>
      </c>
      <c r="Q627" s="7" t="n"/>
      <c r="R627" s="7" t="n"/>
      <c r="S627" s="7" t="n"/>
      <c r="T627" s="7" t="n"/>
      <c r="U627" s="7" t="n"/>
      <c r="V627" s="7" t="n"/>
      <c r="W627" s="7" t="n"/>
      <c r="X627" s="7" t="n"/>
    </row>
    <row r="628" ht="21.75" customHeight="1" s="209">
      <c r="A628" s="28" t="n">
        <v>625</v>
      </c>
      <c r="B628" s="28" t="inlineStr">
        <is>
          <t>8352</t>
        </is>
      </c>
      <c r="C628" s="30" t="inlineStr">
        <is>
          <t>D5</t>
        </is>
      </c>
      <c r="D628" s="32" t="inlineStr">
        <is>
          <t>모든 것이 1이 된다</t>
        </is>
      </c>
      <c r="E628" s="28" t="inlineStr">
        <is>
          <t>동적계획법 (DP) / 그래프</t>
        </is>
      </c>
      <c r="F628" s="28" t="n"/>
      <c r="G628" s="28" t="n"/>
      <c r="H628" s="28" t="n"/>
      <c r="I628" s="28" t="n"/>
      <c r="J628" s="54">
        <f>IF(OR(ISNUMBER(SEARCH("보류",K628)),ISNUMBER(SEARCH("미룸",K628)),ISNUMBER(SEARCH("나중에",K628)),ISNUMBER(SEARCH("보류",L628)),ISNUMBER(SEARCH("미룸",L628)),ISNUMBER(SEARCH("나중에",L628))),"보류(나중에 풀기)",IF(AND(F628="",G628="",H628="",I628=""),"미완료",IF(I628&lt;&gt;"","복습3(마스터)",IF(H628&lt;&gt;"","복습2",IF(G628&lt;&gt;"","복습1",IF(ISNUMBER(SEARCH("제미나이",K628)),"복습대기(AI도움)",IF(ISNUMBER(SEARCH("간당간당",K628)),"복습대기(간당간당)",IF(OR(ISNUMBER(SEARCH("아이디어",K628)),ISNUMBER(SEARCH("시간초과",K628)),ISNUMBER(SEARCH("자료구조",K628)),ISNUMBER(SEARCH("경계값",K628)),ISNUMBER(SEARCH("다른 풀이",K628)),ISNUMBER(SEARCH("또풀기",K628))),"복습대기",IF(OR(ISNUMBER(SEARCH("복습필요없음",K628)),ISNUMBER(SEARCH("자력완벽",K628))),"품(복습불필요)",IF(F628&lt;&gt;"","품","미완료"))))))))))</f>
        <v/>
      </c>
      <c r="K628" s="32" t="inlineStr">
        <is>
          <t>-</t>
        </is>
      </c>
      <c r="L628" s="32" t="n"/>
      <c r="M628" s="28">
        <f>IF(OR(LEFT(J628,2)="보류", LEFT(J628,4)="복습대기", LEFT(J628,3)="복습1", LEFT(J628,3)="복습2"), MAX($M$3:M627)+1, "")</f>
        <v/>
      </c>
      <c r="N628" s="28" t="inlineStr">
        <is>
          <t>W16</t>
        </is>
      </c>
      <c r="O628" s="36" t="n">
        <v>46366</v>
      </c>
      <c r="P628" s="30">
        <f>IF(F628&lt;&gt;"","✅ 완료",IF(O628="","-",IF(TODAY()&gt;O628,"🚨 지연","⏳ 예정")))</f>
        <v/>
      </c>
      <c r="Q628" s="7" t="n"/>
      <c r="R628" s="7" t="n"/>
      <c r="S628" s="7" t="n"/>
      <c r="T628" s="7" t="n"/>
      <c r="U628" s="7" t="n"/>
      <c r="V628" s="7" t="n"/>
      <c r="W628" s="7" t="n"/>
      <c r="X628" s="7" t="n"/>
    </row>
    <row r="629" ht="21.75" customHeight="1" s="209">
      <c r="A629" s="28" t="n">
        <v>626</v>
      </c>
      <c r="B629" s="28" t="inlineStr">
        <is>
          <t>8383</t>
        </is>
      </c>
      <c r="C629" s="30" t="inlineStr">
        <is>
          <t>D5</t>
        </is>
      </c>
      <c r="D629" s="32" t="inlineStr">
        <is>
          <t>숫자 선물</t>
        </is>
      </c>
      <c r="E629" s="28" t="inlineStr">
        <is>
          <t>동적계획법 (DP) / 그래프</t>
        </is>
      </c>
      <c r="F629" s="28" t="n"/>
      <c r="G629" s="28" t="n"/>
      <c r="H629" s="28" t="n"/>
      <c r="I629" s="28" t="n"/>
      <c r="J629" s="54">
        <f>IF(OR(ISNUMBER(SEARCH("보류",K629)),ISNUMBER(SEARCH("미룸",K629)),ISNUMBER(SEARCH("나중에",K629)),ISNUMBER(SEARCH("보류",L629)),ISNUMBER(SEARCH("미룸",L629)),ISNUMBER(SEARCH("나중에",L629))),"보류(나중에 풀기)",IF(AND(F629="",G629="",H629="",I629=""),"미완료",IF(I629&lt;&gt;"","복습3(마스터)",IF(H629&lt;&gt;"","복습2",IF(G629&lt;&gt;"","복습1",IF(ISNUMBER(SEARCH("제미나이",K629)),"복습대기(AI도움)",IF(ISNUMBER(SEARCH("간당간당",K629)),"복습대기(간당간당)",IF(OR(ISNUMBER(SEARCH("아이디어",K629)),ISNUMBER(SEARCH("시간초과",K629)),ISNUMBER(SEARCH("자료구조",K629)),ISNUMBER(SEARCH("경계값",K629)),ISNUMBER(SEARCH("다른 풀이",K629)),ISNUMBER(SEARCH("또풀기",K629))),"복습대기",IF(OR(ISNUMBER(SEARCH("복습필요없음",K629)),ISNUMBER(SEARCH("자력완벽",K629))),"품(복습불필요)",IF(F629&lt;&gt;"","품","미완료"))))))))))</f>
        <v/>
      </c>
      <c r="K629" s="32" t="inlineStr">
        <is>
          <t>-</t>
        </is>
      </c>
      <c r="L629" s="32" t="n"/>
      <c r="M629" s="28">
        <f>IF(OR(LEFT(J629,2)="보류", LEFT(J629,4)="복습대기", LEFT(J629,3)="복습1", LEFT(J629,3)="복습2"), MAX($M$3:M628)+1, "")</f>
        <v/>
      </c>
      <c r="N629" s="28" t="inlineStr">
        <is>
          <t>W16</t>
        </is>
      </c>
      <c r="O629" s="36" t="n">
        <v>46366</v>
      </c>
      <c r="P629" s="30">
        <f>IF(F629&lt;&gt;"","✅ 완료",IF(O629="","-",IF(TODAY()&gt;O629,"🚨 지연","⏳ 예정")))</f>
        <v/>
      </c>
      <c r="Q629" s="7" t="n"/>
      <c r="R629" s="7" t="n"/>
      <c r="S629" s="7" t="n"/>
      <c r="T629" s="7" t="n"/>
      <c r="U629" s="7" t="n"/>
      <c r="V629" s="7" t="n"/>
      <c r="W629" s="7" t="n"/>
      <c r="X629" s="7" t="n"/>
    </row>
    <row r="630" ht="21.75" customHeight="1" s="209">
      <c r="A630" s="28" t="n">
        <v>627</v>
      </c>
      <c r="B630" s="28" t="inlineStr">
        <is>
          <t>8459</t>
        </is>
      </c>
      <c r="C630" s="30" t="inlineStr">
        <is>
          <t>D5</t>
        </is>
      </c>
      <c r="D630" s="32" t="inlineStr">
        <is>
          <t>인터벌 커버</t>
        </is>
      </c>
      <c r="E630" s="28" t="inlineStr">
        <is>
          <t>동적계획법 (DP) / 그래프</t>
        </is>
      </c>
      <c r="F630" s="28" t="n"/>
      <c r="G630" s="28" t="n"/>
      <c r="H630" s="28" t="n"/>
      <c r="I630" s="28" t="n"/>
      <c r="J630" s="54">
        <f>IF(OR(ISNUMBER(SEARCH("보류",K630)),ISNUMBER(SEARCH("미룸",K630)),ISNUMBER(SEARCH("나중에",K630)),ISNUMBER(SEARCH("보류",L630)),ISNUMBER(SEARCH("미룸",L630)),ISNUMBER(SEARCH("나중에",L630))),"보류(나중에 풀기)",IF(AND(F630="",G630="",H630="",I630=""),"미완료",IF(I630&lt;&gt;"","복습3(마스터)",IF(H630&lt;&gt;"","복습2",IF(G630&lt;&gt;"","복습1",IF(ISNUMBER(SEARCH("제미나이",K630)),"복습대기(AI도움)",IF(ISNUMBER(SEARCH("간당간당",K630)),"복습대기(간당간당)",IF(OR(ISNUMBER(SEARCH("아이디어",K630)),ISNUMBER(SEARCH("시간초과",K630)),ISNUMBER(SEARCH("자료구조",K630)),ISNUMBER(SEARCH("경계값",K630)),ISNUMBER(SEARCH("다른 풀이",K630)),ISNUMBER(SEARCH("또풀기",K630))),"복습대기",IF(OR(ISNUMBER(SEARCH("복습필요없음",K630)),ISNUMBER(SEARCH("자력완벽",K630))),"품(복습불필요)",IF(F630&lt;&gt;"","품","미완료"))))))))))</f>
        <v/>
      </c>
      <c r="K630" s="32" t="inlineStr">
        <is>
          <t>-</t>
        </is>
      </c>
      <c r="L630" s="32" t="n"/>
      <c r="M630" s="28">
        <f>IF(OR(LEFT(J630,2)="보류", LEFT(J630,4)="복습대기", LEFT(J630,3)="복습1", LEFT(J630,3)="복습2"), MAX($M$3:M629)+1, "")</f>
        <v/>
      </c>
      <c r="N630" s="28" t="inlineStr">
        <is>
          <t>W16</t>
        </is>
      </c>
      <c r="O630" s="36" t="n">
        <v>46366</v>
      </c>
      <c r="P630" s="30">
        <f>IF(F630&lt;&gt;"","✅ 완료",IF(O630="","-",IF(TODAY()&gt;O630,"🚨 지연","⏳ 예정")))</f>
        <v/>
      </c>
      <c r="Q630" s="7" t="n"/>
      <c r="R630" s="7" t="n"/>
      <c r="S630" s="7" t="n"/>
      <c r="T630" s="7" t="n"/>
      <c r="U630" s="7" t="n"/>
      <c r="V630" s="7" t="n"/>
      <c r="W630" s="7" t="n"/>
      <c r="X630" s="7" t="n"/>
    </row>
    <row r="631" ht="21.75" customHeight="1" s="209">
      <c r="A631" s="28" t="n">
        <v>628</v>
      </c>
      <c r="B631" s="28" t="inlineStr">
        <is>
          <t>8502</t>
        </is>
      </c>
      <c r="C631" s="30" t="inlineStr">
        <is>
          <t>D5</t>
        </is>
      </c>
      <c r="D631" s="32" t="inlineStr">
        <is>
          <t>합과 곱</t>
        </is>
      </c>
      <c r="E631" s="28" t="inlineStr">
        <is>
          <t>수학 / 정수론</t>
        </is>
      </c>
      <c r="F631" s="28" t="n"/>
      <c r="G631" s="28" t="n"/>
      <c r="H631" s="28" t="n"/>
      <c r="I631" s="28" t="n"/>
      <c r="J631" s="54">
        <f>IF(OR(ISNUMBER(SEARCH("보류",K631)),ISNUMBER(SEARCH("미룸",K631)),ISNUMBER(SEARCH("나중에",K631)),ISNUMBER(SEARCH("보류",L631)),ISNUMBER(SEARCH("미룸",L631)),ISNUMBER(SEARCH("나중에",L631))),"보류(나중에 풀기)",IF(AND(F631="",G631="",H631="",I631=""),"미완료",IF(I631&lt;&gt;"","복습3(마스터)",IF(H631&lt;&gt;"","복습2",IF(G631&lt;&gt;"","복습1",IF(ISNUMBER(SEARCH("제미나이",K631)),"복습대기(AI도움)",IF(ISNUMBER(SEARCH("간당간당",K631)),"복습대기(간당간당)",IF(OR(ISNUMBER(SEARCH("아이디어",K631)),ISNUMBER(SEARCH("시간초과",K631)),ISNUMBER(SEARCH("자료구조",K631)),ISNUMBER(SEARCH("경계값",K631)),ISNUMBER(SEARCH("다른 풀이",K631)),ISNUMBER(SEARCH("또풀기",K631))),"복습대기",IF(OR(ISNUMBER(SEARCH("복습필요없음",K631)),ISNUMBER(SEARCH("자력완벽",K631))),"품(복습불필요)",IF(F631&lt;&gt;"","품","미완료"))))))))))</f>
        <v/>
      </c>
      <c r="K631" s="32" t="inlineStr">
        <is>
          <t>-</t>
        </is>
      </c>
      <c r="L631" s="32" t="n"/>
      <c r="M631" s="28">
        <f>IF(OR(LEFT(J631,2)="보류", LEFT(J631,4)="복습대기", LEFT(J631,3)="복습1", LEFT(J631,3)="복습2"), MAX($M$3:M630)+1, "")</f>
        <v/>
      </c>
      <c r="N631" s="28" t="inlineStr">
        <is>
          <t>W16</t>
        </is>
      </c>
      <c r="O631" s="36" t="n">
        <v>46366</v>
      </c>
      <c r="P631" s="30">
        <f>IF(F631&lt;&gt;"","✅ 완료",IF(O631="","-",IF(TODAY()&gt;O631,"🚨 지연","⏳ 예정")))</f>
        <v/>
      </c>
      <c r="Q631" s="7" t="n"/>
      <c r="R631" s="7" t="n"/>
      <c r="S631" s="7" t="n"/>
      <c r="T631" s="7" t="n"/>
      <c r="U631" s="7" t="n"/>
      <c r="V631" s="7" t="n"/>
      <c r="W631" s="7" t="n"/>
      <c r="X631" s="7" t="n"/>
    </row>
    <row r="632" ht="21.75" customHeight="1" s="209">
      <c r="A632" s="28" t="n">
        <v>629</v>
      </c>
      <c r="B632" s="28" t="inlineStr">
        <is>
          <t>8557</t>
        </is>
      </c>
      <c r="C632" s="30" t="inlineStr">
        <is>
          <t>D5</t>
        </is>
      </c>
      <c r="D632" s="32" t="inlineStr">
        <is>
          <t>전구와 스위치</t>
        </is>
      </c>
      <c r="E632" s="28" t="inlineStr">
        <is>
          <t>동적계획법 (DP) / 그래프</t>
        </is>
      </c>
      <c r="F632" s="28" t="n"/>
      <c r="G632" s="28" t="n"/>
      <c r="H632" s="28" t="n"/>
      <c r="I632" s="28" t="n"/>
      <c r="J632" s="54">
        <f>IF(OR(ISNUMBER(SEARCH("보류",K632)),ISNUMBER(SEARCH("미룸",K632)),ISNUMBER(SEARCH("나중에",K632)),ISNUMBER(SEARCH("보류",L632)),ISNUMBER(SEARCH("미룸",L632)),ISNUMBER(SEARCH("나중에",L632))),"보류(나중에 풀기)",IF(AND(F632="",G632="",H632="",I632=""),"미완료",IF(I632&lt;&gt;"","복습3(마스터)",IF(H632&lt;&gt;"","복습2",IF(G632&lt;&gt;"","복습1",IF(ISNUMBER(SEARCH("제미나이",K632)),"복습대기(AI도움)",IF(ISNUMBER(SEARCH("간당간당",K632)),"복습대기(간당간당)",IF(OR(ISNUMBER(SEARCH("아이디어",K632)),ISNUMBER(SEARCH("시간초과",K632)),ISNUMBER(SEARCH("자료구조",K632)),ISNUMBER(SEARCH("경계값",K632)),ISNUMBER(SEARCH("다른 풀이",K632)),ISNUMBER(SEARCH("또풀기",K632))),"복습대기",IF(OR(ISNUMBER(SEARCH("복습필요없음",K632)),ISNUMBER(SEARCH("자력완벽",K632))),"품(복습불필요)",IF(F632&lt;&gt;"","품","미완료"))))))))))</f>
        <v/>
      </c>
      <c r="K632" s="32" t="inlineStr">
        <is>
          <t>-</t>
        </is>
      </c>
      <c r="L632" s="32" t="n"/>
      <c r="M632" s="28">
        <f>IF(OR(LEFT(J632,2)="보류", LEFT(J632,4)="복습대기", LEFT(J632,3)="복습1", LEFT(J632,3)="복습2"), MAX($M$3:M631)+1, "")</f>
        <v/>
      </c>
      <c r="N632" s="28" t="inlineStr">
        <is>
          <t>W16</t>
        </is>
      </c>
      <c r="O632" s="36" t="n">
        <v>46367</v>
      </c>
      <c r="P632" s="30">
        <f>IF(F632&lt;&gt;"","✅ 완료",IF(O632="","-",IF(TODAY()&gt;O632,"🚨 지연","⏳ 예정")))</f>
        <v/>
      </c>
      <c r="Q632" s="7" t="n"/>
      <c r="R632" s="7" t="n"/>
      <c r="S632" s="7" t="n"/>
      <c r="T632" s="7" t="n"/>
      <c r="U632" s="7" t="n"/>
      <c r="V632" s="7" t="n"/>
      <c r="W632" s="7" t="n"/>
      <c r="X632" s="7" t="n"/>
    </row>
    <row r="633" ht="21.75" customHeight="1" s="209">
      <c r="A633" s="28" t="n">
        <v>630</v>
      </c>
      <c r="B633" s="28" t="inlineStr">
        <is>
          <t>8660</t>
        </is>
      </c>
      <c r="C633" s="30" t="inlineStr">
        <is>
          <t>D5</t>
        </is>
      </c>
      <c r="D633" s="32" t="inlineStr">
        <is>
          <t>Pizza</t>
        </is>
      </c>
      <c r="E633" s="28" t="inlineStr">
        <is>
          <t>동적계획법 (DP) / 그래프</t>
        </is>
      </c>
      <c r="F633" s="28" t="n"/>
      <c r="G633" s="28" t="n"/>
      <c r="H633" s="28" t="n"/>
      <c r="I633" s="28" t="n"/>
      <c r="J633" s="54">
        <f>IF(OR(ISNUMBER(SEARCH("보류",K633)),ISNUMBER(SEARCH("미룸",K633)),ISNUMBER(SEARCH("나중에",K633)),ISNUMBER(SEARCH("보류",L633)),ISNUMBER(SEARCH("미룸",L633)),ISNUMBER(SEARCH("나중에",L633))),"보류(나중에 풀기)",IF(AND(F633="",G633="",H633="",I633=""),"미완료",IF(I633&lt;&gt;"","복습3(마스터)",IF(H633&lt;&gt;"","복습2",IF(G633&lt;&gt;"","복습1",IF(ISNUMBER(SEARCH("제미나이",K633)),"복습대기(AI도움)",IF(ISNUMBER(SEARCH("간당간당",K633)),"복습대기(간당간당)",IF(OR(ISNUMBER(SEARCH("아이디어",K633)),ISNUMBER(SEARCH("시간초과",K633)),ISNUMBER(SEARCH("자료구조",K633)),ISNUMBER(SEARCH("경계값",K633)),ISNUMBER(SEARCH("다른 풀이",K633)),ISNUMBER(SEARCH("또풀기",K633))),"복습대기",IF(OR(ISNUMBER(SEARCH("복습필요없음",K633)),ISNUMBER(SEARCH("자력완벽",K633))),"품(복습불필요)",IF(F633&lt;&gt;"","품","미완료"))))))))))</f>
        <v/>
      </c>
      <c r="K633" s="32" t="inlineStr">
        <is>
          <t>-</t>
        </is>
      </c>
      <c r="L633" s="32" t="n"/>
      <c r="M633" s="28">
        <f>IF(OR(LEFT(J633,2)="보류", LEFT(J633,4)="복습대기", LEFT(J633,3)="복습1", LEFT(J633,3)="복습2"), MAX($M$3:M632)+1, "")</f>
        <v/>
      </c>
      <c r="N633" s="28" t="inlineStr">
        <is>
          <t>W16</t>
        </is>
      </c>
      <c r="O633" s="36" t="n">
        <v>46367</v>
      </c>
      <c r="P633" s="30">
        <f>IF(F633&lt;&gt;"","✅ 완료",IF(O633="","-",IF(TODAY()&gt;O633,"🚨 지연","⏳ 예정")))</f>
        <v/>
      </c>
      <c r="Q633" s="7" t="n"/>
      <c r="R633" s="7" t="n"/>
      <c r="S633" s="7" t="n"/>
      <c r="T633" s="7" t="n"/>
      <c r="U633" s="7" t="n"/>
      <c r="V633" s="7" t="n"/>
      <c r="W633" s="7" t="n"/>
      <c r="X633" s="7" t="n"/>
    </row>
    <row r="634" ht="21.75" customHeight="1" s="209">
      <c r="A634" s="28" t="n">
        <v>631</v>
      </c>
      <c r="B634" s="28" t="inlineStr">
        <is>
          <t>8692</t>
        </is>
      </c>
      <c r="C634" s="30" t="inlineStr">
        <is>
          <t>D5</t>
        </is>
      </c>
      <c r="D634" s="32" t="inlineStr">
        <is>
          <t>이젠 나도 아이돌</t>
        </is>
      </c>
      <c r="E634" s="28" t="inlineStr">
        <is>
          <t>동적계획법 (DP) / 그래프</t>
        </is>
      </c>
      <c r="F634" s="28" t="n"/>
      <c r="G634" s="28" t="n"/>
      <c r="H634" s="28" t="n"/>
      <c r="I634" s="28" t="n"/>
      <c r="J634" s="54">
        <f>IF(OR(ISNUMBER(SEARCH("보류",K634)),ISNUMBER(SEARCH("미룸",K634)),ISNUMBER(SEARCH("나중에",K634)),ISNUMBER(SEARCH("보류",L634)),ISNUMBER(SEARCH("미룸",L634)),ISNUMBER(SEARCH("나중에",L634))),"보류(나중에 풀기)",IF(AND(F634="",G634="",H634="",I634=""),"미완료",IF(I634&lt;&gt;"","복습3(마스터)",IF(H634&lt;&gt;"","복습2",IF(G634&lt;&gt;"","복습1",IF(ISNUMBER(SEARCH("제미나이",K634)),"복습대기(AI도움)",IF(ISNUMBER(SEARCH("간당간당",K634)),"복습대기(간당간당)",IF(OR(ISNUMBER(SEARCH("아이디어",K634)),ISNUMBER(SEARCH("시간초과",K634)),ISNUMBER(SEARCH("자료구조",K634)),ISNUMBER(SEARCH("경계값",K634)),ISNUMBER(SEARCH("다른 풀이",K634)),ISNUMBER(SEARCH("또풀기",K634))),"복습대기",IF(OR(ISNUMBER(SEARCH("복습필요없음",K634)),ISNUMBER(SEARCH("자력완벽",K634))),"품(복습불필요)",IF(F634&lt;&gt;"","품","미완료"))))))))))</f>
        <v/>
      </c>
      <c r="K634" s="32" t="inlineStr">
        <is>
          <t>-</t>
        </is>
      </c>
      <c r="L634" s="32" t="n"/>
      <c r="M634" s="28">
        <f>IF(OR(LEFT(J634,2)="보류", LEFT(J634,4)="복습대기", LEFT(J634,3)="복습1", LEFT(J634,3)="복습2"), MAX($M$3:M633)+1, "")</f>
        <v/>
      </c>
      <c r="N634" s="28" t="inlineStr">
        <is>
          <t>W16</t>
        </is>
      </c>
      <c r="O634" s="36" t="n">
        <v>46367</v>
      </c>
      <c r="P634" s="30">
        <f>IF(F634&lt;&gt;"","✅ 완료",IF(O634="","-",IF(TODAY()&gt;O634,"🚨 지연","⏳ 예정")))</f>
        <v/>
      </c>
      <c r="Q634" s="7" t="n"/>
      <c r="R634" s="7" t="n"/>
      <c r="S634" s="7" t="n"/>
      <c r="T634" s="7" t="n"/>
      <c r="U634" s="7" t="n"/>
      <c r="V634" s="7" t="n"/>
      <c r="W634" s="7" t="n"/>
      <c r="X634" s="7" t="n"/>
    </row>
    <row r="635" ht="21.75" customHeight="1" s="209">
      <c r="A635" s="28" t="n">
        <v>632</v>
      </c>
      <c r="B635" s="28" t="inlineStr">
        <is>
          <t>8744</t>
        </is>
      </c>
      <c r="C635" s="30" t="inlineStr">
        <is>
          <t>D5</t>
        </is>
      </c>
      <c r="D635" s="32" t="inlineStr">
        <is>
          <t>도로 제거</t>
        </is>
      </c>
      <c r="E635" s="28" t="inlineStr">
        <is>
          <t>동적계획법 (DP) / 그래프</t>
        </is>
      </c>
      <c r="F635" s="28" t="n"/>
      <c r="G635" s="28" t="n"/>
      <c r="H635" s="28" t="n"/>
      <c r="I635" s="28" t="n"/>
      <c r="J635" s="54">
        <f>IF(OR(ISNUMBER(SEARCH("보류",K635)),ISNUMBER(SEARCH("미룸",K635)),ISNUMBER(SEARCH("나중에",K635)),ISNUMBER(SEARCH("보류",L635)),ISNUMBER(SEARCH("미룸",L635)),ISNUMBER(SEARCH("나중에",L635))),"보류(나중에 풀기)",IF(AND(F635="",G635="",H635="",I635=""),"미완료",IF(I635&lt;&gt;"","복습3(마스터)",IF(H635&lt;&gt;"","복습2",IF(G635&lt;&gt;"","복습1",IF(ISNUMBER(SEARCH("제미나이",K635)),"복습대기(AI도움)",IF(ISNUMBER(SEARCH("간당간당",K635)),"복습대기(간당간당)",IF(OR(ISNUMBER(SEARCH("아이디어",K635)),ISNUMBER(SEARCH("시간초과",K635)),ISNUMBER(SEARCH("자료구조",K635)),ISNUMBER(SEARCH("경계값",K635)),ISNUMBER(SEARCH("다른 풀이",K635)),ISNUMBER(SEARCH("또풀기",K635))),"복습대기",IF(OR(ISNUMBER(SEARCH("복습필요없음",K635)),ISNUMBER(SEARCH("자력완벽",K635))),"품(복습불필요)",IF(F635&lt;&gt;"","품","미완료"))))))))))</f>
        <v/>
      </c>
      <c r="K635" s="32" t="inlineStr">
        <is>
          <t>-</t>
        </is>
      </c>
      <c r="L635" s="32" t="n"/>
      <c r="M635" s="28">
        <f>IF(OR(LEFT(J635,2)="보류", LEFT(J635,4)="복습대기", LEFT(J635,3)="복습1", LEFT(J635,3)="복습2"), MAX($M$3:M634)+1, "")</f>
        <v/>
      </c>
      <c r="N635" s="28" t="inlineStr">
        <is>
          <t>W16</t>
        </is>
      </c>
      <c r="O635" s="36" t="n">
        <v>46367</v>
      </c>
      <c r="P635" s="30">
        <f>IF(F635&lt;&gt;"","✅ 완료",IF(O635="","-",IF(TODAY()&gt;O635,"🚨 지연","⏳ 예정")))</f>
        <v/>
      </c>
      <c r="Q635" s="7" t="n"/>
      <c r="R635" s="7" t="n"/>
      <c r="S635" s="7" t="n"/>
      <c r="T635" s="7" t="n"/>
      <c r="U635" s="7" t="n"/>
      <c r="V635" s="7" t="n"/>
      <c r="W635" s="7" t="n"/>
      <c r="X635" s="7" t="n"/>
    </row>
    <row r="636" ht="21.75" customHeight="1" s="209">
      <c r="A636" s="28" t="n">
        <v>633</v>
      </c>
      <c r="B636" s="28" t="inlineStr">
        <is>
          <t>8773</t>
        </is>
      </c>
      <c r="C636" s="30" t="inlineStr">
        <is>
          <t>D5</t>
        </is>
      </c>
      <c r="D636" s="32" t="inlineStr">
        <is>
          <t>연금술</t>
        </is>
      </c>
      <c r="E636" s="28" t="inlineStr">
        <is>
          <t>동적계획법 (DP) / 그래프</t>
        </is>
      </c>
      <c r="F636" s="28" t="n"/>
      <c r="G636" s="28" t="n"/>
      <c r="H636" s="28" t="n"/>
      <c r="I636" s="28" t="n"/>
      <c r="J636" s="54">
        <f>IF(OR(ISNUMBER(SEARCH("보류",K636)),ISNUMBER(SEARCH("미룸",K636)),ISNUMBER(SEARCH("나중에",K636)),ISNUMBER(SEARCH("보류",L636)),ISNUMBER(SEARCH("미룸",L636)),ISNUMBER(SEARCH("나중에",L636))),"보류(나중에 풀기)",IF(AND(F636="",G636="",H636="",I636=""),"미완료",IF(I636&lt;&gt;"","복습3(마스터)",IF(H636&lt;&gt;"","복습2",IF(G636&lt;&gt;"","복습1",IF(ISNUMBER(SEARCH("제미나이",K636)),"복습대기(AI도움)",IF(ISNUMBER(SEARCH("간당간당",K636)),"복습대기(간당간당)",IF(OR(ISNUMBER(SEARCH("아이디어",K636)),ISNUMBER(SEARCH("시간초과",K636)),ISNUMBER(SEARCH("자료구조",K636)),ISNUMBER(SEARCH("경계값",K636)),ISNUMBER(SEARCH("다른 풀이",K636)),ISNUMBER(SEARCH("또풀기",K636))),"복습대기",IF(OR(ISNUMBER(SEARCH("복습필요없음",K636)),ISNUMBER(SEARCH("자력완벽",K636))),"품(복습불필요)",IF(F636&lt;&gt;"","품","미완료"))))))))))</f>
        <v/>
      </c>
      <c r="K636" s="32" t="inlineStr">
        <is>
          <t>-</t>
        </is>
      </c>
      <c r="L636" s="32" t="n"/>
      <c r="M636" s="28">
        <f>IF(OR(LEFT(J636,2)="보류", LEFT(J636,4)="복습대기", LEFT(J636,3)="복습1", LEFT(J636,3)="복습2"), MAX($M$3:M635)+1, "")</f>
        <v/>
      </c>
      <c r="N636" s="28" t="inlineStr">
        <is>
          <t>W16</t>
        </is>
      </c>
      <c r="O636" s="36" t="n">
        <v>46367</v>
      </c>
      <c r="P636" s="30">
        <f>IF(F636&lt;&gt;"","✅ 완료",IF(O636="","-",IF(TODAY()&gt;O636,"🚨 지연","⏳ 예정")))</f>
        <v/>
      </c>
      <c r="Q636" s="7" t="n"/>
      <c r="R636" s="7" t="n"/>
      <c r="S636" s="7" t="n"/>
      <c r="T636" s="7" t="n"/>
      <c r="U636" s="7" t="n"/>
      <c r="V636" s="7" t="n"/>
      <c r="W636" s="7" t="n"/>
      <c r="X636" s="7" t="n"/>
    </row>
    <row r="637" ht="21.75" customHeight="1" s="209">
      <c r="A637" s="28" t="n">
        <v>634</v>
      </c>
      <c r="B637" s="28" t="inlineStr">
        <is>
          <t>8935</t>
        </is>
      </c>
      <c r="C637" s="30" t="inlineStr">
        <is>
          <t>D5</t>
        </is>
      </c>
      <c r="D637" s="32" t="inlineStr">
        <is>
          <t>스팟마트</t>
        </is>
      </c>
      <c r="E637" s="28" t="inlineStr">
        <is>
          <t>동적계획법 (DP) / 그래프</t>
        </is>
      </c>
      <c r="F637" s="28" t="n"/>
      <c r="G637" s="28" t="n"/>
      <c r="H637" s="28" t="n"/>
      <c r="I637" s="28" t="n"/>
      <c r="J637" s="54">
        <f>IF(OR(ISNUMBER(SEARCH("보류",K637)),ISNUMBER(SEARCH("미룸",K637)),ISNUMBER(SEARCH("나중에",K637)),ISNUMBER(SEARCH("보류",L637)),ISNUMBER(SEARCH("미룸",L637)),ISNUMBER(SEARCH("나중에",L637))),"보류(나중에 풀기)",IF(AND(F637="",G637="",H637="",I637=""),"미완료",IF(I637&lt;&gt;"","복습3(마스터)",IF(H637&lt;&gt;"","복습2",IF(G637&lt;&gt;"","복습1",IF(ISNUMBER(SEARCH("제미나이",K637)),"복습대기(AI도움)",IF(ISNUMBER(SEARCH("간당간당",K637)),"복습대기(간당간당)",IF(OR(ISNUMBER(SEARCH("아이디어",K637)),ISNUMBER(SEARCH("시간초과",K637)),ISNUMBER(SEARCH("자료구조",K637)),ISNUMBER(SEARCH("경계값",K637)),ISNUMBER(SEARCH("다른 풀이",K637)),ISNUMBER(SEARCH("또풀기",K637))),"복습대기",IF(OR(ISNUMBER(SEARCH("복습필요없음",K637)),ISNUMBER(SEARCH("자력완벽",K637))),"품(복습불필요)",IF(F637&lt;&gt;"","품","미완료"))))))))))</f>
        <v/>
      </c>
      <c r="K637" s="32" t="inlineStr">
        <is>
          <t>-</t>
        </is>
      </c>
      <c r="L637" s="32" t="n"/>
      <c r="M637" s="28">
        <f>IF(OR(LEFT(J637,2)="보류", LEFT(J637,4)="복습대기", LEFT(J637,3)="복습1", LEFT(J637,3)="복습2"), MAX($M$3:M636)+1, "")</f>
        <v/>
      </c>
      <c r="N637" s="28" t="inlineStr">
        <is>
          <t>W16</t>
        </is>
      </c>
      <c r="O637" s="36" t="n">
        <v>46367</v>
      </c>
      <c r="P637" s="30">
        <f>IF(F637&lt;&gt;"","✅ 완료",IF(O637="","-",IF(TODAY()&gt;O637,"🚨 지연","⏳ 예정")))</f>
        <v/>
      </c>
      <c r="Q637" s="7" t="n"/>
      <c r="R637" s="7" t="n"/>
      <c r="S637" s="7" t="n"/>
      <c r="T637" s="7" t="n"/>
      <c r="U637" s="7" t="n"/>
      <c r="V637" s="7" t="n"/>
      <c r="W637" s="7" t="n"/>
      <c r="X637" s="7" t="n"/>
    </row>
    <row r="638" ht="21.75" customHeight="1" s="209">
      <c r="A638" s="28" t="n">
        <v>635</v>
      </c>
      <c r="B638" s="28" t="inlineStr">
        <is>
          <t>9015</t>
        </is>
      </c>
      <c r="C638" s="30" t="inlineStr">
        <is>
          <t>D5</t>
        </is>
      </c>
      <c r="D638" s="32" t="inlineStr">
        <is>
          <t>배열의 분할</t>
        </is>
      </c>
      <c r="E638" s="28" t="inlineStr">
        <is>
          <t>시뮬레이션 / 구현</t>
        </is>
      </c>
      <c r="F638" s="28" t="n"/>
      <c r="G638" s="28" t="n"/>
      <c r="H638" s="28" t="n"/>
      <c r="I638" s="28" t="n"/>
      <c r="J638" s="54">
        <f>IF(OR(ISNUMBER(SEARCH("보류",K638)),ISNUMBER(SEARCH("미룸",K638)),ISNUMBER(SEARCH("나중에",K638)),ISNUMBER(SEARCH("보류",L638)),ISNUMBER(SEARCH("미룸",L638)),ISNUMBER(SEARCH("나중에",L638))),"보류(나중에 풀기)",IF(AND(F638="",G638="",H638="",I638=""),"미완료",IF(I638&lt;&gt;"","복습3(마스터)",IF(H638&lt;&gt;"","복습2",IF(G638&lt;&gt;"","복습1",IF(ISNUMBER(SEARCH("제미나이",K638)),"복습대기(AI도움)",IF(ISNUMBER(SEARCH("간당간당",K638)),"복습대기(간당간당)",IF(OR(ISNUMBER(SEARCH("아이디어",K638)),ISNUMBER(SEARCH("시간초과",K638)),ISNUMBER(SEARCH("자료구조",K638)),ISNUMBER(SEARCH("경계값",K638)),ISNUMBER(SEARCH("다른 풀이",K638)),ISNUMBER(SEARCH("또풀기",K638))),"복습대기",IF(OR(ISNUMBER(SEARCH("복습필요없음",K638)),ISNUMBER(SEARCH("자력완벽",K638))),"품(복습불필요)",IF(F638&lt;&gt;"","품","미완료"))))))))))</f>
        <v/>
      </c>
      <c r="K638" s="32" t="inlineStr">
        <is>
          <t>-</t>
        </is>
      </c>
      <c r="L638" s="32" t="n"/>
      <c r="M638" s="28">
        <f>IF(OR(LEFT(J638,2)="보류", LEFT(J638,4)="복습대기", LEFT(J638,3)="복습1", LEFT(J638,3)="복습2"), MAX($M$3:M637)+1, "")</f>
        <v/>
      </c>
      <c r="N638" s="28" t="inlineStr">
        <is>
          <t>W16</t>
        </is>
      </c>
      <c r="O638" s="36" t="n">
        <v>46367</v>
      </c>
      <c r="P638" s="30">
        <f>IF(F638&lt;&gt;"","✅ 완료",IF(O638="","-",IF(TODAY()&gt;O638,"🚨 지연","⏳ 예정")))</f>
        <v/>
      </c>
      <c r="Q638" s="7" t="n"/>
      <c r="R638" s="7" t="n"/>
      <c r="S638" s="7" t="n"/>
      <c r="T638" s="7" t="n"/>
      <c r="U638" s="7" t="n"/>
      <c r="V638" s="7" t="n"/>
      <c r="W638" s="7" t="n"/>
      <c r="X638" s="7" t="n"/>
    </row>
    <row r="639" ht="21.75" customHeight="1" s="209">
      <c r="A639" s="28" t="n">
        <v>636</v>
      </c>
      <c r="B639" s="28" t="inlineStr">
        <is>
          <t>9092</t>
        </is>
      </c>
      <c r="C639" s="30" t="inlineStr">
        <is>
          <t>D5</t>
        </is>
      </c>
      <c r="D639" s="32" t="inlineStr">
        <is>
          <t>마라톤</t>
        </is>
      </c>
      <c r="E639" s="28" t="inlineStr">
        <is>
          <t>동적계획법 (DP) / 그래프</t>
        </is>
      </c>
      <c r="F639" s="28" t="n"/>
      <c r="G639" s="28" t="n"/>
      <c r="H639" s="28" t="n"/>
      <c r="I639" s="28" t="n"/>
      <c r="J639" s="54">
        <f>IF(OR(ISNUMBER(SEARCH("보류",K639)),ISNUMBER(SEARCH("미룸",K639)),ISNUMBER(SEARCH("나중에",K639)),ISNUMBER(SEARCH("보류",L639)),ISNUMBER(SEARCH("미룸",L639)),ISNUMBER(SEARCH("나중에",L639))),"보류(나중에 풀기)",IF(AND(F639="",G639="",H639="",I639=""),"미완료",IF(I639&lt;&gt;"","복습3(마스터)",IF(H639&lt;&gt;"","복습2",IF(G639&lt;&gt;"","복습1",IF(ISNUMBER(SEARCH("제미나이",K639)),"복습대기(AI도움)",IF(ISNUMBER(SEARCH("간당간당",K639)),"복습대기(간당간당)",IF(OR(ISNUMBER(SEARCH("아이디어",K639)),ISNUMBER(SEARCH("시간초과",K639)),ISNUMBER(SEARCH("자료구조",K639)),ISNUMBER(SEARCH("경계값",K639)),ISNUMBER(SEARCH("다른 풀이",K639)),ISNUMBER(SEARCH("또풀기",K639))),"복습대기",IF(OR(ISNUMBER(SEARCH("복습필요없음",K639)),ISNUMBER(SEARCH("자력완벽",K639))),"품(복습불필요)",IF(F639&lt;&gt;"","품","미완료"))))))))))</f>
        <v/>
      </c>
      <c r="K639" s="32" t="inlineStr">
        <is>
          <t>-</t>
        </is>
      </c>
      <c r="L639" s="32" t="n"/>
      <c r="M639" s="28">
        <f>IF(OR(LEFT(J639,2)="보류", LEFT(J639,4)="복습대기", LEFT(J639,3)="복습1", LEFT(J639,3)="복습2"), MAX($M$3:M638)+1, "")</f>
        <v/>
      </c>
      <c r="N639" s="28" t="inlineStr">
        <is>
          <t>W16</t>
        </is>
      </c>
      <c r="O639" s="36" t="n">
        <v>46368</v>
      </c>
      <c r="P639" s="30">
        <f>IF(F639&lt;&gt;"","✅ 완료",IF(O639="","-",IF(TODAY()&gt;O639,"🚨 지연","⏳ 예정")))</f>
        <v/>
      </c>
      <c r="Q639" s="7" t="n"/>
      <c r="R639" s="7" t="n"/>
      <c r="S639" s="7" t="n"/>
      <c r="T639" s="7" t="n"/>
      <c r="U639" s="7" t="n"/>
      <c r="V639" s="7" t="n"/>
      <c r="W639" s="7" t="n"/>
      <c r="X639" s="7" t="n"/>
    </row>
    <row r="640" ht="21.75" customHeight="1" s="209">
      <c r="A640" s="28" t="n">
        <v>637</v>
      </c>
      <c r="B640" s="28" t="inlineStr">
        <is>
          <t>9094</t>
        </is>
      </c>
      <c r="C640" s="30" t="inlineStr">
        <is>
          <t>D5</t>
        </is>
      </c>
      <c r="D640" s="32" t="inlineStr">
        <is>
          <t>구조 조정</t>
        </is>
      </c>
      <c r="E640" s="28" t="inlineStr">
        <is>
          <t>동적계획법 (DP) / 그래프</t>
        </is>
      </c>
      <c r="F640" s="28" t="n"/>
      <c r="G640" s="28" t="n"/>
      <c r="H640" s="28" t="n"/>
      <c r="I640" s="28" t="n"/>
      <c r="J640" s="54">
        <f>IF(OR(ISNUMBER(SEARCH("보류",K640)),ISNUMBER(SEARCH("미룸",K640)),ISNUMBER(SEARCH("나중에",K640)),ISNUMBER(SEARCH("보류",L640)),ISNUMBER(SEARCH("미룸",L640)),ISNUMBER(SEARCH("나중에",L640))),"보류(나중에 풀기)",IF(AND(F640="",G640="",H640="",I640=""),"미완료",IF(I640&lt;&gt;"","복습3(마스터)",IF(H640&lt;&gt;"","복습2",IF(G640&lt;&gt;"","복습1",IF(ISNUMBER(SEARCH("제미나이",K640)),"복습대기(AI도움)",IF(ISNUMBER(SEARCH("간당간당",K640)),"복습대기(간당간당)",IF(OR(ISNUMBER(SEARCH("아이디어",K640)),ISNUMBER(SEARCH("시간초과",K640)),ISNUMBER(SEARCH("자료구조",K640)),ISNUMBER(SEARCH("경계값",K640)),ISNUMBER(SEARCH("다른 풀이",K640)),ISNUMBER(SEARCH("또풀기",K640))),"복습대기",IF(OR(ISNUMBER(SEARCH("복습필요없음",K640)),ISNUMBER(SEARCH("자력완벽",K640))),"품(복습불필요)",IF(F640&lt;&gt;"","품","미완료"))))))))))</f>
        <v/>
      </c>
      <c r="K640" s="32" t="inlineStr">
        <is>
          <t>-</t>
        </is>
      </c>
      <c r="L640" s="32" t="n"/>
      <c r="M640" s="28">
        <f>IF(OR(LEFT(J640,2)="보류", LEFT(J640,4)="복습대기", LEFT(J640,3)="복습1", LEFT(J640,3)="복습2"), MAX($M$3:M639)+1, "")</f>
        <v/>
      </c>
      <c r="N640" s="28" t="inlineStr">
        <is>
          <t>W16</t>
        </is>
      </c>
      <c r="O640" s="36" t="n">
        <v>46368</v>
      </c>
      <c r="P640" s="30">
        <f>IF(F640&lt;&gt;"","✅ 완료",IF(O640="","-",IF(TODAY()&gt;O640,"🚨 지연","⏳ 예정")))</f>
        <v/>
      </c>
      <c r="Q640" s="7" t="n"/>
      <c r="R640" s="7" t="n"/>
      <c r="S640" s="7" t="n"/>
      <c r="T640" s="7" t="n"/>
      <c r="U640" s="7" t="n"/>
      <c r="V640" s="7" t="n"/>
      <c r="W640" s="7" t="n"/>
      <c r="X640" s="7" t="n"/>
    </row>
    <row r="641" ht="21.75" customHeight="1" s="209">
      <c r="A641" s="28" t="n">
        <v>638</v>
      </c>
      <c r="B641" s="28" t="inlineStr">
        <is>
          <t>9232</t>
        </is>
      </c>
      <c r="C641" s="30" t="inlineStr">
        <is>
          <t>D5</t>
        </is>
      </c>
      <c r="D641" s="32" t="inlineStr">
        <is>
          <t>한길이의 생일 선물</t>
        </is>
      </c>
      <c r="E641" s="28" t="inlineStr">
        <is>
          <t>동적계획법 (DP) / 그래프</t>
        </is>
      </c>
      <c r="F641" s="28" t="n"/>
      <c r="G641" s="28" t="n"/>
      <c r="H641" s="28" t="n"/>
      <c r="I641" s="28" t="n"/>
      <c r="J641" s="54">
        <f>IF(OR(ISNUMBER(SEARCH("보류",K641)),ISNUMBER(SEARCH("미룸",K641)),ISNUMBER(SEARCH("나중에",K641)),ISNUMBER(SEARCH("보류",L641)),ISNUMBER(SEARCH("미룸",L641)),ISNUMBER(SEARCH("나중에",L641))),"보류(나중에 풀기)",IF(AND(F641="",G641="",H641="",I641=""),"미완료",IF(I641&lt;&gt;"","복습3(마스터)",IF(H641&lt;&gt;"","복습2",IF(G641&lt;&gt;"","복습1",IF(ISNUMBER(SEARCH("제미나이",K641)),"복습대기(AI도움)",IF(ISNUMBER(SEARCH("간당간당",K641)),"복습대기(간당간당)",IF(OR(ISNUMBER(SEARCH("아이디어",K641)),ISNUMBER(SEARCH("시간초과",K641)),ISNUMBER(SEARCH("자료구조",K641)),ISNUMBER(SEARCH("경계값",K641)),ISNUMBER(SEARCH("다른 풀이",K641)),ISNUMBER(SEARCH("또풀기",K641))),"복습대기",IF(OR(ISNUMBER(SEARCH("복습필요없음",K641)),ISNUMBER(SEARCH("자력완벽",K641))),"품(복습불필요)",IF(F641&lt;&gt;"","품","미완료"))))))))))</f>
        <v/>
      </c>
      <c r="K641" s="32" t="inlineStr">
        <is>
          <t>-</t>
        </is>
      </c>
      <c r="L641" s="32" t="n"/>
      <c r="M641" s="28">
        <f>IF(OR(LEFT(J641,2)="보류", LEFT(J641,4)="복습대기", LEFT(J641,3)="복습1", LEFT(J641,3)="복습2"), MAX($M$3:M640)+1, "")</f>
        <v/>
      </c>
      <c r="N641" s="28" t="inlineStr">
        <is>
          <t>W16</t>
        </is>
      </c>
      <c r="O641" s="36" t="n">
        <v>46368</v>
      </c>
      <c r="P641" s="30">
        <f>IF(F641&lt;&gt;"","✅ 완료",IF(O641="","-",IF(TODAY()&gt;O641,"🚨 지연","⏳ 예정")))</f>
        <v/>
      </c>
      <c r="Q641" s="7" t="n"/>
      <c r="R641" s="7" t="n"/>
      <c r="S641" s="7" t="n"/>
      <c r="T641" s="7" t="n"/>
      <c r="U641" s="7" t="n"/>
      <c r="V641" s="7" t="n"/>
      <c r="W641" s="7" t="n"/>
      <c r="X641" s="7" t="n"/>
    </row>
    <row r="642" ht="21.75" customHeight="1" s="209">
      <c r="A642" s="28" t="n">
        <v>639</v>
      </c>
      <c r="B642" s="28" t="inlineStr">
        <is>
          <t>9290</t>
        </is>
      </c>
      <c r="C642" s="30" t="inlineStr">
        <is>
          <t>D5</t>
        </is>
      </c>
      <c r="D642" s="32" t="inlineStr">
        <is>
          <t>정원</t>
        </is>
      </c>
      <c r="E642" s="28" t="inlineStr">
        <is>
          <t>동적계획법 (DP) / 그래프</t>
        </is>
      </c>
      <c r="F642" s="28" t="n"/>
      <c r="G642" s="28" t="n"/>
      <c r="H642" s="28" t="n"/>
      <c r="I642" s="28" t="n"/>
      <c r="J642" s="54">
        <f>IF(OR(ISNUMBER(SEARCH("보류",K642)),ISNUMBER(SEARCH("미룸",K642)),ISNUMBER(SEARCH("나중에",K642)),ISNUMBER(SEARCH("보류",L642)),ISNUMBER(SEARCH("미룸",L642)),ISNUMBER(SEARCH("나중에",L642))),"보류(나중에 풀기)",IF(AND(F642="",G642="",H642="",I642=""),"미완료",IF(I642&lt;&gt;"","복습3(마스터)",IF(H642&lt;&gt;"","복습2",IF(G642&lt;&gt;"","복습1",IF(ISNUMBER(SEARCH("제미나이",K642)),"복습대기(AI도움)",IF(ISNUMBER(SEARCH("간당간당",K642)),"복습대기(간당간당)",IF(OR(ISNUMBER(SEARCH("아이디어",K642)),ISNUMBER(SEARCH("시간초과",K642)),ISNUMBER(SEARCH("자료구조",K642)),ISNUMBER(SEARCH("경계값",K642)),ISNUMBER(SEARCH("다른 풀이",K642)),ISNUMBER(SEARCH("또풀기",K642))),"복습대기",IF(OR(ISNUMBER(SEARCH("복습필요없음",K642)),ISNUMBER(SEARCH("자력완벽",K642))),"품(복습불필요)",IF(F642&lt;&gt;"","품","미완료"))))))))))</f>
        <v/>
      </c>
      <c r="K642" s="32" t="inlineStr">
        <is>
          <t>-</t>
        </is>
      </c>
      <c r="L642" s="32" t="n"/>
      <c r="M642" s="28">
        <f>IF(OR(LEFT(J642,2)="보류", LEFT(J642,4)="복습대기", LEFT(J642,3)="복습1", LEFT(J642,3)="복습2"), MAX($M$3:M641)+1, "")</f>
        <v/>
      </c>
      <c r="N642" s="28" t="inlineStr">
        <is>
          <t>W16</t>
        </is>
      </c>
      <c r="O642" s="36" t="n">
        <v>46368</v>
      </c>
      <c r="P642" s="30">
        <f>IF(F642&lt;&gt;"","✅ 완료",IF(O642="","-",IF(TODAY()&gt;O642,"🚨 지연","⏳ 예정")))</f>
        <v/>
      </c>
      <c r="Q642" s="7" t="n"/>
      <c r="R642" s="7" t="n"/>
      <c r="S642" s="7" t="n"/>
      <c r="T642" s="7" t="n"/>
      <c r="U642" s="7" t="n"/>
      <c r="V642" s="7" t="n"/>
      <c r="W642" s="7" t="n"/>
      <c r="X642" s="7" t="n"/>
    </row>
    <row r="643" ht="21.75" customHeight="1" s="209">
      <c r="A643" s="28" t="n">
        <v>640</v>
      </c>
      <c r="B643" s="28" t="inlineStr">
        <is>
          <t>9615</t>
        </is>
      </c>
      <c r="C643" s="30" t="inlineStr">
        <is>
          <t>D5</t>
        </is>
      </c>
      <c r="D643" s="32" t="inlineStr">
        <is>
          <t>MEX 수열</t>
        </is>
      </c>
      <c r="E643" s="28" t="inlineStr">
        <is>
          <t>동적계획법 (DP)</t>
        </is>
      </c>
      <c r="F643" s="28" t="n"/>
      <c r="G643" s="28" t="n"/>
      <c r="H643" s="28" t="n"/>
      <c r="I643" s="28" t="n"/>
      <c r="J643" s="54">
        <f>IF(OR(ISNUMBER(SEARCH("보류",K643)),ISNUMBER(SEARCH("미룸",K643)),ISNUMBER(SEARCH("나중에",K643)),ISNUMBER(SEARCH("보류",L643)),ISNUMBER(SEARCH("미룸",L643)),ISNUMBER(SEARCH("나중에",L643))),"보류(나중에 풀기)",IF(AND(F643="",G643="",H643="",I643=""),"미완료",IF(I643&lt;&gt;"","복습3(마스터)",IF(H643&lt;&gt;"","복습2",IF(G643&lt;&gt;"","복습1",IF(ISNUMBER(SEARCH("제미나이",K643)),"복습대기(AI도움)",IF(ISNUMBER(SEARCH("간당간당",K643)),"복습대기(간당간당)",IF(OR(ISNUMBER(SEARCH("아이디어",K643)),ISNUMBER(SEARCH("시간초과",K643)),ISNUMBER(SEARCH("자료구조",K643)),ISNUMBER(SEARCH("경계값",K643)),ISNUMBER(SEARCH("다른 풀이",K643)),ISNUMBER(SEARCH("또풀기",K643))),"복습대기",IF(OR(ISNUMBER(SEARCH("복습필요없음",K643)),ISNUMBER(SEARCH("자력완벽",K643))),"품(복습불필요)",IF(F643&lt;&gt;"","품","미완료"))))))))))</f>
        <v/>
      </c>
      <c r="K643" s="32" t="inlineStr">
        <is>
          <t>-</t>
        </is>
      </c>
      <c r="L643" s="32" t="n"/>
      <c r="M643" s="28">
        <f>IF(OR(LEFT(J643,2)="보류", LEFT(J643,4)="복습대기", LEFT(J643,3)="복습1", LEFT(J643,3)="복습2"), MAX($M$3:M642)+1, "")</f>
        <v/>
      </c>
      <c r="N643" s="28" t="inlineStr">
        <is>
          <t>W16</t>
        </is>
      </c>
      <c r="O643" s="36" t="n">
        <v>46368</v>
      </c>
      <c r="P643" s="30">
        <f>IF(F643&lt;&gt;"","✅ 완료",IF(O643="","-",IF(TODAY()&gt;O643,"🚨 지연","⏳ 예정")))</f>
        <v/>
      </c>
      <c r="Q643" s="7" t="n"/>
      <c r="R643" s="7" t="n"/>
      <c r="S643" s="7" t="n"/>
      <c r="T643" s="7" t="n"/>
      <c r="U643" s="7" t="n"/>
      <c r="V643" s="7" t="n"/>
      <c r="W643" s="7" t="n"/>
      <c r="X643" s="7" t="n"/>
    </row>
    <row r="644" ht="21.75" customHeight="1" s="209">
      <c r="A644" s="28" t="n">
        <v>641</v>
      </c>
      <c r="B644" s="28" t="inlineStr">
        <is>
          <t>9711</t>
        </is>
      </c>
      <c r="C644" s="30" t="inlineStr">
        <is>
          <t>D5</t>
        </is>
      </c>
      <c r="D644" s="32" t="inlineStr">
        <is>
          <t>제곱수의 합</t>
        </is>
      </c>
      <c r="E644" s="28" t="inlineStr">
        <is>
          <t>수학 / 정수론</t>
        </is>
      </c>
      <c r="F644" s="28" t="n"/>
      <c r="G644" s="28" t="n"/>
      <c r="H644" s="28" t="n"/>
      <c r="I644" s="28" t="n"/>
      <c r="J644" s="54">
        <f>IF(OR(ISNUMBER(SEARCH("보류",K644)),ISNUMBER(SEARCH("미룸",K644)),ISNUMBER(SEARCH("나중에",K644)),ISNUMBER(SEARCH("보류",L644)),ISNUMBER(SEARCH("미룸",L644)),ISNUMBER(SEARCH("나중에",L644))),"보류(나중에 풀기)",IF(AND(F644="",G644="",H644="",I644=""),"미완료",IF(I644&lt;&gt;"","복습3(마스터)",IF(H644&lt;&gt;"","복습2",IF(G644&lt;&gt;"","복습1",IF(ISNUMBER(SEARCH("제미나이",K644)),"복습대기(AI도움)",IF(ISNUMBER(SEARCH("간당간당",K644)),"복습대기(간당간당)",IF(OR(ISNUMBER(SEARCH("아이디어",K644)),ISNUMBER(SEARCH("시간초과",K644)),ISNUMBER(SEARCH("자료구조",K644)),ISNUMBER(SEARCH("경계값",K644)),ISNUMBER(SEARCH("다른 풀이",K644)),ISNUMBER(SEARCH("또풀기",K644))),"복습대기",IF(OR(ISNUMBER(SEARCH("복습필요없음",K644)),ISNUMBER(SEARCH("자력완벽",K644))),"품(복습불필요)",IF(F644&lt;&gt;"","품","미완료"))))))))))</f>
        <v/>
      </c>
      <c r="K644" s="32" t="inlineStr">
        <is>
          <t>-</t>
        </is>
      </c>
      <c r="L644" s="32" t="n"/>
      <c r="M644" s="28">
        <f>IF(OR(LEFT(J644,2)="보류", LEFT(J644,4)="복습대기", LEFT(J644,3)="복습1", LEFT(J644,3)="복습2"), MAX($M$3:M643)+1, "")</f>
        <v/>
      </c>
      <c r="N644" s="28" t="inlineStr">
        <is>
          <t>W16</t>
        </is>
      </c>
      <c r="O644" s="36" t="n">
        <v>46368</v>
      </c>
      <c r="P644" s="30">
        <f>IF(F644&lt;&gt;"","✅ 완료",IF(O644="","-",IF(TODAY()&gt;O644,"🚨 지연","⏳ 예정")))</f>
        <v/>
      </c>
      <c r="Q644" s="7" t="n"/>
      <c r="R644" s="7" t="n"/>
      <c r="S644" s="7" t="n"/>
      <c r="T644" s="7" t="n"/>
      <c r="U644" s="7" t="n"/>
      <c r="V644" s="7" t="n"/>
      <c r="W644" s="7" t="n"/>
      <c r="X644" s="7" t="n"/>
    </row>
    <row r="645" ht="21.75" customHeight="1" s="209">
      <c r="A645" s="28" t="n">
        <v>642</v>
      </c>
      <c r="B645" s="28" t="inlineStr">
        <is>
          <t>9780</t>
        </is>
      </c>
      <c r="C645" s="30" t="inlineStr">
        <is>
          <t>D5</t>
        </is>
      </c>
      <c r="D645" s="32" t="inlineStr">
        <is>
          <t>외계인 침공</t>
        </is>
      </c>
      <c r="E645" s="28" t="inlineStr">
        <is>
          <t>동적계획법 (DP) / 그래프</t>
        </is>
      </c>
      <c r="F645" s="28" t="n"/>
      <c r="G645" s="28" t="n"/>
      <c r="H645" s="28" t="n"/>
      <c r="I645" s="28" t="n"/>
      <c r="J645" s="54">
        <f>IF(OR(ISNUMBER(SEARCH("보류",K645)),ISNUMBER(SEARCH("미룸",K645)),ISNUMBER(SEARCH("나중에",K645)),ISNUMBER(SEARCH("보류",L645)),ISNUMBER(SEARCH("미룸",L645)),ISNUMBER(SEARCH("나중에",L645))),"보류(나중에 풀기)",IF(AND(F645="",G645="",H645="",I645=""),"미완료",IF(I645&lt;&gt;"","복습3(마스터)",IF(H645&lt;&gt;"","복습2",IF(G645&lt;&gt;"","복습1",IF(ISNUMBER(SEARCH("제미나이",K645)),"복습대기(AI도움)",IF(ISNUMBER(SEARCH("간당간당",K645)),"복습대기(간당간당)",IF(OR(ISNUMBER(SEARCH("아이디어",K645)),ISNUMBER(SEARCH("시간초과",K645)),ISNUMBER(SEARCH("자료구조",K645)),ISNUMBER(SEARCH("경계값",K645)),ISNUMBER(SEARCH("다른 풀이",K645)),ISNUMBER(SEARCH("또풀기",K645))),"복습대기",IF(OR(ISNUMBER(SEARCH("복습필요없음",K645)),ISNUMBER(SEARCH("자력완벽",K645))),"품(복습불필요)",IF(F645&lt;&gt;"","품","미완료"))))))))))</f>
        <v/>
      </c>
      <c r="K645" s="32" t="inlineStr">
        <is>
          <t>-</t>
        </is>
      </c>
      <c r="L645" s="32" t="n"/>
      <c r="M645" s="28">
        <f>IF(OR(LEFT(J645,2)="보류", LEFT(J645,4)="복습대기", LEFT(J645,3)="복습1", LEFT(J645,3)="복습2"), MAX($M$3:M644)+1, "")</f>
        <v/>
      </c>
      <c r="N645" s="28" t="inlineStr">
        <is>
          <t>W16</t>
        </is>
      </c>
      <c r="O645" s="36" t="n">
        <v>46368</v>
      </c>
      <c r="P645" s="30">
        <f>IF(F645&lt;&gt;"","✅ 완료",IF(O645="","-",IF(TODAY()&gt;O645,"🚨 지연","⏳ 예정")))</f>
        <v/>
      </c>
      <c r="Q645" s="7" t="n"/>
      <c r="R645" s="7" t="n"/>
      <c r="S645" s="7" t="n"/>
      <c r="T645" s="7" t="n"/>
      <c r="U645" s="7" t="n"/>
      <c r="V645" s="7" t="n"/>
      <c r="W645" s="7" t="n"/>
      <c r="X645" s="7" t="n"/>
    </row>
    <row r="646" ht="21.75" customHeight="1" s="209">
      <c r="A646" s="28" t="n">
        <v>643</v>
      </c>
      <c r="B646" s="28" t="inlineStr">
        <is>
          <t>9843</t>
        </is>
      </c>
      <c r="C646" s="30" t="inlineStr">
        <is>
          <t>D5</t>
        </is>
      </c>
      <c r="D646" s="32" t="inlineStr">
        <is>
          <t>촛불 이벤트</t>
        </is>
      </c>
      <c r="E646" s="28" t="inlineStr">
        <is>
          <t>동적계획법 (DP) / 그래프</t>
        </is>
      </c>
      <c r="F646" s="28" t="n"/>
      <c r="G646" s="28" t="n"/>
      <c r="H646" s="28" t="n"/>
      <c r="I646" s="28" t="n"/>
      <c r="J646" s="54">
        <f>IF(OR(ISNUMBER(SEARCH("보류",K646)),ISNUMBER(SEARCH("미룸",K646)),ISNUMBER(SEARCH("나중에",K646)),ISNUMBER(SEARCH("보류",L646)),ISNUMBER(SEARCH("미룸",L646)),ISNUMBER(SEARCH("나중에",L646))),"보류(나중에 풀기)",IF(AND(F646="",G646="",H646="",I646=""),"미완료",IF(I646&lt;&gt;"","복습3(마스터)",IF(H646&lt;&gt;"","복습2",IF(G646&lt;&gt;"","복습1",IF(ISNUMBER(SEARCH("제미나이",K646)),"복습대기(AI도움)",IF(ISNUMBER(SEARCH("간당간당",K646)),"복습대기(간당간당)",IF(OR(ISNUMBER(SEARCH("아이디어",K646)),ISNUMBER(SEARCH("시간초과",K646)),ISNUMBER(SEARCH("자료구조",K646)),ISNUMBER(SEARCH("경계값",K646)),ISNUMBER(SEARCH("다른 풀이",K646)),ISNUMBER(SEARCH("또풀기",K646))),"복습대기",IF(OR(ISNUMBER(SEARCH("복습필요없음",K646)),ISNUMBER(SEARCH("자력완벽",K646))),"품(복습불필요)",IF(F646&lt;&gt;"","품","미완료"))))))))))</f>
        <v/>
      </c>
      <c r="K646" s="32" t="inlineStr">
        <is>
          <t>-</t>
        </is>
      </c>
      <c r="L646" s="32" t="n"/>
      <c r="M646" s="28">
        <f>IF(OR(LEFT(J646,2)="보류", LEFT(J646,4)="복습대기", LEFT(J646,3)="복습1", LEFT(J646,3)="복습2"), MAX($M$3:M645)+1, "")</f>
        <v/>
      </c>
      <c r="N646" s="28" t="inlineStr">
        <is>
          <t>W16</t>
        </is>
      </c>
      <c r="O646" s="36" t="n">
        <v>46369</v>
      </c>
      <c r="P646" s="30">
        <f>IF(F646&lt;&gt;"","✅ 완료",IF(O646="","-",IF(TODAY()&gt;O646,"🚨 지연","⏳ 예정")))</f>
        <v/>
      </c>
      <c r="Q646" s="7" t="n"/>
      <c r="R646" s="7" t="n"/>
      <c r="S646" s="7" t="n"/>
      <c r="T646" s="7" t="n"/>
      <c r="U646" s="7" t="n"/>
      <c r="V646" s="7" t="n"/>
      <c r="W646" s="7" t="n"/>
      <c r="X646" s="7" t="n"/>
    </row>
    <row r="647" ht="21.75" customHeight="1" s="209">
      <c r="A647" s="28" t="n">
        <v>644</v>
      </c>
      <c r="B647" s="28" t="inlineStr">
        <is>
          <t>9943</t>
        </is>
      </c>
      <c r="C647" s="30" t="inlineStr">
        <is>
          <t>D5</t>
        </is>
      </c>
      <c r="D647" s="32" t="inlineStr">
        <is>
          <t>순열3</t>
        </is>
      </c>
      <c r="E647" s="28" t="inlineStr">
        <is>
          <t>DFS / 백트래킹</t>
        </is>
      </c>
      <c r="F647" s="28" t="n"/>
      <c r="G647" s="28" t="n"/>
      <c r="H647" s="28" t="n"/>
      <c r="I647" s="28" t="n"/>
      <c r="J647" s="54">
        <f>IF(OR(ISNUMBER(SEARCH("보류",K647)),ISNUMBER(SEARCH("미룸",K647)),ISNUMBER(SEARCH("나중에",K647)),ISNUMBER(SEARCH("보류",L647)),ISNUMBER(SEARCH("미룸",L647)),ISNUMBER(SEARCH("나중에",L647))),"보류(나중에 풀기)",IF(AND(F647="",G647="",H647="",I647=""),"미완료",IF(I647&lt;&gt;"","복습3(마스터)",IF(H647&lt;&gt;"","복습2",IF(G647&lt;&gt;"","복습1",IF(ISNUMBER(SEARCH("제미나이",K647)),"복습대기(AI도움)",IF(ISNUMBER(SEARCH("간당간당",K647)),"복습대기(간당간당)",IF(OR(ISNUMBER(SEARCH("아이디어",K647)),ISNUMBER(SEARCH("시간초과",K647)),ISNUMBER(SEARCH("자료구조",K647)),ISNUMBER(SEARCH("경계값",K647)),ISNUMBER(SEARCH("다른 풀이",K647)),ISNUMBER(SEARCH("또풀기",K647))),"복습대기",IF(OR(ISNUMBER(SEARCH("복습필요없음",K647)),ISNUMBER(SEARCH("자력완벽",K647))),"품(복습불필요)",IF(F647&lt;&gt;"","품","미완료"))))))))))</f>
        <v/>
      </c>
      <c r="K647" s="32" t="inlineStr">
        <is>
          <t>-</t>
        </is>
      </c>
      <c r="L647" s="32" t="n"/>
      <c r="M647" s="28">
        <f>IF(OR(LEFT(J647,2)="보류", LEFT(J647,4)="복습대기", LEFT(J647,3)="복습1", LEFT(J647,3)="복습2"), MAX($M$3:M646)+1, "")</f>
        <v/>
      </c>
      <c r="N647" s="28" t="inlineStr">
        <is>
          <t>W16</t>
        </is>
      </c>
      <c r="O647" s="36" t="n">
        <v>46369</v>
      </c>
      <c r="P647" s="30">
        <f>IF(F647&lt;&gt;"","✅ 완료",IF(O647="","-",IF(TODAY()&gt;O647,"🚨 지연","⏳ 예정")))</f>
        <v/>
      </c>
      <c r="Q647" s="7" t="n"/>
      <c r="R647" s="7" t="n"/>
      <c r="S647" s="7" t="n"/>
      <c r="T647" s="7" t="n"/>
      <c r="U647" s="7" t="n"/>
      <c r="V647" s="7" t="n"/>
      <c r="W647" s="7" t="n"/>
      <c r="X647" s="7" t="n"/>
    </row>
    <row r="648" ht="21.75" customHeight="1" s="209">
      <c r="A648" s="28" t="n">
        <v>645</v>
      </c>
      <c r="B648" s="28" t="inlineStr">
        <is>
          <t>9999</t>
        </is>
      </c>
      <c r="C648" s="30" t="inlineStr">
        <is>
          <t>D5</t>
        </is>
      </c>
      <c r="D648" s="32" t="inlineStr">
        <is>
          <t>광고 시간 정하기</t>
        </is>
      </c>
      <c r="E648" s="28" t="inlineStr">
        <is>
          <t>동적계획법 (DP) / 그래프</t>
        </is>
      </c>
      <c r="F648" s="28" t="n"/>
      <c r="G648" s="28" t="n"/>
      <c r="H648" s="28" t="n"/>
      <c r="I648" s="28" t="n"/>
      <c r="J648" s="54">
        <f>IF(OR(ISNUMBER(SEARCH("보류",K648)),ISNUMBER(SEARCH("미룸",K648)),ISNUMBER(SEARCH("나중에",K648)),ISNUMBER(SEARCH("보류",L648)),ISNUMBER(SEARCH("미룸",L648)),ISNUMBER(SEARCH("나중에",L648))),"보류(나중에 풀기)",IF(AND(F648="",G648="",H648="",I648=""),"미완료",IF(I648&lt;&gt;"","복습3(마스터)",IF(H648&lt;&gt;"","복습2",IF(G648&lt;&gt;"","복습1",IF(ISNUMBER(SEARCH("제미나이",K648)),"복습대기(AI도움)",IF(ISNUMBER(SEARCH("간당간당",K648)),"복습대기(간당간당)",IF(OR(ISNUMBER(SEARCH("아이디어",K648)),ISNUMBER(SEARCH("시간초과",K648)),ISNUMBER(SEARCH("자료구조",K648)),ISNUMBER(SEARCH("경계값",K648)),ISNUMBER(SEARCH("다른 풀이",K648)),ISNUMBER(SEARCH("또풀기",K648))),"복습대기",IF(OR(ISNUMBER(SEARCH("복습필요없음",K648)),ISNUMBER(SEARCH("자력완벽",K648))),"품(복습불필요)",IF(F648&lt;&gt;"","품","미완료"))))))))))</f>
        <v/>
      </c>
      <c r="K648" s="32" t="inlineStr">
        <is>
          <t>-</t>
        </is>
      </c>
      <c r="L648" s="32" t="n"/>
      <c r="M648" s="28">
        <f>IF(OR(LEFT(J648,2)="보류", LEFT(J648,4)="복습대기", LEFT(J648,3)="복습1", LEFT(J648,3)="복습2"), MAX($M$3:M647)+1, "")</f>
        <v/>
      </c>
      <c r="N648" s="28" t="inlineStr">
        <is>
          <t>W16</t>
        </is>
      </c>
      <c r="O648" s="36" t="n">
        <v>46369</v>
      </c>
      <c r="P648" s="30">
        <f>IF(F648&lt;&gt;"","✅ 완료",IF(O648="","-",IF(TODAY()&gt;O648,"🚨 지연","⏳ 예정")))</f>
        <v/>
      </c>
      <c r="Q648" s="7" t="n"/>
      <c r="R648" s="7" t="n"/>
      <c r="S648" s="7" t="n"/>
      <c r="T648" s="7" t="n"/>
      <c r="U648" s="7" t="n"/>
      <c r="V648" s="7" t="n"/>
      <c r="W648" s="7" t="n"/>
      <c r="X648" s="7" t="n"/>
    </row>
    <row r="649" ht="21.75" customHeight="1" s="209">
      <c r="A649" s="28" t="n">
        <v>646</v>
      </c>
      <c r="B649" s="28" t="inlineStr">
        <is>
          <t>10033</t>
        </is>
      </c>
      <c r="C649" s="30" t="inlineStr">
        <is>
          <t>D5</t>
        </is>
      </c>
      <c r="D649" s="32" t="inlineStr">
        <is>
          <t>카드 뒤집기</t>
        </is>
      </c>
      <c r="E649" s="28" t="inlineStr">
        <is>
          <t>동적계획법 (DP) / 그래프</t>
        </is>
      </c>
      <c r="F649" s="28" t="n"/>
      <c r="G649" s="28" t="n"/>
      <c r="H649" s="28" t="n"/>
      <c r="I649" s="28" t="n"/>
      <c r="J649" s="54">
        <f>IF(OR(ISNUMBER(SEARCH("보류",K649)),ISNUMBER(SEARCH("미룸",K649)),ISNUMBER(SEARCH("나중에",K649)),ISNUMBER(SEARCH("보류",L649)),ISNUMBER(SEARCH("미룸",L649)),ISNUMBER(SEARCH("나중에",L649))),"보류(나중에 풀기)",IF(AND(F649="",G649="",H649="",I649=""),"미완료",IF(I649&lt;&gt;"","복습3(마스터)",IF(H649&lt;&gt;"","복습2",IF(G649&lt;&gt;"","복습1",IF(ISNUMBER(SEARCH("제미나이",K649)),"복습대기(AI도움)",IF(ISNUMBER(SEARCH("간당간당",K649)),"복습대기(간당간당)",IF(OR(ISNUMBER(SEARCH("아이디어",K649)),ISNUMBER(SEARCH("시간초과",K649)),ISNUMBER(SEARCH("자료구조",K649)),ISNUMBER(SEARCH("경계값",K649)),ISNUMBER(SEARCH("다른 풀이",K649)),ISNUMBER(SEARCH("또풀기",K649))),"복습대기",IF(OR(ISNUMBER(SEARCH("복습필요없음",K649)),ISNUMBER(SEARCH("자력완벽",K649))),"품(복습불필요)",IF(F649&lt;&gt;"","품","미완료"))))))))))</f>
        <v/>
      </c>
      <c r="K649" s="32" t="inlineStr">
        <is>
          <t>-</t>
        </is>
      </c>
      <c r="L649" s="32" t="n"/>
      <c r="M649" s="28">
        <f>IF(OR(LEFT(J649,2)="보류", LEFT(J649,4)="복습대기", LEFT(J649,3)="복습1", LEFT(J649,3)="복습2"), MAX($M$3:M648)+1, "")</f>
        <v/>
      </c>
      <c r="N649" s="28" t="inlineStr">
        <is>
          <t>W16</t>
        </is>
      </c>
      <c r="O649" s="36" t="n">
        <v>46369</v>
      </c>
      <c r="P649" s="30">
        <f>IF(F649&lt;&gt;"","✅ 완료",IF(O649="","-",IF(TODAY()&gt;O649,"🚨 지연","⏳ 예정")))</f>
        <v/>
      </c>
      <c r="Q649" s="7" t="n"/>
      <c r="R649" s="7" t="n"/>
      <c r="S649" s="7" t="n"/>
      <c r="T649" s="7" t="n"/>
      <c r="U649" s="7" t="n"/>
      <c r="V649" s="7" t="n"/>
      <c r="W649" s="7" t="n"/>
      <c r="X649" s="7" t="n"/>
    </row>
    <row r="650" ht="21.75" customHeight="1" s="209">
      <c r="A650" s="28" t="n">
        <v>647</v>
      </c>
      <c r="B650" s="28" t="inlineStr">
        <is>
          <t>10066</t>
        </is>
      </c>
      <c r="C650" s="30" t="inlineStr">
        <is>
          <t>D5</t>
        </is>
      </c>
      <c r="D650" s="32" t="inlineStr">
        <is>
          <t>순열의 인버전과 모듈러</t>
        </is>
      </c>
      <c r="E650" s="28" t="inlineStr">
        <is>
          <t>DFS / 백트래킹</t>
        </is>
      </c>
      <c r="F650" s="28" t="n"/>
      <c r="G650" s="28" t="n"/>
      <c r="H650" s="28" t="n"/>
      <c r="I650" s="28" t="n"/>
      <c r="J650" s="54">
        <f>IF(OR(ISNUMBER(SEARCH("보류",K650)),ISNUMBER(SEARCH("미룸",K650)),ISNUMBER(SEARCH("나중에",K650)),ISNUMBER(SEARCH("보류",L650)),ISNUMBER(SEARCH("미룸",L650)),ISNUMBER(SEARCH("나중에",L650))),"보류(나중에 풀기)",IF(AND(F650="",G650="",H650="",I650=""),"미완료",IF(I650&lt;&gt;"","복습3(마스터)",IF(H650&lt;&gt;"","복습2",IF(G650&lt;&gt;"","복습1",IF(ISNUMBER(SEARCH("제미나이",K650)),"복습대기(AI도움)",IF(ISNUMBER(SEARCH("간당간당",K650)),"복습대기(간당간당)",IF(OR(ISNUMBER(SEARCH("아이디어",K650)),ISNUMBER(SEARCH("시간초과",K650)),ISNUMBER(SEARCH("자료구조",K650)),ISNUMBER(SEARCH("경계값",K650)),ISNUMBER(SEARCH("다른 풀이",K650)),ISNUMBER(SEARCH("또풀기",K650))),"복습대기",IF(OR(ISNUMBER(SEARCH("복습필요없음",K650)),ISNUMBER(SEARCH("자력완벽",K650))),"품(복습불필요)",IF(F650&lt;&gt;"","품","미완료"))))))))))</f>
        <v/>
      </c>
      <c r="K650" s="32" t="inlineStr">
        <is>
          <t>-</t>
        </is>
      </c>
      <c r="L650" s="32" t="n"/>
      <c r="M650" s="28">
        <f>IF(OR(LEFT(J650,2)="보류", LEFT(J650,4)="복습대기", LEFT(J650,3)="복습1", LEFT(J650,3)="복습2"), MAX($M$3:M649)+1, "")</f>
        <v/>
      </c>
      <c r="N650" s="28" t="inlineStr">
        <is>
          <t>W16</t>
        </is>
      </c>
      <c r="O650" s="36" t="n">
        <v>46369</v>
      </c>
      <c r="P650" s="30">
        <f>IF(F650&lt;&gt;"","✅ 완료",IF(O650="","-",IF(TODAY()&gt;O650,"🚨 지연","⏳ 예정")))</f>
        <v/>
      </c>
      <c r="Q650" s="7" t="n"/>
      <c r="R650" s="7" t="n"/>
      <c r="S650" s="7" t="n"/>
      <c r="T650" s="7" t="n"/>
      <c r="U650" s="7" t="n"/>
      <c r="V650" s="7" t="n"/>
      <c r="W650" s="7" t="n"/>
      <c r="X650" s="7" t="n"/>
    </row>
    <row r="651" ht="21.75" customHeight="1" s="209">
      <c r="A651" s="28" t="n">
        <v>648</v>
      </c>
      <c r="B651" s="28" t="inlineStr">
        <is>
          <t>10202</t>
        </is>
      </c>
      <c r="C651" s="30" t="inlineStr">
        <is>
          <t>D5</t>
        </is>
      </c>
      <c r="D651" s="32" t="inlineStr">
        <is>
          <t>문자열 동화</t>
        </is>
      </c>
      <c r="E651" s="28" t="inlineStr">
        <is>
          <t>문자열 / 파싱</t>
        </is>
      </c>
      <c r="F651" s="28" t="n"/>
      <c r="G651" s="28" t="n"/>
      <c r="H651" s="28" t="n"/>
      <c r="I651" s="28" t="n"/>
      <c r="J651" s="54">
        <f>IF(OR(ISNUMBER(SEARCH("보류",K651)),ISNUMBER(SEARCH("미룸",K651)),ISNUMBER(SEARCH("나중에",K651)),ISNUMBER(SEARCH("보류",L651)),ISNUMBER(SEARCH("미룸",L651)),ISNUMBER(SEARCH("나중에",L651))),"보류(나중에 풀기)",IF(AND(F651="",G651="",H651="",I651=""),"미완료",IF(I651&lt;&gt;"","복습3(마스터)",IF(H651&lt;&gt;"","복습2",IF(G651&lt;&gt;"","복습1",IF(ISNUMBER(SEARCH("제미나이",K651)),"복습대기(AI도움)",IF(ISNUMBER(SEARCH("간당간당",K651)),"복습대기(간당간당)",IF(OR(ISNUMBER(SEARCH("아이디어",K651)),ISNUMBER(SEARCH("시간초과",K651)),ISNUMBER(SEARCH("자료구조",K651)),ISNUMBER(SEARCH("경계값",K651)),ISNUMBER(SEARCH("다른 풀이",K651)),ISNUMBER(SEARCH("또풀기",K651))),"복습대기",IF(OR(ISNUMBER(SEARCH("복습필요없음",K651)),ISNUMBER(SEARCH("자력완벽",K651))),"품(복습불필요)",IF(F651&lt;&gt;"","품","미완료"))))))))))</f>
        <v/>
      </c>
      <c r="K651" s="32" t="inlineStr">
        <is>
          <t>-</t>
        </is>
      </c>
      <c r="L651" s="32" t="n"/>
      <c r="M651" s="28">
        <f>IF(OR(LEFT(J651,2)="보류", LEFT(J651,4)="복습대기", LEFT(J651,3)="복습1", LEFT(J651,3)="복습2"), MAX($M$3:M650)+1, "")</f>
        <v/>
      </c>
      <c r="N651" s="28" t="inlineStr">
        <is>
          <t>W16</t>
        </is>
      </c>
      <c r="O651" s="36" t="n">
        <v>46369</v>
      </c>
      <c r="P651" s="30">
        <f>IF(F651&lt;&gt;"","✅ 완료",IF(O651="","-",IF(TODAY()&gt;O651,"🚨 지연","⏳ 예정")))</f>
        <v/>
      </c>
      <c r="Q651" s="7" t="n"/>
      <c r="R651" s="7" t="n"/>
      <c r="S651" s="7" t="n"/>
      <c r="T651" s="7" t="n"/>
      <c r="U651" s="7" t="n"/>
      <c r="V651" s="7" t="n"/>
      <c r="W651" s="7" t="n"/>
      <c r="X651" s="7" t="n"/>
    </row>
    <row r="652" ht="21.75" customHeight="1" s="209">
      <c r="A652" s="28" t="n">
        <v>649</v>
      </c>
      <c r="B652" s="28" t="inlineStr">
        <is>
          <t>10204</t>
        </is>
      </c>
      <c r="C652" s="30" t="inlineStr">
        <is>
          <t>D5</t>
        </is>
      </c>
      <c r="D652" s="32" t="inlineStr">
        <is>
          <t>초밥 식사</t>
        </is>
      </c>
      <c r="E652" s="28" t="inlineStr">
        <is>
          <t>동적계획법 (DP) / 그래프</t>
        </is>
      </c>
      <c r="F652" s="28" t="n"/>
      <c r="G652" s="28" t="n"/>
      <c r="H652" s="28" t="n"/>
      <c r="I652" s="28" t="n"/>
      <c r="J652" s="54">
        <f>IF(OR(ISNUMBER(SEARCH("보류",K652)),ISNUMBER(SEARCH("미룸",K652)),ISNUMBER(SEARCH("나중에",K652)),ISNUMBER(SEARCH("보류",L652)),ISNUMBER(SEARCH("미룸",L652)),ISNUMBER(SEARCH("나중에",L652))),"보류(나중에 풀기)",IF(AND(F652="",G652="",H652="",I652=""),"미완료",IF(I652&lt;&gt;"","복습3(마스터)",IF(H652&lt;&gt;"","복습2",IF(G652&lt;&gt;"","복습1",IF(ISNUMBER(SEARCH("제미나이",K652)),"복습대기(AI도움)",IF(ISNUMBER(SEARCH("간당간당",K652)),"복습대기(간당간당)",IF(OR(ISNUMBER(SEARCH("아이디어",K652)),ISNUMBER(SEARCH("시간초과",K652)),ISNUMBER(SEARCH("자료구조",K652)),ISNUMBER(SEARCH("경계값",K652)),ISNUMBER(SEARCH("다른 풀이",K652)),ISNUMBER(SEARCH("또풀기",K652))),"복습대기",IF(OR(ISNUMBER(SEARCH("복습필요없음",K652)),ISNUMBER(SEARCH("자력완벽",K652))),"품(복습불필요)",IF(F652&lt;&gt;"","품","미완료"))))))))))</f>
        <v/>
      </c>
      <c r="K652" s="32" t="inlineStr">
        <is>
          <t>-</t>
        </is>
      </c>
      <c r="L652" s="32" t="n"/>
      <c r="M652" s="28">
        <f>IF(OR(LEFT(J652,2)="보류", LEFT(J652,4)="복습대기", LEFT(J652,3)="복습1", LEFT(J652,3)="복습2"), MAX($M$3:M651)+1, "")</f>
        <v/>
      </c>
      <c r="N652" s="28" t="inlineStr">
        <is>
          <t>W16</t>
        </is>
      </c>
      <c r="O652" s="36" t="n">
        <v>46369</v>
      </c>
      <c r="P652" s="30">
        <f>IF(F652&lt;&gt;"","✅ 완료",IF(O652="","-",IF(TODAY()&gt;O652,"🚨 지연","⏳ 예정")))</f>
        <v/>
      </c>
      <c r="Q652" s="7" t="n"/>
      <c r="R652" s="7" t="n"/>
      <c r="S652" s="7" t="n"/>
      <c r="T652" s="7" t="n"/>
      <c r="U652" s="7" t="n"/>
      <c r="V652" s="7" t="n"/>
      <c r="W652" s="7" t="n"/>
      <c r="X652" s="7" t="n"/>
    </row>
    <row r="653" ht="21.75" customHeight="1" s="209">
      <c r="A653" s="28" t="n">
        <v>650</v>
      </c>
      <c r="B653" s="28" t="inlineStr">
        <is>
          <t>10507</t>
        </is>
      </c>
      <c r="C653" s="30" t="inlineStr">
        <is>
          <t>D5</t>
        </is>
      </c>
      <c r="D653" s="32" t="inlineStr">
        <is>
          <t>영어 공부</t>
        </is>
      </c>
      <c r="E653" s="28" t="inlineStr">
        <is>
          <t>동적계획법 (DP) / 그래프</t>
        </is>
      </c>
      <c r="F653" s="28" t="n"/>
      <c r="G653" s="28" t="n"/>
      <c r="H653" s="28" t="n"/>
      <c r="I653" s="28" t="n"/>
      <c r="J653" s="54">
        <f>IF(OR(ISNUMBER(SEARCH("보류",K653)),ISNUMBER(SEARCH("미룸",K653)),ISNUMBER(SEARCH("나중에",K653)),ISNUMBER(SEARCH("보류",L653)),ISNUMBER(SEARCH("미룸",L653)),ISNUMBER(SEARCH("나중에",L653))),"보류(나중에 풀기)",IF(AND(F653="",G653="",H653="",I653=""),"미완료",IF(I653&lt;&gt;"","복습3(마스터)",IF(H653&lt;&gt;"","복습2",IF(G653&lt;&gt;"","복습1",IF(ISNUMBER(SEARCH("제미나이",K653)),"복습대기(AI도움)",IF(ISNUMBER(SEARCH("간당간당",K653)),"복습대기(간당간당)",IF(OR(ISNUMBER(SEARCH("아이디어",K653)),ISNUMBER(SEARCH("시간초과",K653)),ISNUMBER(SEARCH("자료구조",K653)),ISNUMBER(SEARCH("경계값",K653)),ISNUMBER(SEARCH("다른 풀이",K653)),ISNUMBER(SEARCH("또풀기",K653))),"복습대기",IF(OR(ISNUMBER(SEARCH("복습필요없음",K653)),ISNUMBER(SEARCH("자력완벽",K653))),"품(복습불필요)",IF(F653&lt;&gt;"","품","미완료"))))))))))</f>
        <v/>
      </c>
      <c r="K653" s="32" t="inlineStr">
        <is>
          <t>-</t>
        </is>
      </c>
      <c r="L653" s="32" t="n"/>
      <c r="M653" s="28">
        <f>IF(OR(LEFT(J653,2)="보류", LEFT(J653,4)="복습대기", LEFT(J653,3)="복습1", LEFT(J653,3)="복습2"), MAX($M$3:M652)+1, "")</f>
        <v/>
      </c>
      <c r="N653" s="28" t="inlineStr">
        <is>
          <t>W17</t>
        </is>
      </c>
      <c r="O653" s="36" t="n">
        <v>46370</v>
      </c>
      <c r="P653" s="30">
        <f>IF(F653&lt;&gt;"","✅ 완료",IF(O653="","-",IF(TODAY()&gt;O653,"🚨 지연","⏳ 예정")))</f>
        <v/>
      </c>
      <c r="Q653" s="7" t="n"/>
      <c r="R653" s="7" t="n"/>
      <c r="S653" s="7" t="n"/>
      <c r="T653" s="7" t="n"/>
      <c r="U653" s="7" t="n"/>
      <c r="V653" s="7" t="n"/>
      <c r="W653" s="7" t="n"/>
      <c r="X653" s="7" t="n"/>
    </row>
    <row r="654" ht="21.75" customHeight="1" s="209">
      <c r="A654" s="28" t="n">
        <v>651</v>
      </c>
      <c r="B654" s="28" t="inlineStr">
        <is>
          <t>10583</t>
        </is>
      </c>
      <c r="C654" s="30" t="inlineStr">
        <is>
          <t>D5</t>
        </is>
      </c>
      <c r="D654" s="32" t="inlineStr">
        <is>
          <t>셋이 놀기</t>
        </is>
      </c>
      <c r="E654" s="34" t="inlineStr">
        <is>
          <t>동적계획법 (DP) / 그래프</t>
        </is>
      </c>
      <c r="F654" s="28" t="n"/>
      <c r="G654" s="28" t="n"/>
      <c r="H654" s="28" t="n"/>
      <c r="I654" s="28" t="n"/>
      <c r="J654" s="54">
        <f>IF(OR(ISNUMBER(SEARCH("보류",K654)),ISNUMBER(SEARCH("미룸",K654)),ISNUMBER(SEARCH("나중에",K654)),ISNUMBER(SEARCH("보류",L654)),ISNUMBER(SEARCH("미룸",L654)),ISNUMBER(SEARCH("나중에",L654))),"보류(나중에 풀기)",IF(AND(F654="",G654="",H654="",I654=""),"미완료",IF(I654&lt;&gt;"","복습3(마스터)",IF(H654&lt;&gt;"","복습2",IF(G654&lt;&gt;"","복습1",IF(ISNUMBER(SEARCH("제미나이",K654)),"복습대기(AI도움)",IF(ISNUMBER(SEARCH("간당간당",K654)),"복습대기(간당간당)",IF(OR(ISNUMBER(SEARCH("아이디어",K654)),ISNUMBER(SEARCH("시간초과",K654)),ISNUMBER(SEARCH("자료구조",K654)),ISNUMBER(SEARCH("경계값",K654)),ISNUMBER(SEARCH("다른 풀이",K654)),ISNUMBER(SEARCH("또풀기",K654))),"복습대기",IF(OR(ISNUMBER(SEARCH("복습필요없음",K654)),ISNUMBER(SEARCH("자력완벽",K654))),"품(복습불필요)",IF(F654&lt;&gt;"","품","미완료"))))))))))</f>
        <v/>
      </c>
      <c r="K654" s="32" t="inlineStr">
        <is>
          <t>-</t>
        </is>
      </c>
      <c r="L654" s="32" t="n"/>
      <c r="M654" s="28">
        <f>IF(OR(LEFT(J654,2)="보류", LEFT(J654,4)="복습대기", LEFT(J654,3)="복습1", LEFT(J654,3)="복습2"), MAX($M$3:M653)+1, "")</f>
        <v/>
      </c>
      <c r="N654" s="28" t="inlineStr">
        <is>
          <t>W17</t>
        </is>
      </c>
      <c r="O654" s="36" t="n">
        <v>46370</v>
      </c>
      <c r="P654" s="30">
        <f>IF(F654&lt;&gt;"","✅ 완료",IF(O654="","-",IF(TODAY()&gt;O654,"🚨 지연","⏳ 예정")))</f>
        <v/>
      </c>
      <c r="Q654" s="7" t="n"/>
      <c r="R654" s="7" t="n"/>
      <c r="S654" s="7" t="n"/>
      <c r="T654" s="7" t="n"/>
      <c r="U654" s="7" t="n"/>
      <c r="V654" s="7" t="n"/>
      <c r="W654" s="7" t="n"/>
      <c r="X654" s="7" t="n"/>
    </row>
    <row r="655" ht="21.75" customHeight="1" s="209">
      <c r="A655" s="28" t="n">
        <v>652</v>
      </c>
      <c r="B655" s="28" t="inlineStr">
        <is>
          <t>10727</t>
        </is>
      </c>
      <c r="C655" s="30" t="inlineStr">
        <is>
          <t>D5</t>
        </is>
      </c>
      <c r="D655" s="32" t="inlineStr">
        <is>
          <t>방사성 광물</t>
        </is>
      </c>
      <c r="E655" s="34" t="inlineStr">
        <is>
          <t>동적계획법 (DP) / 그래프</t>
        </is>
      </c>
      <c r="F655" s="28" t="n"/>
      <c r="G655" s="28" t="n"/>
      <c r="H655" s="28" t="n"/>
      <c r="I655" s="28" t="n"/>
      <c r="J655" s="54">
        <f>IF(OR(ISNUMBER(SEARCH("보류",K655)),ISNUMBER(SEARCH("미룸",K655)),ISNUMBER(SEARCH("나중에",K655)),ISNUMBER(SEARCH("보류",L655)),ISNUMBER(SEARCH("미룸",L655)),ISNUMBER(SEARCH("나중에",L655))),"보류(나중에 풀기)",IF(AND(F655="",G655="",H655="",I655=""),"미완료",IF(I655&lt;&gt;"","복습3(마스터)",IF(H655&lt;&gt;"","복습2",IF(G655&lt;&gt;"","복습1",IF(ISNUMBER(SEARCH("제미나이",K655)),"복습대기(AI도움)",IF(ISNUMBER(SEARCH("간당간당",K655)),"복습대기(간당간당)",IF(OR(ISNUMBER(SEARCH("아이디어",K655)),ISNUMBER(SEARCH("시간초과",K655)),ISNUMBER(SEARCH("자료구조",K655)),ISNUMBER(SEARCH("경계값",K655)),ISNUMBER(SEARCH("다른 풀이",K655)),ISNUMBER(SEARCH("또풀기",K655))),"복습대기",IF(OR(ISNUMBER(SEARCH("복습필요없음",K655)),ISNUMBER(SEARCH("자력완벽",K655))),"품(복습불필요)",IF(F655&lt;&gt;"","품","미완료"))))))))))</f>
        <v/>
      </c>
      <c r="K655" s="32" t="inlineStr">
        <is>
          <t>-</t>
        </is>
      </c>
      <c r="L655" s="32" t="n"/>
      <c r="M655" s="28">
        <f>IF(OR(LEFT(J655,2)="보류", LEFT(J655,4)="복습대기", LEFT(J655,3)="복습1", LEFT(J655,3)="복습2"), MAX($M$3:M654)+1, "")</f>
        <v/>
      </c>
      <c r="N655" s="28" t="inlineStr">
        <is>
          <t>W17</t>
        </is>
      </c>
      <c r="O655" s="36" t="n">
        <v>46370</v>
      </c>
      <c r="P655" s="30">
        <f>IF(F655&lt;&gt;"","✅ 완료",IF(O655="","-",IF(TODAY()&gt;O655,"🚨 지연","⏳ 예정")))</f>
        <v/>
      </c>
      <c r="Q655" s="7" t="n"/>
      <c r="R655" s="7" t="n"/>
      <c r="S655" s="7" t="n"/>
      <c r="T655" s="7" t="n"/>
      <c r="U655" s="7" t="n"/>
      <c r="V655" s="7" t="n"/>
      <c r="W655" s="7" t="n"/>
      <c r="X655" s="7" t="n"/>
    </row>
    <row r="656" ht="21.75" customHeight="1" s="209">
      <c r="A656" s="28" t="n">
        <v>653</v>
      </c>
      <c r="B656" s="28" t="inlineStr">
        <is>
          <t>10763</t>
        </is>
      </c>
      <c r="C656" s="30" t="inlineStr">
        <is>
          <t>D5</t>
        </is>
      </c>
      <c r="D656" s="32" t="inlineStr">
        <is>
          <t>조 신나</t>
        </is>
      </c>
      <c r="E656" s="34" t="inlineStr">
        <is>
          <t>동적계획법 (DP) / 그래프</t>
        </is>
      </c>
      <c r="F656" s="28" t="n"/>
      <c r="G656" s="28" t="n"/>
      <c r="H656" s="28" t="n"/>
      <c r="I656" s="28" t="n"/>
      <c r="J656" s="54">
        <f>IF(OR(ISNUMBER(SEARCH("보류",K656)),ISNUMBER(SEARCH("미룸",K656)),ISNUMBER(SEARCH("나중에",K656)),ISNUMBER(SEARCH("보류",L656)),ISNUMBER(SEARCH("미룸",L656)),ISNUMBER(SEARCH("나중에",L656))),"보류(나중에 풀기)",IF(AND(F656="",G656="",H656="",I656=""),"미완료",IF(I656&lt;&gt;"","복습3(마스터)",IF(H656&lt;&gt;"","복습2",IF(G656&lt;&gt;"","복습1",IF(ISNUMBER(SEARCH("제미나이",K656)),"복습대기(AI도움)",IF(ISNUMBER(SEARCH("간당간당",K656)),"복습대기(간당간당)",IF(OR(ISNUMBER(SEARCH("아이디어",K656)),ISNUMBER(SEARCH("시간초과",K656)),ISNUMBER(SEARCH("자료구조",K656)),ISNUMBER(SEARCH("경계값",K656)),ISNUMBER(SEARCH("다른 풀이",K656)),ISNUMBER(SEARCH("또풀기",K656))),"복습대기",IF(OR(ISNUMBER(SEARCH("복습필요없음",K656)),ISNUMBER(SEARCH("자력완벽",K656))),"품(복습불필요)",IF(F656&lt;&gt;"","품","미완료"))))))))))</f>
        <v/>
      </c>
      <c r="K656" s="32" t="inlineStr">
        <is>
          <t>-</t>
        </is>
      </c>
      <c r="L656" s="32" t="n"/>
      <c r="M656" s="28">
        <f>IF(OR(LEFT(J656,2)="보류", LEFT(J656,4)="복습대기", LEFT(J656,3)="복습1", LEFT(J656,3)="복습2"), MAX($M$3:M655)+1, "")</f>
        <v/>
      </c>
      <c r="N656" s="28" t="inlineStr">
        <is>
          <t>W17</t>
        </is>
      </c>
      <c r="O656" s="36" t="n">
        <v>46370</v>
      </c>
      <c r="P656" s="30">
        <f>IF(F656&lt;&gt;"","✅ 완료",IF(O656="","-",IF(TODAY()&gt;O656,"🚨 지연","⏳ 예정")))</f>
        <v/>
      </c>
      <c r="Q656" s="7" t="n"/>
      <c r="R656" s="7" t="n"/>
      <c r="S656" s="7" t="n"/>
      <c r="T656" s="7" t="n"/>
      <c r="U656" s="7" t="n"/>
      <c r="V656" s="7" t="n"/>
      <c r="W656" s="7" t="n"/>
      <c r="X656" s="7" t="n"/>
    </row>
    <row r="657" ht="21.75" customHeight="1" s="209">
      <c r="A657" s="28" t="n">
        <v>654</v>
      </c>
      <c r="B657" s="28" t="inlineStr">
        <is>
          <t>10967</t>
        </is>
      </c>
      <c r="C657" s="30" t="inlineStr">
        <is>
          <t>D5</t>
        </is>
      </c>
      <c r="D657" s="32" t="inlineStr">
        <is>
          <t>01 채우기</t>
        </is>
      </c>
      <c r="E657" s="66" t="inlineStr">
        <is>
          <t>동적계획법 (DP) / 그래프</t>
        </is>
      </c>
      <c r="F657" s="28" t="n"/>
      <c r="G657" s="28" t="n"/>
      <c r="H657" s="28" t="n"/>
      <c r="I657" s="28" t="n"/>
      <c r="J657" s="54">
        <f>IF(OR(ISNUMBER(SEARCH("보류",K657)),ISNUMBER(SEARCH("미룸",K657)),ISNUMBER(SEARCH("나중에",K657)),ISNUMBER(SEARCH("보류",L657)),ISNUMBER(SEARCH("미룸",L657)),ISNUMBER(SEARCH("나중에",L657))),"보류(나중에 풀기)",IF(AND(F657="",G657="",H657="",I657=""),"미완료",IF(I657&lt;&gt;"","복습3(마스터)",IF(H657&lt;&gt;"","복습2",IF(G657&lt;&gt;"","복습1",IF(ISNUMBER(SEARCH("제미나이",K657)),"복습대기(AI도움)",IF(ISNUMBER(SEARCH("간당간당",K657)),"복습대기(간당간당)",IF(OR(ISNUMBER(SEARCH("아이디어",K657)),ISNUMBER(SEARCH("시간초과",K657)),ISNUMBER(SEARCH("자료구조",K657)),ISNUMBER(SEARCH("경계값",K657)),ISNUMBER(SEARCH("다른 풀이",K657)),ISNUMBER(SEARCH("또풀기",K657))),"복습대기",IF(OR(ISNUMBER(SEARCH("복습필요없음",K657)),ISNUMBER(SEARCH("자력완벽",K657))),"품(복습불필요)",IF(F657&lt;&gt;"","품","미완료"))))))))))</f>
        <v/>
      </c>
      <c r="K657" s="32" t="inlineStr">
        <is>
          <t>-</t>
        </is>
      </c>
      <c r="L657" s="32" t="n"/>
      <c r="M657" s="28">
        <f>IF(OR(LEFT(J657,2)="보류", LEFT(J657,4)="복습대기", LEFT(J657,3)="복습1", LEFT(J657,3)="복습2"), MAX($M$3:M656)+1, "")</f>
        <v/>
      </c>
      <c r="N657" s="28" t="inlineStr">
        <is>
          <t>W17</t>
        </is>
      </c>
      <c r="O657" s="36" t="n">
        <v>46370</v>
      </c>
      <c r="P657" s="30">
        <f>IF(F657&lt;&gt;"","✅ 완료",IF(O657="","-",IF(TODAY()&gt;O657,"🚨 지연","⏳ 예정")))</f>
        <v/>
      </c>
      <c r="Q657" s="7" t="n"/>
      <c r="R657" s="7" t="n"/>
      <c r="S657" s="7" t="n"/>
      <c r="T657" s="7" t="n"/>
      <c r="U657" s="7" t="n"/>
      <c r="V657" s="7" t="n"/>
      <c r="W657" s="7" t="n"/>
      <c r="X657" s="7" t="n"/>
    </row>
    <row r="658" ht="21.75" customHeight="1" s="209">
      <c r="A658" s="28" t="n">
        <v>655</v>
      </c>
      <c r="B658" s="28" t="inlineStr">
        <is>
          <t>11113</t>
        </is>
      </c>
      <c r="C658" s="30" t="inlineStr">
        <is>
          <t>D5</t>
        </is>
      </c>
      <c r="D658" s="32" t="inlineStr">
        <is>
          <t>곱하기</t>
        </is>
      </c>
      <c r="E658" s="66" t="inlineStr">
        <is>
          <t>수학 / 정수론</t>
        </is>
      </c>
      <c r="F658" s="28" t="n"/>
      <c r="G658" s="28" t="n"/>
      <c r="H658" s="28" t="n"/>
      <c r="I658" s="28" t="n"/>
      <c r="J658" s="54">
        <f>IF(OR(ISNUMBER(SEARCH("보류",K658)),ISNUMBER(SEARCH("미룸",K658)),ISNUMBER(SEARCH("나중에",K658)),ISNUMBER(SEARCH("보류",L658)),ISNUMBER(SEARCH("미룸",L658)),ISNUMBER(SEARCH("나중에",L658))),"보류(나중에 풀기)",IF(AND(F658="",G658="",H658="",I658=""),"미완료",IF(I658&lt;&gt;"","복습3(마스터)",IF(H658&lt;&gt;"","복습2",IF(G658&lt;&gt;"","복습1",IF(ISNUMBER(SEARCH("제미나이",K658)),"복습대기(AI도움)",IF(ISNUMBER(SEARCH("간당간당",K658)),"복습대기(간당간당)",IF(OR(ISNUMBER(SEARCH("아이디어",K658)),ISNUMBER(SEARCH("시간초과",K658)),ISNUMBER(SEARCH("자료구조",K658)),ISNUMBER(SEARCH("경계값",K658)),ISNUMBER(SEARCH("다른 풀이",K658)),ISNUMBER(SEARCH("또풀기",K658))),"복습대기",IF(OR(ISNUMBER(SEARCH("복습필요없음",K658)),ISNUMBER(SEARCH("자력완벽",K658))),"품(복습불필요)",IF(F658&lt;&gt;"","품","미완료"))))))))))</f>
        <v/>
      </c>
      <c r="K658" s="32" t="inlineStr">
        <is>
          <t>-</t>
        </is>
      </c>
      <c r="L658" s="32" t="n"/>
      <c r="M658" s="28">
        <f>IF(OR(LEFT(J658,2)="보류", LEFT(J658,4)="복습대기", LEFT(J658,3)="복습1", LEFT(J658,3)="복습2"), MAX($M$3:M657)+1, "")</f>
        <v/>
      </c>
      <c r="N658" s="28" t="inlineStr">
        <is>
          <t>W17</t>
        </is>
      </c>
      <c r="O658" s="36" t="n">
        <v>46370</v>
      </c>
      <c r="P658" s="30">
        <f>IF(F658&lt;&gt;"","✅ 완료",IF(O658="","-",IF(TODAY()&gt;O658,"🚨 지연","⏳ 예정")))</f>
        <v/>
      </c>
      <c r="Q658" s="7" t="n"/>
      <c r="R658" s="7" t="n"/>
      <c r="S658" s="7" t="n"/>
      <c r="T658" s="7" t="n"/>
      <c r="U658" s="7" t="n"/>
      <c r="V658" s="7" t="n"/>
      <c r="W658" s="7" t="n"/>
      <c r="X658" s="7" t="n"/>
    </row>
    <row r="659" ht="21.75" customHeight="1" s="209">
      <c r="A659" s="28" t="n">
        <v>656</v>
      </c>
      <c r="B659" s="28" t="inlineStr">
        <is>
          <t>11286</t>
        </is>
      </c>
      <c r="C659" s="30" t="inlineStr">
        <is>
          <t>D5</t>
        </is>
      </c>
      <c r="D659" s="32" t="inlineStr">
        <is>
          <t>용과 기사</t>
        </is>
      </c>
      <c r="E659" s="66" t="inlineStr">
        <is>
          <t>동적계획법 (DP) / 그래프</t>
        </is>
      </c>
      <c r="F659" s="28" t="n"/>
      <c r="G659" s="28" t="n"/>
      <c r="H659" s="28" t="n"/>
      <c r="I659" s="28" t="n"/>
      <c r="J659" s="54">
        <f>IF(OR(ISNUMBER(SEARCH("보류",K659)),ISNUMBER(SEARCH("미룸",K659)),ISNUMBER(SEARCH("나중에",K659)),ISNUMBER(SEARCH("보류",L659)),ISNUMBER(SEARCH("미룸",L659)),ISNUMBER(SEARCH("나중에",L659))),"보류(나중에 풀기)",IF(AND(F659="",G659="",H659="",I659=""),"미완료",IF(I659&lt;&gt;"","복습3(마스터)",IF(H659&lt;&gt;"","복습2",IF(G659&lt;&gt;"","복습1",IF(ISNUMBER(SEARCH("제미나이",K659)),"복습대기(AI도움)",IF(ISNUMBER(SEARCH("간당간당",K659)),"복습대기(간당간당)",IF(OR(ISNUMBER(SEARCH("아이디어",K659)),ISNUMBER(SEARCH("시간초과",K659)),ISNUMBER(SEARCH("자료구조",K659)),ISNUMBER(SEARCH("경계값",K659)),ISNUMBER(SEARCH("다른 풀이",K659)),ISNUMBER(SEARCH("또풀기",K659))),"복습대기",IF(OR(ISNUMBER(SEARCH("복습필요없음",K659)),ISNUMBER(SEARCH("자력완벽",K659))),"품(복습불필요)",IF(F659&lt;&gt;"","품","미완료"))))))))))</f>
        <v/>
      </c>
      <c r="K659" s="32" t="inlineStr">
        <is>
          <t>-</t>
        </is>
      </c>
      <c r="L659" s="32" t="n"/>
      <c r="M659" s="28">
        <f>IF(OR(LEFT(J659,2)="보류", LEFT(J659,4)="복습대기", LEFT(J659,3)="복습1", LEFT(J659,3)="복습2"), MAX($M$3:M658)+1, "")</f>
        <v/>
      </c>
      <c r="N659" s="28" t="inlineStr">
        <is>
          <t>W17</t>
        </is>
      </c>
      <c r="O659" s="36" t="n">
        <v>46370</v>
      </c>
      <c r="P659" s="30">
        <f>IF(F659&lt;&gt;"","✅ 완료",IF(O659="","-",IF(TODAY()&gt;O659,"🚨 지연","⏳ 예정")))</f>
        <v/>
      </c>
      <c r="Q659" s="7" t="n"/>
      <c r="R659" s="7" t="n"/>
      <c r="S659" s="7" t="n"/>
      <c r="T659" s="7" t="n"/>
      <c r="U659" s="7" t="n"/>
      <c r="V659" s="7" t="n"/>
      <c r="W659" s="7" t="n"/>
      <c r="X659" s="7" t="n"/>
    </row>
    <row r="660" ht="21.75" customHeight="1" s="209">
      <c r="A660" s="28" t="n">
        <v>657</v>
      </c>
      <c r="B660" s="28" t="inlineStr">
        <is>
          <t>11388</t>
        </is>
      </c>
      <c r="C660" s="30" t="inlineStr">
        <is>
          <t>D5</t>
        </is>
      </c>
      <c r="D660" s="32" t="inlineStr">
        <is>
          <t>최대공약수로 만들기</t>
        </is>
      </c>
      <c r="E660" s="66" t="inlineStr">
        <is>
          <t>수학 / 정수론</t>
        </is>
      </c>
      <c r="F660" s="28" t="n"/>
      <c r="G660" s="28" t="n"/>
      <c r="H660" s="28" t="n"/>
      <c r="I660" s="28" t="n"/>
      <c r="J660" s="54">
        <f>IF(OR(ISNUMBER(SEARCH("보류",K660)),ISNUMBER(SEARCH("미룸",K660)),ISNUMBER(SEARCH("나중에",K660)),ISNUMBER(SEARCH("보류",L660)),ISNUMBER(SEARCH("미룸",L660)),ISNUMBER(SEARCH("나중에",L660))),"보류(나중에 풀기)",IF(AND(F660="",G660="",H660="",I660=""),"미완료",IF(I660&lt;&gt;"","복습3(마스터)",IF(H660&lt;&gt;"","복습2",IF(G660&lt;&gt;"","복습1",IF(ISNUMBER(SEARCH("제미나이",K660)),"복습대기(AI도움)",IF(ISNUMBER(SEARCH("간당간당",K660)),"복습대기(간당간당)",IF(OR(ISNUMBER(SEARCH("아이디어",K660)),ISNUMBER(SEARCH("시간초과",K660)),ISNUMBER(SEARCH("자료구조",K660)),ISNUMBER(SEARCH("경계값",K660)),ISNUMBER(SEARCH("다른 풀이",K660)),ISNUMBER(SEARCH("또풀기",K660))),"복습대기",IF(OR(ISNUMBER(SEARCH("복습필요없음",K660)),ISNUMBER(SEARCH("자력완벽",K660))),"품(복습불필요)",IF(F660&lt;&gt;"","품","미완료"))))))))))</f>
        <v/>
      </c>
      <c r="K660" s="32" t="inlineStr">
        <is>
          <t>-</t>
        </is>
      </c>
      <c r="L660" s="32" t="n"/>
      <c r="M660" s="28">
        <f>IF(OR(LEFT(J660,2)="보류", LEFT(J660,4)="복습대기", LEFT(J660,3)="복습1", LEFT(J660,3)="복습2"), MAX($M$3:M659)+1, "")</f>
        <v/>
      </c>
      <c r="N660" s="28" t="inlineStr">
        <is>
          <t>W17</t>
        </is>
      </c>
      <c r="O660" s="36" t="n">
        <v>46370</v>
      </c>
      <c r="P660" s="30">
        <f>IF(F660&lt;&gt;"","✅ 완료",IF(O660="","-",IF(TODAY()&gt;O660,"🚨 지연","⏳ 예정")))</f>
        <v/>
      </c>
      <c r="Q660" s="7" t="n"/>
      <c r="R660" s="7" t="n"/>
      <c r="S660" s="7" t="n"/>
      <c r="T660" s="7" t="n"/>
      <c r="U660" s="7" t="n"/>
      <c r="V660" s="7" t="n"/>
      <c r="W660" s="7" t="n"/>
      <c r="X660" s="7" t="n"/>
    </row>
    <row r="661" ht="21.75" customHeight="1" s="209">
      <c r="A661" s="28" t="n">
        <v>658</v>
      </c>
      <c r="B661" s="28" t="inlineStr">
        <is>
          <t>11546</t>
        </is>
      </c>
      <c r="C661" s="30" t="inlineStr">
        <is>
          <t>D5</t>
        </is>
      </c>
      <c r="D661" s="32" t="inlineStr">
        <is>
          <t>주스</t>
        </is>
      </c>
      <c r="E661" s="28" t="inlineStr">
        <is>
          <t>동적계획법 (DP) / 그래프</t>
        </is>
      </c>
      <c r="F661" s="28" t="n"/>
      <c r="G661" s="28" t="n"/>
      <c r="H661" s="28" t="n"/>
      <c r="I661" s="28" t="n"/>
      <c r="J661" s="54">
        <f>IF(OR(ISNUMBER(SEARCH("보류",K661)),ISNUMBER(SEARCH("미룸",K661)),ISNUMBER(SEARCH("나중에",K661)),ISNUMBER(SEARCH("보류",L661)),ISNUMBER(SEARCH("미룸",L661)),ISNUMBER(SEARCH("나중에",L661))),"보류(나중에 풀기)",IF(AND(F661="",G661="",H661="",I661=""),"미완료",IF(I661&lt;&gt;"","복습3(마스터)",IF(H661&lt;&gt;"","복습2",IF(G661&lt;&gt;"","복습1",IF(ISNUMBER(SEARCH("제미나이",K661)),"복습대기(AI도움)",IF(ISNUMBER(SEARCH("간당간당",K661)),"복습대기(간당간당)",IF(OR(ISNUMBER(SEARCH("아이디어",K661)),ISNUMBER(SEARCH("시간초과",K661)),ISNUMBER(SEARCH("자료구조",K661)),ISNUMBER(SEARCH("경계값",K661)),ISNUMBER(SEARCH("다른 풀이",K661)),ISNUMBER(SEARCH("또풀기",K661))),"복습대기",IF(OR(ISNUMBER(SEARCH("복습필요없음",K661)),ISNUMBER(SEARCH("자력완벽",K661))),"품(복습불필요)",IF(F661&lt;&gt;"","품","미완료"))))))))))</f>
        <v/>
      </c>
      <c r="K661" s="32" t="inlineStr">
        <is>
          <t>-</t>
        </is>
      </c>
      <c r="L661" s="32" t="n"/>
      <c r="M661" s="28">
        <f>IF(OR(LEFT(J661,2)="보류", LEFT(J661,4)="복습대기", LEFT(J661,3)="복습1", LEFT(J661,3)="복습2"), MAX($M$3:M660)+1, "")</f>
        <v/>
      </c>
      <c r="N661" s="28" t="inlineStr">
        <is>
          <t>W17</t>
        </is>
      </c>
      <c r="O661" s="36" t="n">
        <v>46371</v>
      </c>
      <c r="P661" s="30">
        <f>IF(F661&lt;&gt;"","✅ 완료",IF(O661="","-",IF(TODAY()&gt;O661,"🚨 지연","⏳ 예정")))</f>
        <v/>
      </c>
      <c r="Q661" s="7" t="n"/>
      <c r="R661" s="7" t="n"/>
      <c r="S661" s="7" t="n"/>
      <c r="T661" s="7" t="n"/>
      <c r="U661" s="7" t="n"/>
      <c r="V661" s="7" t="n"/>
      <c r="W661" s="7" t="n"/>
      <c r="X661" s="7" t="n"/>
    </row>
    <row r="662" ht="21.75" customHeight="1" s="209">
      <c r="A662" s="28" t="n">
        <v>659</v>
      </c>
      <c r="B662" s="28" t="inlineStr">
        <is>
          <t>11593</t>
        </is>
      </c>
      <c r="C662" s="30" t="inlineStr">
        <is>
          <t>D5</t>
        </is>
      </c>
      <c r="D662" s="32" t="inlineStr">
        <is>
          <t>애너그램 랭킹</t>
        </is>
      </c>
      <c r="E662" s="28" t="inlineStr">
        <is>
          <t>동적계획법 (DP) / 그래프</t>
        </is>
      </c>
      <c r="F662" s="28" t="n"/>
      <c r="G662" s="28" t="n"/>
      <c r="H662" s="28" t="n"/>
      <c r="I662" s="28" t="n"/>
      <c r="J662" s="54">
        <f>IF(OR(ISNUMBER(SEARCH("보류",K662)),ISNUMBER(SEARCH("미룸",K662)),ISNUMBER(SEARCH("나중에",K662)),ISNUMBER(SEARCH("보류",L662)),ISNUMBER(SEARCH("미룸",L662)),ISNUMBER(SEARCH("나중에",L662))),"보류(나중에 풀기)",IF(AND(F662="",G662="",H662="",I662=""),"미완료",IF(I662&lt;&gt;"","복습3(마스터)",IF(H662&lt;&gt;"","복습2",IF(G662&lt;&gt;"","복습1",IF(ISNUMBER(SEARCH("제미나이",K662)),"복습대기(AI도움)",IF(ISNUMBER(SEARCH("간당간당",K662)),"복습대기(간당간당)",IF(OR(ISNUMBER(SEARCH("아이디어",K662)),ISNUMBER(SEARCH("시간초과",K662)),ISNUMBER(SEARCH("자료구조",K662)),ISNUMBER(SEARCH("경계값",K662)),ISNUMBER(SEARCH("다른 풀이",K662)),ISNUMBER(SEARCH("또풀기",K662))),"복습대기",IF(OR(ISNUMBER(SEARCH("복습필요없음",K662)),ISNUMBER(SEARCH("자력완벽",K662))),"품(복습불필요)",IF(F662&lt;&gt;"","품","미완료"))))))))))</f>
        <v/>
      </c>
      <c r="K662" s="32" t="inlineStr">
        <is>
          <t>-</t>
        </is>
      </c>
      <c r="L662" s="32" t="n"/>
      <c r="M662" s="28">
        <f>IF(OR(LEFT(J662,2)="보류", LEFT(J662,4)="복습대기", LEFT(J662,3)="복습1", LEFT(J662,3)="복습2"), MAX($M$3:M661)+1, "")</f>
        <v/>
      </c>
      <c r="N662" s="28" t="inlineStr">
        <is>
          <t>W17</t>
        </is>
      </c>
      <c r="O662" s="36" t="n">
        <v>46371</v>
      </c>
      <c r="P662" s="30">
        <f>IF(F662&lt;&gt;"","✅ 완료",IF(O662="","-",IF(TODAY()&gt;O662,"🚨 지연","⏳ 예정")))</f>
        <v/>
      </c>
      <c r="Q662" s="7" t="n"/>
      <c r="R662" s="7" t="n"/>
      <c r="S662" s="7" t="n"/>
      <c r="T662" s="7" t="n"/>
      <c r="U662" s="7" t="n"/>
      <c r="V662" s="7" t="n"/>
      <c r="W662" s="7" t="n"/>
      <c r="X662" s="7" t="n"/>
    </row>
    <row r="663" ht="21.75" customHeight="1" s="209">
      <c r="A663" s="28" t="n">
        <v>660</v>
      </c>
      <c r="B663" s="28" t="inlineStr">
        <is>
          <t>11689</t>
        </is>
      </c>
      <c r="C663" s="30" t="inlineStr">
        <is>
          <t>D5</t>
        </is>
      </c>
      <c r="D663" s="32" t="inlineStr">
        <is>
          <t>Calkin-Wilf tree 2</t>
        </is>
      </c>
      <c r="E663" s="28" t="inlineStr">
        <is>
          <t>트리 / 힙 / 세그먼트트리</t>
        </is>
      </c>
      <c r="F663" s="28" t="n"/>
      <c r="G663" s="28" t="n"/>
      <c r="H663" s="28" t="n"/>
      <c r="I663" s="28" t="n"/>
      <c r="J663" s="54">
        <f>IF(OR(ISNUMBER(SEARCH("보류",K663)),ISNUMBER(SEARCH("미룸",K663)),ISNUMBER(SEARCH("나중에",K663)),ISNUMBER(SEARCH("보류",L663)),ISNUMBER(SEARCH("미룸",L663)),ISNUMBER(SEARCH("나중에",L663))),"보류(나중에 풀기)",IF(AND(F663="",G663="",H663="",I663=""),"미완료",IF(I663&lt;&gt;"","복습3(마스터)",IF(H663&lt;&gt;"","복습2",IF(G663&lt;&gt;"","복습1",IF(ISNUMBER(SEARCH("제미나이",K663)),"복습대기(AI도움)",IF(ISNUMBER(SEARCH("간당간당",K663)),"복습대기(간당간당)",IF(OR(ISNUMBER(SEARCH("아이디어",K663)),ISNUMBER(SEARCH("시간초과",K663)),ISNUMBER(SEARCH("자료구조",K663)),ISNUMBER(SEARCH("경계값",K663)),ISNUMBER(SEARCH("다른 풀이",K663)),ISNUMBER(SEARCH("또풀기",K663))),"복습대기",IF(OR(ISNUMBER(SEARCH("복습필요없음",K663)),ISNUMBER(SEARCH("자력완벽",K663))),"품(복습불필요)",IF(F663&lt;&gt;"","품","미완료"))))))))))</f>
        <v/>
      </c>
      <c r="K663" s="32" t="inlineStr">
        <is>
          <t>-</t>
        </is>
      </c>
      <c r="L663" s="32" t="n"/>
      <c r="M663" s="28">
        <f>IF(OR(LEFT(J663,2)="보류", LEFT(J663,4)="복습대기", LEFT(J663,3)="복습1", LEFT(J663,3)="복습2"), MAX($M$3:M662)+1, "")</f>
        <v/>
      </c>
      <c r="N663" s="28" t="inlineStr">
        <is>
          <t>W17</t>
        </is>
      </c>
      <c r="O663" s="36" t="n">
        <v>46371</v>
      </c>
      <c r="P663" s="30">
        <f>IF(F663&lt;&gt;"","✅ 완료",IF(O663="","-",IF(TODAY()&gt;O663,"🚨 지연","⏳ 예정")))</f>
        <v/>
      </c>
      <c r="Q663" s="7" t="n"/>
      <c r="R663" s="7" t="n"/>
      <c r="S663" s="7" t="n"/>
      <c r="T663" s="7" t="n"/>
      <c r="U663" s="7" t="n"/>
      <c r="V663" s="7" t="n"/>
      <c r="W663" s="7" t="n"/>
      <c r="X663" s="7" t="n"/>
    </row>
    <row r="664" ht="21.75" customHeight="1" s="209">
      <c r="A664" s="28" t="n">
        <v>661</v>
      </c>
      <c r="B664" s="28" t="inlineStr">
        <is>
          <t>11737</t>
        </is>
      </c>
      <c r="C664" s="30" t="inlineStr">
        <is>
          <t>D5</t>
        </is>
      </c>
      <c r="D664" s="32" t="inlineStr">
        <is>
          <t>힐베르트 곡선</t>
        </is>
      </c>
      <c r="E664" s="28" t="inlineStr">
        <is>
          <t>동적계획법 (DP) / 그래프</t>
        </is>
      </c>
      <c r="F664" s="28" t="n"/>
      <c r="G664" s="28" t="n"/>
      <c r="H664" s="28" t="n"/>
      <c r="I664" s="28" t="n"/>
      <c r="J664" s="54">
        <f>IF(OR(ISNUMBER(SEARCH("보류",K664)),ISNUMBER(SEARCH("미룸",K664)),ISNUMBER(SEARCH("나중에",K664)),ISNUMBER(SEARCH("보류",L664)),ISNUMBER(SEARCH("미룸",L664)),ISNUMBER(SEARCH("나중에",L664))),"보류(나중에 풀기)",IF(AND(F664="",G664="",H664="",I664=""),"미완료",IF(I664&lt;&gt;"","복습3(마스터)",IF(H664&lt;&gt;"","복습2",IF(G664&lt;&gt;"","복습1",IF(ISNUMBER(SEARCH("제미나이",K664)),"복습대기(AI도움)",IF(ISNUMBER(SEARCH("간당간당",K664)),"복습대기(간당간당)",IF(OR(ISNUMBER(SEARCH("아이디어",K664)),ISNUMBER(SEARCH("시간초과",K664)),ISNUMBER(SEARCH("자료구조",K664)),ISNUMBER(SEARCH("경계값",K664)),ISNUMBER(SEARCH("다른 풀이",K664)),ISNUMBER(SEARCH("또풀기",K664))),"복습대기",IF(OR(ISNUMBER(SEARCH("복습필요없음",K664)),ISNUMBER(SEARCH("자력완벽",K664))),"품(복습불필요)",IF(F664&lt;&gt;"","품","미완료"))))))))))</f>
        <v/>
      </c>
      <c r="K664" s="32" t="inlineStr">
        <is>
          <t>-</t>
        </is>
      </c>
      <c r="L664" s="32" t="n"/>
      <c r="M664" s="28">
        <f>IF(OR(LEFT(J664,2)="보류", LEFT(J664,4)="복습대기", LEFT(J664,3)="복습1", LEFT(J664,3)="복습2"), MAX($M$3:M663)+1, "")</f>
        <v/>
      </c>
      <c r="N664" s="28" t="inlineStr">
        <is>
          <t>W17</t>
        </is>
      </c>
      <c r="O664" s="36" t="n">
        <v>46371</v>
      </c>
      <c r="P664" s="30">
        <f>IF(F664&lt;&gt;"","✅ 완료",IF(O664="","-",IF(TODAY()&gt;O664,"🚨 지연","⏳ 예정")))</f>
        <v/>
      </c>
      <c r="Q664" s="7" t="n"/>
      <c r="R664" s="7" t="n"/>
      <c r="S664" s="7" t="n"/>
      <c r="T664" s="7" t="n"/>
      <c r="U664" s="7" t="n"/>
      <c r="V664" s="7" t="n"/>
      <c r="W664" s="7" t="n"/>
      <c r="X664" s="7" t="n"/>
    </row>
    <row r="665" ht="21.75" customHeight="1" s="209">
      <c r="A665" s="28" t="n">
        <v>662</v>
      </c>
      <c r="B665" s="28" t="inlineStr">
        <is>
          <t>11857</t>
        </is>
      </c>
      <c r="C665" s="30" t="inlineStr">
        <is>
          <t>D5</t>
        </is>
      </c>
      <c r="D665" s="32" t="inlineStr">
        <is>
          <t>시장</t>
        </is>
      </c>
      <c r="E665" s="28" t="inlineStr">
        <is>
          <t>동적계획법 (DP) / 그래프</t>
        </is>
      </c>
      <c r="F665" s="28" t="n"/>
      <c r="G665" s="28" t="n"/>
      <c r="H665" s="28" t="n"/>
      <c r="I665" s="28" t="n"/>
      <c r="J665" s="54">
        <f>IF(OR(ISNUMBER(SEARCH("보류",K665)),ISNUMBER(SEARCH("미룸",K665)),ISNUMBER(SEARCH("나중에",K665)),ISNUMBER(SEARCH("보류",L665)),ISNUMBER(SEARCH("미룸",L665)),ISNUMBER(SEARCH("나중에",L665))),"보류(나중에 풀기)",IF(AND(F665="",G665="",H665="",I665=""),"미완료",IF(I665&lt;&gt;"","복습3(마스터)",IF(H665&lt;&gt;"","복습2",IF(G665&lt;&gt;"","복습1",IF(ISNUMBER(SEARCH("제미나이",K665)),"복습대기(AI도움)",IF(ISNUMBER(SEARCH("간당간당",K665)),"복습대기(간당간당)",IF(OR(ISNUMBER(SEARCH("아이디어",K665)),ISNUMBER(SEARCH("시간초과",K665)),ISNUMBER(SEARCH("자료구조",K665)),ISNUMBER(SEARCH("경계값",K665)),ISNUMBER(SEARCH("다른 풀이",K665)),ISNUMBER(SEARCH("또풀기",K665))),"복습대기",IF(OR(ISNUMBER(SEARCH("복습필요없음",K665)),ISNUMBER(SEARCH("자력완벽",K665))),"품(복습불필요)",IF(F665&lt;&gt;"","품","미완료"))))))))))</f>
        <v/>
      </c>
      <c r="K665" s="32" t="inlineStr">
        <is>
          <t>-</t>
        </is>
      </c>
      <c r="L665" s="32" t="n"/>
      <c r="M665" s="28">
        <f>IF(OR(LEFT(J665,2)="보류", LEFT(J665,4)="복습대기", LEFT(J665,3)="복습1", LEFT(J665,3)="복습2"), MAX($M$3:M664)+1, "")</f>
        <v/>
      </c>
      <c r="N665" s="28" t="inlineStr">
        <is>
          <t>W17</t>
        </is>
      </c>
      <c r="O665" s="36" t="n">
        <v>46371</v>
      </c>
      <c r="P665" s="30">
        <f>IF(F665&lt;&gt;"","✅ 완료",IF(O665="","-",IF(TODAY()&gt;O665,"🚨 지연","⏳ 예정")))</f>
        <v/>
      </c>
      <c r="Q665" s="7" t="n"/>
      <c r="R665" s="7" t="n"/>
      <c r="S665" s="7" t="n"/>
      <c r="T665" s="7" t="n"/>
      <c r="U665" s="7" t="n"/>
      <c r="V665" s="7" t="n"/>
      <c r="W665" s="7" t="n"/>
      <c r="X665" s="7" t="n"/>
    </row>
    <row r="666" ht="21.75" customHeight="1" s="209">
      <c r="A666" s="28" t="n">
        <v>663</v>
      </c>
      <c r="B666" s="28" t="inlineStr">
        <is>
          <t>12031</t>
        </is>
      </c>
      <c r="C666" s="30" t="inlineStr">
        <is>
          <t>D5</t>
        </is>
      </c>
      <c r="D666" s="32" t="inlineStr">
        <is>
          <t>저격수</t>
        </is>
      </c>
      <c r="E666" s="28" t="inlineStr">
        <is>
          <t>동적계획법 (DP) / 그래프</t>
        </is>
      </c>
      <c r="F666" s="28" t="n"/>
      <c r="G666" s="28" t="n"/>
      <c r="H666" s="28" t="n"/>
      <c r="I666" s="28" t="n"/>
      <c r="J666" s="54">
        <f>IF(OR(ISNUMBER(SEARCH("보류",K666)),ISNUMBER(SEARCH("미룸",K666)),ISNUMBER(SEARCH("나중에",K666)),ISNUMBER(SEARCH("보류",L666)),ISNUMBER(SEARCH("미룸",L666)),ISNUMBER(SEARCH("나중에",L666))),"보류(나중에 풀기)",IF(AND(F666="",G666="",H666="",I666=""),"미완료",IF(I666&lt;&gt;"","복습3(마스터)",IF(H666&lt;&gt;"","복습2",IF(G666&lt;&gt;"","복습1",IF(ISNUMBER(SEARCH("제미나이",K666)),"복습대기(AI도움)",IF(ISNUMBER(SEARCH("간당간당",K666)),"복습대기(간당간당)",IF(OR(ISNUMBER(SEARCH("아이디어",K666)),ISNUMBER(SEARCH("시간초과",K666)),ISNUMBER(SEARCH("자료구조",K666)),ISNUMBER(SEARCH("경계값",K666)),ISNUMBER(SEARCH("다른 풀이",K666)),ISNUMBER(SEARCH("또풀기",K666))),"복습대기",IF(OR(ISNUMBER(SEARCH("복습필요없음",K666)),ISNUMBER(SEARCH("자력완벽",K666))),"품(복습불필요)",IF(F666&lt;&gt;"","품","미완료"))))))))))</f>
        <v/>
      </c>
      <c r="K666" s="32" t="inlineStr">
        <is>
          <t>-</t>
        </is>
      </c>
      <c r="L666" s="32" t="n"/>
      <c r="M666" s="28">
        <f>IF(OR(LEFT(J666,2)="보류", LEFT(J666,4)="복습대기", LEFT(J666,3)="복습1", LEFT(J666,3)="복습2"), MAX($M$3:M665)+1, "")</f>
        <v/>
      </c>
      <c r="N666" s="28" t="inlineStr">
        <is>
          <t>W17</t>
        </is>
      </c>
      <c r="O666" s="36" t="n">
        <v>46371</v>
      </c>
      <c r="P666" s="30">
        <f>IF(F666&lt;&gt;"","✅ 완료",IF(O666="","-",IF(TODAY()&gt;O666,"🚨 지연","⏳ 예정")))</f>
        <v/>
      </c>
      <c r="Q666" s="7" t="n"/>
      <c r="R666" s="7" t="n"/>
      <c r="S666" s="7" t="n"/>
      <c r="T666" s="7" t="n"/>
      <c r="U666" s="7" t="n"/>
      <c r="V666" s="7" t="n"/>
      <c r="W666" s="7" t="n"/>
      <c r="X666" s="7" t="n"/>
    </row>
    <row r="667" ht="21.75" customHeight="1" s="209">
      <c r="A667" s="28" t="n">
        <v>664</v>
      </c>
      <c r="B667" s="28" t="inlineStr">
        <is>
          <t>12223</t>
        </is>
      </c>
      <c r="C667" s="30" t="inlineStr">
        <is>
          <t>D5</t>
        </is>
      </c>
      <c r="D667" s="32" t="inlineStr">
        <is>
          <t>감시 카메라</t>
        </is>
      </c>
      <c r="E667" s="28" t="inlineStr">
        <is>
          <t>동적계획법 (DP) / 그래프</t>
        </is>
      </c>
      <c r="F667" s="28" t="n"/>
      <c r="G667" s="28" t="n"/>
      <c r="H667" s="28" t="n"/>
      <c r="I667" s="28" t="n"/>
      <c r="J667" s="54">
        <f>IF(OR(ISNUMBER(SEARCH("보류",K667)),ISNUMBER(SEARCH("미룸",K667)),ISNUMBER(SEARCH("나중에",K667)),ISNUMBER(SEARCH("보류",L667)),ISNUMBER(SEARCH("미룸",L667)),ISNUMBER(SEARCH("나중에",L667))),"보류(나중에 풀기)",IF(AND(F667="",G667="",H667="",I667=""),"미완료",IF(I667&lt;&gt;"","복습3(마스터)",IF(H667&lt;&gt;"","복습2",IF(G667&lt;&gt;"","복습1",IF(ISNUMBER(SEARCH("제미나이",K667)),"복습대기(AI도움)",IF(ISNUMBER(SEARCH("간당간당",K667)),"복습대기(간당간당)",IF(OR(ISNUMBER(SEARCH("아이디어",K667)),ISNUMBER(SEARCH("시간초과",K667)),ISNUMBER(SEARCH("자료구조",K667)),ISNUMBER(SEARCH("경계값",K667)),ISNUMBER(SEARCH("다른 풀이",K667)),ISNUMBER(SEARCH("또풀기",K667))),"복습대기",IF(OR(ISNUMBER(SEARCH("복습필요없음",K667)),ISNUMBER(SEARCH("자력완벽",K667))),"품(복습불필요)",IF(F667&lt;&gt;"","품","미완료"))))))))))</f>
        <v/>
      </c>
      <c r="K667" s="32" t="inlineStr">
        <is>
          <t>-</t>
        </is>
      </c>
      <c r="L667" s="32" t="n"/>
      <c r="M667" s="28">
        <f>IF(OR(LEFT(J667,2)="보류", LEFT(J667,4)="복습대기", LEFT(J667,3)="복습1", LEFT(J667,3)="복습2"), MAX($M$3:M666)+1, "")</f>
        <v/>
      </c>
      <c r="N667" s="28" t="inlineStr">
        <is>
          <t>W17</t>
        </is>
      </c>
      <c r="O667" s="36" t="n">
        <v>46371</v>
      </c>
      <c r="P667" s="30">
        <f>IF(F667&lt;&gt;"","✅ 완료",IF(O667="","-",IF(TODAY()&gt;O667,"🚨 지연","⏳ 예정")))</f>
        <v/>
      </c>
      <c r="Q667" s="7" t="n"/>
      <c r="R667" s="7" t="n"/>
      <c r="S667" s="7" t="n"/>
      <c r="T667" s="7" t="n"/>
      <c r="U667" s="7" t="n"/>
      <c r="V667" s="7" t="n"/>
      <c r="W667" s="7" t="n"/>
      <c r="X667" s="7" t="n"/>
    </row>
    <row r="668" ht="21.75" customHeight="1" s="209">
      <c r="A668" s="28" t="n">
        <v>665</v>
      </c>
      <c r="B668" s="28" t="inlineStr">
        <is>
          <t>12370</t>
        </is>
      </c>
      <c r="C668" s="30" t="inlineStr">
        <is>
          <t>D5</t>
        </is>
      </c>
      <c r="D668" s="32" t="inlineStr">
        <is>
          <t>물물교환</t>
        </is>
      </c>
      <c r="E668" s="28" t="inlineStr">
        <is>
          <t>동적계획법 (DP) / 그래프</t>
        </is>
      </c>
      <c r="F668" s="28" t="n"/>
      <c r="G668" s="28" t="n"/>
      <c r="H668" s="28" t="n"/>
      <c r="I668" s="28" t="n"/>
      <c r="J668" s="54">
        <f>IF(OR(ISNUMBER(SEARCH("보류",K668)),ISNUMBER(SEARCH("미룸",K668)),ISNUMBER(SEARCH("나중에",K668)),ISNUMBER(SEARCH("보류",L668)),ISNUMBER(SEARCH("미룸",L668)),ISNUMBER(SEARCH("나중에",L668))),"보류(나중에 풀기)",IF(AND(F668="",G668="",H668="",I668=""),"미완료",IF(I668&lt;&gt;"","복습3(마스터)",IF(H668&lt;&gt;"","복습2",IF(G668&lt;&gt;"","복습1",IF(ISNUMBER(SEARCH("제미나이",K668)),"복습대기(AI도움)",IF(ISNUMBER(SEARCH("간당간당",K668)),"복습대기(간당간당)",IF(OR(ISNUMBER(SEARCH("아이디어",K668)),ISNUMBER(SEARCH("시간초과",K668)),ISNUMBER(SEARCH("자료구조",K668)),ISNUMBER(SEARCH("경계값",K668)),ISNUMBER(SEARCH("다른 풀이",K668)),ISNUMBER(SEARCH("또풀기",K668))),"복습대기",IF(OR(ISNUMBER(SEARCH("복습필요없음",K668)),ISNUMBER(SEARCH("자력완벽",K668))),"품(복습불필요)",IF(F668&lt;&gt;"","품","미완료"))))))))))</f>
        <v/>
      </c>
      <c r="K668" s="32" t="inlineStr">
        <is>
          <t>-</t>
        </is>
      </c>
      <c r="L668" s="32" t="n"/>
      <c r="M668" s="28">
        <f>IF(OR(LEFT(J668,2)="보류", LEFT(J668,4)="복습대기", LEFT(J668,3)="복습1", LEFT(J668,3)="복습2"), MAX($M$3:M667)+1, "")</f>
        <v/>
      </c>
      <c r="N668" s="28" t="inlineStr">
        <is>
          <t>W17</t>
        </is>
      </c>
      <c r="O668" s="36" t="n">
        <v>46372</v>
      </c>
      <c r="P668" s="30">
        <f>IF(F668&lt;&gt;"","✅ 완료",IF(O668="","-",IF(TODAY()&gt;O668,"🚨 지연","⏳ 예정")))</f>
        <v/>
      </c>
      <c r="Q668" s="7" t="n"/>
      <c r="R668" s="7" t="n"/>
      <c r="S668" s="7" t="n"/>
      <c r="T668" s="7" t="n"/>
      <c r="U668" s="7" t="n"/>
      <c r="V668" s="7" t="n"/>
      <c r="W668" s="7" t="n"/>
      <c r="X668" s="7" t="n"/>
    </row>
    <row r="669" ht="21.75" customHeight="1" s="209">
      <c r="A669" s="28" t="n">
        <v>666</v>
      </c>
      <c r="B669" s="28" t="inlineStr">
        <is>
          <t>12454</t>
        </is>
      </c>
      <c r="C669" s="30" t="inlineStr">
        <is>
          <t>D5</t>
        </is>
      </c>
      <c r="D669" s="32" t="inlineStr">
        <is>
          <t>점선면</t>
        </is>
      </c>
      <c r="E669" s="28" t="inlineStr">
        <is>
          <t>동적계획법 (DP) / 그래프</t>
        </is>
      </c>
      <c r="F669" s="28" t="n"/>
      <c r="G669" s="28" t="n"/>
      <c r="H669" s="28" t="n"/>
      <c r="I669" s="28" t="n"/>
      <c r="J669" s="54">
        <f>IF(OR(ISNUMBER(SEARCH("보류",K669)),ISNUMBER(SEARCH("미룸",K669)),ISNUMBER(SEARCH("나중에",K669)),ISNUMBER(SEARCH("보류",L669)),ISNUMBER(SEARCH("미룸",L669)),ISNUMBER(SEARCH("나중에",L669))),"보류(나중에 풀기)",IF(AND(F669="",G669="",H669="",I669=""),"미완료",IF(I669&lt;&gt;"","복습3(마스터)",IF(H669&lt;&gt;"","복습2",IF(G669&lt;&gt;"","복습1",IF(ISNUMBER(SEARCH("제미나이",K669)),"복습대기(AI도움)",IF(ISNUMBER(SEARCH("간당간당",K669)),"복습대기(간당간당)",IF(OR(ISNUMBER(SEARCH("아이디어",K669)),ISNUMBER(SEARCH("시간초과",K669)),ISNUMBER(SEARCH("자료구조",K669)),ISNUMBER(SEARCH("경계값",K669)),ISNUMBER(SEARCH("다른 풀이",K669)),ISNUMBER(SEARCH("또풀기",K669))),"복습대기",IF(OR(ISNUMBER(SEARCH("복습필요없음",K669)),ISNUMBER(SEARCH("자력완벽",K669))),"품(복습불필요)",IF(F669&lt;&gt;"","품","미완료"))))))))))</f>
        <v/>
      </c>
      <c r="K669" s="32" t="inlineStr">
        <is>
          <t>-</t>
        </is>
      </c>
      <c r="L669" s="32" t="n"/>
      <c r="M669" s="28">
        <f>IF(OR(LEFT(J669,2)="보류", LEFT(J669,4)="복습대기", LEFT(J669,3)="복습1", LEFT(J669,3)="복습2"), MAX($M$3:M668)+1, "")</f>
        <v/>
      </c>
      <c r="N669" s="28" t="inlineStr">
        <is>
          <t>W17</t>
        </is>
      </c>
      <c r="O669" s="36" t="n">
        <v>46372</v>
      </c>
      <c r="P669" s="30">
        <f>IF(F669&lt;&gt;"","✅ 완료",IF(O669="","-",IF(TODAY()&gt;O669,"🚨 지연","⏳ 예정")))</f>
        <v/>
      </c>
      <c r="Q669" s="7" t="n"/>
      <c r="R669" s="7" t="n"/>
      <c r="S669" s="7" t="n"/>
      <c r="T669" s="7" t="n"/>
      <c r="U669" s="7" t="n"/>
      <c r="V669" s="7" t="n"/>
      <c r="W669" s="7" t="n"/>
      <c r="X669" s="7" t="n"/>
    </row>
    <row r="670" ht="21.75" customHeight="1" s="209">
      <c r="A670" s="28" t="n">
        <v>667</v>
      </c>
      <c r="B670" s="28" t="inlineStr">
        <is>
          <t>12743</t>
        </is>
      </c>
      <c r="C670" s="30" t="inlineStr">
        <is>
          <t>D5</t>
        </is>
      </c>
      <c r="D670" s="32" t="inlineStr">
        <is>
          <t>토론</t>
        </is>
      </c>
      <c r="E670" s="28" t="inlineStr">
        <is>
          <t>동적계획법 (DP) / 그래프</t>
        </is>
      </c>
      <c r="F670" s="28" t="n"/>
      <c r="G670" s="28" t="n"/>
      <c r="H670" s="28" t="n"/>
      <c r="I670" s="28" t="n"/>
      <c r="J670" s="54">
        <f>IF(OR(ISNUMBER(SEARCH("보류",K670)),ISNUMBER(SEARCH("미룸",K670)),ISNUMBER(SEARCH("나중에",K670)),ISNUMBER(SEARCH("보류",L670)),ISNUMBER(SEARCH("미룸",L670)),ISNUMBER(SEARCH("나중에",L670))),"보류(나중에 풀기)",IF(AND(F670="",G670="",H670="",I670=""),"미완료",IF(I670&lt;&gt;"","복습3(마스터)",IF(H670&lt;&gt;"","복습2",IF(G670&lt;&gt;"","복습1",IF(ISNUMBER(SEARCH("제미나이",K670)),"복습대기(AI도움)",IF(ISNUMBER(SEARCH("간당간당",K670)),"복습대기(간당간당)",IF(OR(ISNUMBER(SEARCH("아이디어",K670)),ISNUMBER(SEARCH("시간초과",K670)),ISNUMBER(SEARCH("자료구조",K670)),ISNUMBER(SEARCH("경계값",K670)),ISNUMBER(SEARCH("다른 풀이",K670)),ISNUMBER(SEARCH("또풀기",K670))),"복습대기",IF(OR(ISNUMBER(SEARCH("복습필요없음",K670)),ISNUMBER(SEARCH("자력완벽",K670))),"품(복습불필요)",IF(F670&lt;&gt;"","품","미완료"))))))))))</f>
        <v/>
      </c>
      <c r="K670" s="32" t="inlineStr">
        <is>
          <t>-</t>
        </is>
      </c>
      <c r="L670" s="32" t="n"/>
      <c r="M670" s="28">
        <f>IF(OR(LEFT(J670,2)="보류", LEFT(J670,4)="복습대기", LEFT(J670,3)="복습1", LEFT(J670,3)="복습2"), MAX($M$3:M669)+1, "")</f>
        <v/>
      </c>
      <c r="N670" s="28" t="inlineStr">
        <is>
          <t>W17</t>
        </is>
      </c>
      <c r="O670" s="36" t="n">
        <v>46372</v>
      </c>
      <c r="P670" s="30">
        <f>IF(F670&lt;&gt;"","✅ 완료",IF(O670="","-",IF(TODAY()&gt;O670,"🚨 지연","⏳ 예정")))</f>
        <v/>
      </c>
      <c r="Q670" s="7" t="n"/>
      <c r="R670" s="7" t="n"/>
      <c r="S670" s="7" t="n"/>
      <c r="T670" s="7" t="n"/>
      <c r="U670" s="7" t="n"/>
      <c r="V670" s="7" t="n"/>
      <c r="W670" s="7" t="n"/>
      <c r="X670" s="7" t="n"/>
    </row>
    <row r="671" ht="21.75" customHeight="1" s="209">
      <c r="A671" s="28" t="n">
        <v>668</v>
      </c>
      <c r="B671" s="28" t="inlineStr">
        <is>
          <t>13042</t>
        </is>
      </c>
      <c r="C671" s="30" t="inlineStr">
        <is>
          <t>D5</t>
        </is>
      </c>
      <c r="D671" s="32" t="inlineStr">
        <is>
          <t>과제</t>
        </is>
      </c>
      <c r="E671" s="28" t="inlineStr">
        <is>
          <t>동적계획법 (DP) / 그래프</t>
        </is>
      </c>
      <c r="F671" s="28" t="n"/>
      <c r="G671" s="28" t="n"/>
      <c r="H671" s="28" t="n"/>
      <c r="I671" s="28" t="n"/>
      <c r="J671" s="54">
        <f>IF(OR(ISNUMBER(SEARCH("보류",K671)),ISNUMBER(SEARCH("미룸",K671)),ISNUMBER(SEARCH("나중에",K671)),ISNUMBER(SEARCH("보류",L671)),ISNUMBER(SEARCH("미룸",L671)),ISNUMBER(SEARCH("나중에",L671))),"보류(나중에 풀기)",IF(AND(F671="",G671="",H671="",I671=""),"미완료",IF(I671&lt;&gt;"","복습3(마스터)",IF(H671&lt;&gt;"","복습2",IF(G671&lt;&gt;"","복습1",IF(ISNUMBER(SEARCH("제미나이",K671)),"복습대기(AI도움)",IF(ISNUMBER(SEARCH("간당간당",K671)),"복습대기(간당간당)",IF(OR(ISNUMBER(SEARCH("아이디어",K671)),ISNUMBER(SEARCH("시간초과",K671)),ISNUMBER(SEARCH("자료구조",K671)),ISNUMBER(SEARCH("경계값",K671)),ISNUMBER(SEARCH("다른 풀이",K671)),ISNUMBER(SEARCH("또풀기",K671))),"복습대기",IF(OR(ISNUMBER(SEARCH("복습필요없음",K671)),ISNUMBER(SEARCH("자력완벽",K671))),"품(복습불필요)",IF(F671&lt;&gt;"","품","미완료"))))))))))</f>
        <v/>
      </c>
      <c r="K671" s="32" t="inlineStr">
        <is>
          <t>-</t>
        </is>
      </c>
      <c r="L671" s="32" t="n"/>
      <c r="M671" s="28">
        <f>IF(OR(LEFT(J671,2)="보류", LEFT(J671,4)="복습대기", LEFT(J671,3)="복습1", LEFT(J671,3)="복습2"), MAX($M$3:M670)+1, "")</f>
        <v/>
      </c>
      <c r="N671" s="28" t="inlineStr">
        <is>
          <t>W17</t>
        </is>
      </c>
      <c r="O671" s="36" t="n">
        <v>46372</v>
      </c>
      <c r="P671" s="30">
        <f>IF(F671&lt;&gt;"","✅ 완료",IF(O671="","-",IF(TODAY()&gt;O671,"🚨 지연","⏳ 예정")))</f>
        <v/>
      </c>
      <c r="Q671" s="7" t="n"/>
      <c r="R671" s="7" t="n"/>
      <c r="S671" s="7" t="n"/>
      <c r="T671" s="7" t="n"/>
      <c r="U671" s="7" t="n"/>
      <c r="V671" s="7" t="n"/>
      <c r="W671" s="7" t="n"/>
      <c r="X671" s="7" t="n"/>
    </row>
    <row r="672" ht="21.75" customHeight="1" s="209">
      <c r="A672" s="28" t="n">
        <v>669</v>
      </c>
      <c r="B672" s="28" t="inlineStr">
        <is>
          <t>13220</t>
        </is>
      </c>
      <c r="C672" s="30" t="inlineStr">
        <is>
          <t>D5</t>
        </is>
      </c>
      <c r="D672" s="32" t="inlineStr">
        <is>
          <t>수식 고치기</t>
        </is>
      </c>
      <c r="E672" s="28" t="inlineStr">
        <is>
          <t>동적계획법 (DP) / 그래프</t>
        </is>
      </c>
      <c r="F672" s="28" t="n"/>
      <c r="G672" s="28" t="n"/>
      <c r="H672" s="28" t="n"/>
      <c r="I672" s="28" t="n"/>
      <c r="J672" s="54">
        <f>IF(OR(ISNUMBER(SEARCH("보류",K672)),ISNUMBER(SEARCH("미룸",K672)),ISNUMBER(SEARCH("나중에",K672)),ISNUMBER(SEARCH("보류",L672)),ISNUMBER(SEARCH("미룸",L672)),ISNUMBER(SEARCH("나중에",L672))),"보류(나중에 풀기)",IF(AND(F672="",G672="",H672="",I672=""),"미완료",IF(I672&lt;&gt;"","복습3(마스터)",IF(H672&lt;&gt;"","복습2",IF(G672&lt;&gt;"","복습1",IF(ISNUMBER(SEARCH("제미나이",K672)),"복습대기(AI도움)",IF(ISNUMBER(SEARCH("간당간당",K672)),"복습대기(간당간당)",IF(OR(ISNUMBER(SEARCH("아이디어",K672)),ISNUMBER(SEARCH("시간초과",K672)),ISNUMBER(SEARCH("자료구조",K672)),ISNUMBER(SEARCH("경계값",K672)),ISNUMBER(SEARCH("다른 풀이",K672)),ISNUMBER(SEARCH("또풀기",K672))),"복습대기",IF(OR(ISNUMBER(SEARCH("복습필요없음",K672)),ISNUMBER(SEARCH("자력완벽",K672))),"품(복습불필요)",IF(F672&lt;&gt;"","품","미완료"))))))))))</f>
        <v/>
      </c>
      <c r="K672" s="32" t="inlineStr">
        <is>
          <t>-</t>
        </is>
      </c>
      <c r="L672" s="32" t="n"/>
      <c r="M672" s="28">
        <f>IF(OR(LEFT(J672,2)="보류", LEFT(J672,4)="복습대기", LEFT(J672,3)="복습1", LEFT(J672,3)="복습2"), MAX($M$3:M671)+1, "")</f>
        <v/>
      </c>
      <c r="N672" s="28" t="inlineStr">
        <is>
          <t>W17</t>
        </is>
      </c>
      <c r="O672" s="36" t="n">
        <v>46372</v>
      </c>
      <c r="P672" s="30">
        <f>IF(F672&lt;&gt;"","✅ 완료",IF(O672="","-",IF(TODAY()&gt;O672,"🚨 지연","⏳ 예정")))</f>
        <v/>
      </c>
      <c r="Q672" s="7" t="n"/>
      <c r="R672" s="7" t="n"/>
      <c r="S672" s="7" t="n"/>
      <c r="T672" s="7" t="n"/>
      <c r="U672" s="7" t="n"/>
      <c r="V672" s="7" t="n"/>
      <c r="W672" s="7" t="n"/>
      <c r="X672" s="7" t="n"/>
    </row>
    <row r="673" ht="21.75" customHeight="1" s="209">
      <c r="A673" s="28" t="n">
        <v>670</v>
      </c>
      <c r="B673" s="28" t="inlineStr">
        <is>
          <t>13243</t>
        </is>
      </c>
      <c r="C673" s="30" t="inlineStr">
        <is>
          <t>D5</t>
        </is>
      </c>
      <c r="D673" s="32" t="inlineStr">
        <is>
          <t>맨하튼 정삼각형</t>
        </is>
      </c>
      <c r="E673" s="28" t="inlineStr">
        <is>
          <t>동적계획법 (DP) / 그래프</t>
        </is>
      </c>
      <c r="F673" s="28" t="n"/>
      <c r="G673" s="28" t="n"/>
      <c r="H673" s="28" t="n"/>
      <c r="I673" s="28" t="n"/>
      <c r="J673" s="54">
        <f>IF(OR(ISNUMBER(SEARCH("보류",K673)),ISNUMBER(SEARCH("미룸",K673)),ISNUMBER(SEARCH("나중에",K673)),ISNUMBER(SEARCH("보류",L673)),ISNUMBER(SEARCH("미룸",L673)),ISNUMBER(SEARCH("나중에",L673))),"보류(나중에 풀기)",IF(AND(F673="",G673="",H673="",I673=""),"미완료",IF(I673&lt;&gt;"","복습3(마스터)",IF(H673&lt;&gt;"","복습2",IF(G673&lt;&gt;"","복습1",IF(ISNUMBER(SEARCH("제미나이",K673)),"복습대기(AI도움)",IF(ISNUMBER(SEARCH("간당간당",K673)),"복습대기(간당간당)",IF(OR(ISNUMBER(SEARCH("아이디어",K673)),ISNUMBER(SEARCH("시간초과",K673)),ISNUMBER(SEARCH("자료구조",K673)),ISNUMBER(SEARCH("경계값",K673)),ISNUMBER(SEARCH("다른 풀이",K673)),ISNUMBER(SEARCH("또풀기",K673))),"복습대기",IF(OR(ISNUMBER(SEARCH("복습필요없음",K673)),ISNUMBER(SEARCH("자력완벽",K673))),"품(복습불필요)",IF(F673&lt;&gt;"","품","미완료"))))))))))</f>
        <v/>
      </c>
      <c r="K673" s="32" t="inlineStr">
        <is>
          <t>-</t>
        </is>
      </c>
      <c r="L673" s="32" t="n"/>
      <c r="M673" s="28">
        <f>IF(OR(LEFT(J673,2)="보류", LEFT(J673,4)="복습대기", LEFT(J673,3)="복습1", LEFT(J673,3)="복습2"), MAX($M$3:M672)+1, "")</f>
        <v/>
      </c>
      <c r="N673" s="28" t="inlineStr">
        <is>
          <t>W17</t>
        </is>
      </c>
      <c r="O673" s="36" t="n">
        <v>46372</v>
      </c>
      <c r="P673" s="30">
        <f>IF(F673&lt;&gt;"","✅ 완료",IF(O673="","-",IF(TODAY()&gt;O673,"🚨 지연","⏳ 예정")))</f>
        <v/>
      </c>
      <c r="Q673" s="7" t="n"/>
      <c r="R673" s="7" t="n"/>
      <c r="S673" s="7" t="n"/>
      <c r="T673" s="7" t="n"/>
      <c r="U673" s="7" t="n"/>
      <c r="V673" s="7" t="n"/>
      <c r="W673" s="7" t="n"/>
      <c r="X673" s="7" t="n"/>
    </row>
    <row r="674" ht="21.75" customHeight="1" s="209">
      <c r="A674" s="28" t="n">
        <v>671</v>
      </c>
      <c r="B674" s="28" t="inlineStr">
        <is>
          <t>13433</t>
        </is>
      </c>
      <c r="C674" s="30" t="inlineStr">
        <is>
          <t>D5</t>
        </is>
      </c>
      <c r="D674" s="32" t="inlineStr">
        <is>
          <t>격자 위의 가장 긴 경로</t>
        </is>
      </c>
      <c r="E674" s="28" t="inlineStr">
        <is>
          <t>DFS / 백트래킹</t>
        </is>
      </c>
      <c r="F674" s="28" t="n"/>
      <c r="G674" s="28" t="n"/>
      <c r="H674" s="28" t="n"/>
      <c r="I674" s="28" t="n"/>
      <c r="J674" s="54">
        <f>IF(OR(ISNUMBER(SEARCH("보류",K674)),ISNUMBER(SEARCH("미룸",K674)),ISNUMBER(SEARCH("나중에",K674)),ISNUMBER(SEARCH("보류",L674)),ISNUMBER(SEARCH("미룸",L674)),ISNUMBER(SEARCH("나중에",L674))),"보류(나중에 풀기)",IF(AND(F674="",G674="",H674="",I674=""),"미완료",IF(I674&lt;&gt;"","복습3(마스터)",IF(H674&lt;&gt;"","복습2",IF(G674&lt;&gt;"","복습1",IF(ISNUMBER(SEARCH("제미나이",K674)),"복습대기(AI도움)",IF(ISNUMBER(SEARCH("간당간당",K674)),"복습대기(간당간당)",IF(OR(ISNUMBER(SEARCH("아이디어",K674)),ISNUMBER(SEARCH("시간초과",K674)),ISNUMBER(SEARCH("자료구조",K674)),ISNUMBER(SEARCH("경계값",K674)),ISNUMBER(SEARCH("다른 풀이",K674)),ISNUMBER(SEARCH("또풀기",K674))),"복습대기",IF(OR(ISNUMBER(SEARCH("복습필요없음",K674)),ISNUMBER(SEARCH("자력완벽",K674))),"품(복습불필요)",IF(F674&lt;&gt;"","품","미완료"))))))))))</f>
        <v/>
      </c>
      <c r="K674" s="32" t="inlineStr">
        <is>
          <t>-</t>
        </is>
      </c>
      <c r="L674" s="32" t="n"/>
      <c r="M674" s="28">
        <f>IF(OR(LEFT(J674,2)="보류", LEFT(J674,4)="복습대기", LEFT(J674,3)="복습1", LEFT(J674,3)="복습2"), MAX($M$3:M673)+1, "")</f>
        <v/>
      </c>
      <c r="N674" s="28" t="inlineStr">
        <is>
          <t>W17</t>
        </is>
      </c>
      <c r="O674" s="36" t="n">
        <v>46372</v>
      </c>
      <c r="P674" s="30">
        <f>IF(F674&lt;&gt;"","✅ 완료",IF(O674="","-",IF(TODAY()&gt;O674,"🚨 지연","⏳ 예정")))</f>
        <v/>
      </c>
      <c r="Q674" s="7" t="n"/>
      <c r="R674" s="7" t="n"/>
      <c r="S674" s="7" t="n"/>
      <c r="T674" s="7" t="n"/>
      <c r="U674" s="7" t="n"/>
      <c r="V674" s="7" t="n"/>
      <c r="W674" s="7" t="n"/>
      <c r="X674" s="7" t="n"/>
    </row>
    <row r="675" ht="21.75" customHeight="1" s="209">
      <c r="A675" s="28" t="n">
        <v>672</v>
      </c>
      <c r="B675" s="28" t="inlineStr">
        <is>
          <t>13550</t>
        </is>
      </c>
      <c r="C675" s="30" t="inlineStr">
        <is>
          <t>D5</t>
        </is>
      </c>
      <c r="D675" s="32" t="inlineStr">
        <is>
          <t>등차수열의 곱</t>
        </is>
      </c>
      <c r="E675" s="28" t="inlineStr">
        <is>
          <t>동적계획법 (DP)</t>
        </is>
      </c>
      <c r="F675" s="28" t="n"/>
      <c r="G675" s="28" t="n"/>
      <c r="H675" s="28" t="n"/>
      <c r="I675" s="28" t="n"/>
      <c r="J675" s="54">
        <f>IF(OR(ISNUMBER(SEARCH("보류",K675)),ISNUMBER(SEARCH("미룸",K675)),ISNUMBER(SEARCH("나중에",K675)),ISNUMBER(SEARCH("보류",L675)),ISNUMBER(SEARCH("미룸",L675)),ISNUMBER(SEARCH("나중에",L675))),"보류(나중에 풀기)",IF(AND(F675="",G675="",H675="",I675=""),"미완료",IF(I675&lt;&gt;"","복습3(마스터)",IF(H675&lt;&gt;"","복습2",IF(G675&lt;&gt;"","복습1",IF(ISNUMBER(SEARCH("제미나이",K675)),"복습대기(AI도움)",IF(ISNUMBER(SEARCH("간당간당",K675)),"복습대기(간당간당)",IF(OR(ISNUMBER(SEARCH("아이디어",K675)),ISNUMBER(SEARCH("시간초과",K675)),ISNUMBER(SEARCH("자료구조",K675)),ISNUMBER(SEARCH("경계값",K675)),ISNUMBER(SEARCH("다른 풀이",K675)),ISNUMBER(SEARCH("또풀기",K675))),"복습대기",IF(OR(ISNUMBER(SEARCH("복습필요없음",K675)),ISNUMBER(SEARCH("자력완벽",K675))),"품(복습불필요)",IF(F675&lt;&gt;"","품","미완료"))))))))))</f>
        <v/>
      </c>
      <c r="K675" s="32" t="inlineStr">
        <is>
          <t>-</t>
        </is>
      </c>
      <c r="L675" s="32" t="n"/>
      <c r="M675" s="28">
        <f>IF(OR(LEFT(J675,2)="보류", LEFT(J675,4)="복습대기", LEFT(J675,3)="복습1", LEFT(J675,3)="복습2"), MAX($M$3:M674)+1, "")</f>
        <v/>
      </c>
      <c r="N675" s="28" t="inlineStr">
        <is>
          <t>W17</t>
        </is>
      </c>
      <c r="O675" s="36" t="n">
        <v>46373</v>
      </c>
      <c r="P675" s="30">
        <f>IF(F675&lt;&gt;"","✅ 완료",IF(O675="","-",IF(TODAY()&gt;O675,"🚨 지연","⏳ 예정")))</f>
        <v/>
      </c>
      <c r="Q675" s="7" t="n"/>
      <c r="R675" s="7" t="n"/>
      <c r="S675" s="7" t="n"/>
      <c r="T675" s="7" t="n"/>
      <c r="U675" s="7" t="n"/>
      <c r="V675" s="7" t="n"/>
      <c r="W675" s="7" t="n"/>
      <c r="X675" s="7" t="n"/>
    </row>
    <row r="676" ht="21.75" customHeight="1" s="209">
      <c r="A676" s="28" t="n">
        <v>673</v>
      </c>
      <c r="B676" s="28" t="inlineStr">
        <is>
          <t>13742</t>
        </is>
      </c>
      <c r="C676" s="30" t="inlineStr">
        <is>
          <t>D5</t>
        </is>
      </c>
      <c r="D676" s="32" t="inlineStr">
        <is>
          <t>최대 독립 집합의 크기</t>
        </is>
      </c>
      <c r="E676" s="28" t="inlineStr">
        <is>
          <t>수학 / 정수론</t>
        </is>
      </c>
      <c r="F676" s="28" t="n"/>
      <c r="G676" s="28" t="n"/>
      <c r="H676" s="28" t="n"/>
      <c r="I676" s="28" t="n"/>
      <c r="J676" s="54">
        <f>IF(OR(ISNUMBER(SEARCH("보류",K676)),ISNUMBER(SEARCH("미룸",K676)),ISNUMBER(SEARCH("나중에",K676)),ISNUMBER(SEARCH("보류",L676)),ISNUMBER(SEARCH("미룸",L676)),ISNUMBER(SEARCH("나중에",L676))),"보류(나중에 풀기)",IF(AND(F676="",G676="",H676="",I676=""),"미완료",IF(I676&lt;&gt;"","복습3(마스터)",IF(H676&lt;&gt;"","복습2",IF(G676&lt;&gt;"","복습1",IF(ISNUMBER(SEARCH("제미나이",K676)),"복습대기(AI도움)",IF(ISNUMBER(SEARCH("간당간당",K676)),"복습대기(간당간당)",IF(OR(ISNUMBER(SEARCH("아이디어",K676)),ISNUMBER(SEARCH("시간초과",K676)),ISNUMBER(SEARCH("자료구조",K676)),ISNUMBER(SEARCH("경계값",K676)),ISNUMBER(SEARCH("다른 풀이",K676)),ISNUMBER(SEARCH("또풀기",K676))),"복습대기",IF(OR(ISNUMBER(SEARCH("복습필요없음",K676)),ISNUMBER(SEARCH("자력완벽",K676))),"품(복습불필요)",IF(F676&lt;&gt;"","품","미완료"))))))))))</f>
        <v/>
      </c>
      <c r="K676" s="32" t="inlineStr">
        <is>
          <t>-</t>
        </is>
      </c>
      <c r="L676" s="32" t="n"/>
      <c r="M676" s="28">
        <f>IF(OR(LEFT(J676,2)="보류", LEFT(J676,4)="복습대기", LEFT(J676,3)="복습1", LEFT(J676,3)="복습2"), MAX($M$3:M675)+1, "")</f>
        <v/>
      </c>
      <c r="N676" s="28" t="inlineStr">
        <is>
          <t>W17</t>
        </is>
      </c>
      <c r="O676" s="36" t="n">
        <v>46373</v>
      </c>
      <c r="P676" s="30">
        <f>IF(F676&lt;&gt;"","✅ 완료",IF(O676="","-",IF(TODAY()&gt;O676,"🚨 지연","⏳ 예정")))</f>
        <v/>
      </c>
      <c r="Q676" s="7" t="n"/>
      <c r="R676" s="7" t="n"/>
      <c r="S676" s="7" t="n"/>
      <c r="T676" s="7" t="n"/>
      <c r="U676" s="7" t="n"/>
      <c r="V676" s="7" t="n"/>
      <c r="W676" s="7" t="n"/>
      <c r="X676" s="7" t="n"/>
    </row>
    <row r="677" ht="21.75" customHeight="1" s="209">
      <c r="A677" s="28" t="n">
        <v>674</v>
      </c>
      <c r="B677" s="28" t="inlineStr">
        <is>
          <t>14180</t>
        </is>
      </c>
      <c r="C677" s="30" t="inlineStr">
        <is>
          <t>D5</t>
        </is>
      </c>
      <c r="D677" s="32" t="inlineStr">
        <is>
          <t>특별한 AND clique</t>
        </is>
      </c>
      <c r="E677" s="28" t="inlineStr">
        <is>
          <t>동적계획법 (DP) / 그래프</t>
        </is>
      </c>
      <c r="F677" s="28" t="n"/>
      <c r="G677" s="28" t="n"/>
      <c r="H677" s="28" t="n"/>
      <c r="I677" s="28" t="n"/>
      <c r="J677" s="54">
        <f>IF(OR(ISNUMBER(SEARCH("보류",K677)),ISNUMBER(SEARCH("미룸",K677)),ISNUMBER(SEARCH("나중에",K677)),ISNUMBER(SEARCH("보류",L677)),ISNUMBER(SEARCH("미룸",L677)),ISNUMBER(SEARCH("나중에",L677))),"보류(나중에 풀기)",IF(AND(F677="",G677="",H677="",I677=""),"미완료",IF(I677&lt;&gt;"","복습3(마스터)",IF(H677&lt;&gt;"","복습2",IF(G677&lt;&gt;"","복습1",IF(ISNUMBER(SEARCH("제미나이",K677)),"복습대기(AI도움)",IF(ISNUMBER(SEARCH("간당간당",K677)),"복습대기(간당간당)",IF(OR(ISNUMBER(SEARCH("아이디어",K677)),ISNUMBER(SEARCH("시간초과",K677)),ISNUMBER(SEARCH("자료구조",K677)),ISNUMBER(SEARCH("경계값",K677)),ISNUMBER(SEARCH("다른 풀이",K677)),ISNUMBER(SEARCH("또풀기",K677))),"복습대기",IF(OR(ISNUMBER(SEARCH("복습필요없음",K677)),ISNUMBER(SEARCH("자력완벽",K677))),"품(복습불필요)",IF(F677&lt;&gt;"","품","미완료"))))))))))</f>
        <v/>
      </c>
      <c r="K677" s="32" t="inlineStr">
        <is>
          <t>-</t>
        </is>
      </c>
      <c r="L677" s="32" t="n"/>
      <c r="M677" s="28">
        <f>IF(OR(LEFT(J677,2)="보류", LEFT(J677,4)="복습대기", LEFT(J677,3)="복습1", LEFT(J677,3)="복습2"), MAX($M$3:M676)+1, "")</f>
        <v/>
      </c>
      <c r="N677" s="28" t="inlineStr">
        <is>
          <t>W17</t>
        </is>
      </c>
      <c r="O677" s="36" t="n">
        <v>46373</v>
      </c>
      <c r="P677" s="30">
        <f>IF(F677&lt;&gt;"","✅ 완료",IF(O677="","-",IF(TODAY()&gt;O677,"🚨 지연","⏳ 예정")))</f>
        <v/>
      </c>
      <c r="Q677" s="7" t="n"/>
      <c r="R677" s="7" t="n"/>
      <c r="S677" s="7" t="n"/>
      <c r="T677" s="7" t="n"/>
      <c r="U677" s="7" t="n"/>
      <c r="V677" s="7" t="n"/>
      <c r="W677" s="7" t="n"/>
      <c r="X677" s="7" t="n"/>
    </row>
    <row r="678" ht="21.75" customHeight="1" s="209">
      <c r="A678" s="28" t="n">
        <v>675</v>
      </c>
      <c r="B678" s="28" t="inlineStr">
        <is>
          <t>14363</t>
        </is>
      </c>
      <c r="C678" s="30" t="inlineStr">
        <is>
          <t>D5</t>
        </is>
      </c>
      <c r="D678" s="32" t="inlineStr">
        <is>
          <t>AND 그림</t>
        </is>
      </c>
      <c r="E678" s="28" t="inlineStr">
        <is>
          <t>동적계획법 (DP) / 그래프</t>
        </is>
      </c>
      <c r="F678" s="28" t="n"/>
      <c r="G678" s="28" t="n"/>
      <c r="H678" s="28" t="n"/>
      <c r="I678" s="28" t="n"/>
      <c r="J678" s="54">
        <f>IF(OR(ISNUMBER(SEARCH("보류",K678)),ISNUMBER(SEARCH("미룸",K678)),ISNUMBER(SEARCH("나중에",K678)),ISNUMBER(SEARCH("보류",L678)),ISNUMBER(SEARCH("미룸",L678)),ISNUMBER(SEARCH("나중에",L678))),"보류(나중에 풀기)",IF(AND(F678="",G678="",H678="",I678=""),"미완료",IF(I678&lt;&gt;"","복습3(마스터)",IF(H678&lt;&gt;"","복습2",IF(G678&lt;&gt;"","복습1",IF(ISNUMBER(SEARCH("제미나이",K678)),"복습대기(AI도움)",IF(ISNUMBER(SEARCH("간당간당",K678)),"복습대기(간당간당)",IF(OR(ISNUMBER(SEARCH("아이디어",K678)),ISNUMBER(SEARCH("시간초과",K678)),ISNUMBER(SEARCH("자료구조",K678)),ISNUMBER(SEARCH("경계값",K678)),ISNUMBER(SEARCH("다른 풀이",K678)),ISNUMBER(SEARCH("또풀기",K678))),"복습대기",IF(OR(ISNUMBER(SEARCH("복습필요없음",K678)),ISNUMBER(SEARCH("자력완벽",K678))),"품(복습불필요)",IF(F678&lt;&gt;"","품","미완료"))))))))))</f>
        <v/>
      </c>
      <c r="K678" s="32" t="inlineStr">
        <is>
          <t>-</t>
        </is>
      </c>
      <c r="L678" s="32" t="n"/>
      <c r="M678" s="28">
        <f>IF(OR(LEFT(J678,2)="보류", LEFT(J678,4)="복습대기", LEFT(J678,3)="복습1", LEFT(J678,3)="복습2"), MAX($M$3:M677)+1, "")</f>
        <v/>
      </c>
      <c r="N678" s="28" t="inlineStr">
        <is>
          <t>W17</t>
        </is>
      </c>
      <c r="O678" s="36" t="n">
        <v>46373</v>
      </c>
      <c r="P678" s="30">
        <f>IF(F678&lt;&gt;"","✅ 완료",IF(O678="","-",IF(TODAY()&gt;O678,"🚨 지연","⏳ 예정")))</f>
        <v/>
      </c>
      <c r="Q678" s="7" t="n"/>
      <c r="R678" s="7" t="n"/>
      <c r="S678" s="7" t="n"/>
      <c r="T678" s="7" t="n"/>
      <c r="U678" s="7" t="n"/>
      <c r="V678" s="7" t="n"/>
      <c r="W678" s="7" t="n"/>
      <c r="X678" s="7" t="n"/>
    </row>
    <row r="679" ht="21.75" customHeight="1" s="209">
      <c r="A679" s="28" t="n">
        <v>676</v>
      </c>
      <c r="B679" s="28" t="inlineStr">
        <is>
          <t>14452</t>
        </is>
      </c>
      <c r="C679" s="30" t="inlineStr">
        <is>
          <t>D5</t>
        </is>
      </c>
      <c r="D679" s="32" t="inlineStr">
        <is>
          <t>거듭제곱 방정식</t>
        </is>
      </c>
      <c r="E679" s="28" t="inlineStr">
        <is>
          <t>수학 / 정수론</t>
        </is>
      </c>
      <c r="F679" s="28" t="n"/>
      <c r="G679" s="28" t="n"/>
      <c r="H679" s="28" t="n"/>
      <c r="I679" s="28" t="n"/>
      <c r="J679" s="54">
        <f>IF(OR(ISNUMBER(SEARCH("보류",K679)),ISNUMBER(SEARCH("미룸",K679)),ISNUMBER(SEARCH("나중에",K679)),ISNUMBER(SEARCH("보류",L679)),ISNUMBER(SEARCH("미룸",L679)),ISNUMBER(SEARCH("나중에",L679))),"보류(나중에 풀기)",IF(AND(F679="",G679="",H679="",I679=""),"미완료",IF(I679&lt;&gt;"","복습3(마스터)",IF(H679&lt;&gt;"","복습2",IF(G679&lt;&gt;"","복습1",IF(ISNUMBER(SEARCH("제미나이",K679)),"복습대기(AI도움)",IF(ISNUMBER(SEARCH("간당간당",K679)),"복습대기(간당간당)",IF(OR(ISNUMBER(SEARCH("아이디어",K679)),ISNUMBER(SEARCH("시간초과",K679)),ISNUMBER(SEARCH("자료구조",K679)),ISNUMBER(SEARCH("경계값",K679)),ISNUMBER(SEARCH("다른 풀이",K679)),ISNUMBER(SEARCH("또풀기",K679))),"복습대기",IF(OR(ISNUMBER(SEARCH("복습필요없음",K679)),ISNUMBER(SEARCH("자력완벽",K679))),"품(복습불필요)",IF(F679&lt;&gt;"","품","미완료"))))))))))</f>
        <v/>
      </c>
      <c r="K679" s="32" t="inlineStr">
        <is>
          <t>-</t>
        </is>
      </c>
      <c r="L679" s="32" t="n"/>
      <c r="M679" s="28">
        <f>IF(OR(LEFT(J679,2)="보류", LEFT(J679,4)="복습대기", LEFT(J679,3)="복습1", LEFT(J679,3)="복습2"), MAX($M$3:M678)+1, "")</f>
        <v/>
      </c>
      <c r="N679" s="28" t="inlineStr">
        <is>
          <t>W17</t>
        </is>
      </c>
      <c r="O679" s="36" t="n">
        <v>46373</v>
      </c>
      <c r="P679" s="30">
        <f>IF(F679&lt;&gt;"","✅ 완료",IF(O679="","-",IF(TODAY()&gt;O679,"🚨 지연","⏳ 예정")))</f>
        <v/>
      </c>
      <c r="Q679" s="7" t="n"/>
      <c r="R679" s="7" t="n"/>
      <c r="S679" s="7" t="n"/>
      <c r="T679" s="7" t="n"/>
      <c r="U679" s="7" t="n"/>
      <c r="V679" s="7" t="n"/>
      <c r="W679" s="7" t="n"/>
      <c r="X679" s="7" t="n"/>
    </row>
    <row r="680" ht="21.75" customHeight="1" s="209">
      <c r="A680" s="28" t="n">
        <v>677</v>
      </c>
      <c r="B680" s="28" t="inlineStr">
        <is>
          <t>14559</t>
        </is>
      </c>
      <c r="C680" s="30" t="inlineStr">
        <is>
          <t>D5</t>
        </is>
      </c>
      <c r="D680" s="32" t="inlineStr">
        <is>
          <t>배수 그래프</t>
        </is>
      </c>
      <c r="E680" s="28" t="inlineStr">
        <is>
          <t>그래프 / 최단경로 / 위상정렬</t>
        </is>
      </c>
      <c r="F680" s="28" t="n"/>
      <c r="G680" s="28" t="n"/>
      <c r="H680" s="28" t="n"/>
      <c r="I680" s="28" t="n"/>
      <c r="J680" s="54">
        <f>IF(OR(ISNUMBER(SEARCH("보류",K680)),ISNUMBER(SEARCH("미룸",K680)),ISNUMBER(SEARCH("나중에",K680)),ISNUMBER(SEARCH("보류",L680)),ISNUMBER(SEARCH("미룸",L680)),ISNUMBER(SEARCH("나중에",L680))),"보류(나중에 풀기)",IF(AND(F680="",G680="",H680="",I680=""),"미완료",IF(I680&lt;&gt;"","복습3(마스터)",IF(H680&lt;&gt;"","복습2",IF(G680&lt;&gt;"","복습1",IF(ISNUMBER(SEARCH("제미나이",K680)),"복습대기(AI도움)",IF(ISNUMBER(SEARCH("간당간당",K680)),"복습대기(간당간당)",IF(OR(ISNUMBER(SEARCH("아이디어",K680)),ISNUMBER(SEARCH("시간초과",K680)),ISNUMBER(SEARCH("자료구조",K680)),ISNUMBER(SEARCH("경계값",K680)),ISNUMBER(SEARCH("다른 풀이",K680)),ISNUMBER(SEARCH("또풀기",K680))),"복습대기",IF(OR(ISNUMBER(SEARCH("복습필요없음",K680)),ISNUMBER(SEARCH("자력완벽",K680))),"품(복습불필요)",IF(F680&lt;&gt;"","품","미완료"))))))))))</f>
        <v/>
      </c>
      <c r="K680" s="32" t="inlineStr">
        <is>
          <t>-</t>
        </is>
      </c>
      <c r="L680" s="32" t="n"/>
      <c r="M680" s="28">
        <f>IF(OR(LEFT(J680,2)="보류", LEFT(J680,4)="복습대기", LEFT(J680,3)="복습1", LEFT(J680,3)="복습2"), MAX($M$3:M679)+1, "")</f>
        <v/>
      </c>
      <c r="N680" s="28" t="inlineStr">
        <is>
          <t>W17</t>
        </is>
      </c>
      <c r="O680" s="36" t="n">
        <v>46373</v>
      </c>
      <c r="P680" s="30">
        <f>IF(F680&lt;&gt;"","✅ 완료",IF(O680="","-",IF(TODAY()&gt;O680,"🚨 지연","⏳ 예정")))</f>
        <v/>
      </c>
      <c r="Q680" s="7" t="n"/>
      <c r="R680" s="7" t="n"/>
      <c r="S680" s="7" t="n"/>
      <c r="T680" s="7" t="n"/>
      <c r="U680" s="7" t="n"/>
      <c r="V680" s="7" t="n"/>
      <c r="W680" s="7" t="n"/>
      <c r="X680" s="7" t="n"/>
    </row>
    <row r="681" ht="21.75" customHeight="1" s="209">
      <c r="A681" s="28" t="n">
        <v>678</v>
      </c>
      <c r="B681" s="28" t="inlineStr">
        <is>
          <t>14702</t>
        </is>
      </c>
      <c r="C681" s="30" t="inlineStr">
        <is>
          <t>D5</t>
        </is>
      </c>
      <c r="D681" s="32" t="inlineStr">
        <is>
          <t>생물학 실험</t>
        </is>
      </c>
      <c r="E681" s="28" t="inlineStr">
        <is>
          <t>동적계획법 (DP) / 그래프</t>
        </is>
      </c>
      <c r="F681" s="28" t="n"/>
      <c r="G681" s="28" t="n"/>
      <c r="H681" s="28" t="n"/>
      <c r="I681" s="28" t="n"/>
      <c r="J681" s="54">
        <f>IF(OR(ISNUMBER(SEARCH("보류",K681)),ISNUMBER(SEARCH("미룸",K681)),ISNUMBER(SEARCH("나중에",K681)),ISNUMBER(SEARCH("보류",L681)),ISNUMBER(SEARCH("미룸",L681)),ISNUMBER(SEARCH("나중에",L681))),"보류(나중에 풀기)",IF(AND(F681="",G681="",H681="",I681=""),"미완료",IF(I681&lt;&gt;"","복습3(마스터)",IF(H681&lt;&gt;"","복습2",IF(G681&lt;&gt;"","복습1",IF(ISNUMBER(SEARCH("제미나이",K681)),"복습대기(AI도움)",IF(ISNUMBER(SEARCH("간당간당",K681)),"복습대기(간당간당)",IF(OR(ISNUMBER(SEARCH("아이디어",K681)),ISNUMBER(SEARCH("시간초과",K681)),ISNUMBER(SEARCH("자료구조",K681)),ISNUMBER(SEARCH("경계값",K681)),ISNUMBER(SEARCH("다른 풀이",K681)),ISNUMBER(SEARCH("또풀기",K681))),"복습대기",IF(OR(ISNUMBER(SEARCH("복습필요없음",K681)),ISNUMBER(SEARCH("자력완벽",K681))),"품(복습불필요)",IF(F681&lt;&gt;"","품","미완료"))))))))))</f>
        <v/>
      </c>
      <c r="K681" s="32" t="inlineStr">
        <is>
          <t>-</t>
        </is>
      </c>
      <c r="L681" s="32" t="n"/>
      <c r="M681" s="28">
        <f>IF(OR(LEFT(J681,2)="보류", LEFT(J681,4)="복습대기", LEFT(J681,3)="복습1", LEFT(J681,3)="복습2"), MAX($M$3:M680)+1, "")</f>
        <v/>
      </c>
      <c r="N681" s="28" t="inlineStr">
        <is>
          <t>W17</t>
        </is>
      </c>
      <c r="O681" s="36" t="n">
        <v>46373</v>
      </c>
      <c r="P681" s="30">
        <f>IF(F681&lt;&gt;"","✅ 완료",IF(O681="","-",IF(TODAY()&gt;O681,"🚨 지연","⏳ 예정")))</f>
        <v/>
      </c>
      <c r="Q681" s="7" t="n"/>
      <c r="R681" s="7" t="n"/>
      <c r="S681" s="7" t="n"/>
      <c r="T681" s="7" t="n"/>
      <c r="U681" s="7" t="n"/>
      <c r="V681" s="7" t="n"/>
      <c r="W681" s="7" t="n"/>
      <c r="X681" s="7" t="n"/>
    </row>
    <row r="682" ht="21.75" customHeight="1" s="209">
      <c r="A682" s="28" t="n">
        <v>679</v>
      </c>
      <c r="B682" s="28" t="inlineStr">
        <is>
          <t>15235</t>
        </is>
      </c>
      <c r="C682" s="30" t="inlineStr">
        <is>
          <t>D5</t>
        </is>
      </c>
      <c r="D682" s="32" t="inlineStr">
        <is>
          <t>더 커질 수 없는 삼각형</t>
        </is>
      </c>
      <c r="E682" s="28" t="inlineStr">
        <is>
          <t>동적계획법 (DP) / 그래프</t>
        </is>
      </c>
      <c r="F682" s="28" t="n"/>
      <c r="G682" s="28" t="n"/>
      <c r="H682" s="28" t="n"/>
      <c r="I682" s="28" t="n"/>
      <c r="J682" s="54">
        <f>IF(OR(ISNUMBER(SEARCH("보류",K682)),ISNUMBER(SEARCH("미룸",K682)),ISNUMBER(SEARCH("나중에",K682)),ISNUMBER(SEARCH("보류",L682)),ISNUMBER(SEARCH("미룸",L682)),ISNUMBER(SEARCH("나중에",L682))),"보류(나중에 풀기)",IF(AND(F682="",G682="",H682="",I682=""),"미완료",IF(I682&lt;&gt;"","복습3(마스터)",IF(H682&lt;&gt;"","복습2",IF(G682&lt;&gt;"","복습1",IF(ISNUMBER(SEARCH("제미나이",K682)),"복습대기(AI도움)",IF(ISNUMBER(SEARCH("간당간당",K682)),"복습대기(간당간당)",IF(OR(ISNUMBER(SEARCH("아이디어",K682)),ISNUMBER(SEARCH("시간초과",K682)),ISNUMBER(SEARCH("자료구조",K682)),ISNUMBER(SEARCH("경계값",K682)),ISNUMBER(SEARCH("다른 풀이",K682)),ISNUMBER(SEARCH("또풀기",K682))),"복습대기",IF(OR(ISNUMBER(SEARCH("복습필요없음",K682)),ISNUMBER(SEARCH("자력완벽",K682))),"품(복습불필요)",IF(F682&lt;&gt;"","품","미완료"))))))))))</f>
        <v/>
      </c>
      <c r="K682" s="32" t="inlineStr">
        <is>
          <t>-</t>
        </is>
      </c>
      <c r="L682" s="32" t="n"/>
      <c r="M682" s="28">
        <f>IF(OR(LEFT(J682,2)="보류", LEFT(J682,4)="복습대기", LEFT(J682,3)="복습1", LEFT(J682,3)="복습2"), MAX($M$3:M681)+1, "")</f>
        <v/>
      </c>
      <c r="N682" s="28" t="inlineStr">
        <is>
          <t>W17</t>
        </is>
      </c>
      <c r="O682" s="36" t="n">
        <v>46374</v>
      </c>
      <c r="P682" s="30">
        <f>IF(F682&lt;&gt;"","✅ 완료",IF(O682="","-",IF(TODAY()&gt;O682,"🚨 지연","⏳ 예정")))</f>
        <v/>
      </c>
      <c r="Q682" s="7" t="n"/>
      <c r="R682" s="7" t="n"/>
      <c r="S682" s="7" t="n"/>
      <c r="T682" s="7" t="n"/>
      <c r="U682" s="7" t="n"/>
      <c r="V682" s="7" t="n"/>
      <c r="W682" s="7" t="n"/>
      <c r="X682" s="7" t="n"/>
    </row>
    <row r="683" ht="21.75" customHeight="1" s="209">
      <c r="A683" s="28" t="n">
        <v>680</v>
      </c>
      <c r="B683" s="28" t="inlineStr">
        <is>
          <t>15636</t>
        </is>
      </c>
      <c r="C683" s="30" t="inlineStr">
        <is>
          <t>D5</t>
        </is>
      </c>
      <c r="D683" s="32" t="inlineStr">
        <is>
          <t>가장 큰 안전한 집합</t>
        </is>
      </c>
      <c r="E683" s="28" t="inlineStr">
        <is>
          <t>수학 / 정수론</t>
        </is>
      </c>
      <c r="F683" s="28" t="n"/>
      <c r="G683" s="28" t="n"/>
      <c r="H683" s="28" t="n"/>
      <c r="I683" s="28" t="n"/>
      <c r="J683" s="54">
        <f>IF(OR(ISNUMBER(SEARCH("보류",K683)),ISNUMBER(SEARCH("미룸",K683)),ISNUMBER(SEARCH("나중에",K683)),ISNUMBER(SEARCH("보류",L683)),ISNUMBER(SEARCH("미룸",L683)),ISNUMBER(SEARCH("나중에",L683))),"보류(나중에 풀기)",IF(AND(F683="",G683="",H683="",I683=""),"미완료",IF(I683&lt;&gt;"","복습3(마스터)",IF(H683&lt;&gt;"","복습2",IF(G683&lt;&gt;"","복습1",IF(ISNUMBER(SEARCH("제미나이",K683)),"복습대기(AI도움)",IF(ISNUMBER(SEARCH("간당간당",K683)),"복습대기(간당간당)",IF(OR(ISNUMBER(SEARCH("아이디어",K683)),ISNUMBER(SEARCH("시간초과",K683)),ISNUMBER(SEARCH("자료구조",K683)),ISNUMBER(SEARCH("경계값",K683)),ISNUMBER(SEARCH("다른 풀이",K683)),ISNUMBER(SEARCH("또풀기",K683))),"복습대기",IF(OR(ISNUMBER(SEARCH("복습필요없음",K683)),ISNUMBER(SEARCH("자력완벽",K683))),"품(복습불필요)",IF(F683&lt;&gt;"","품","미완료"))))))))))</f>
        <v/>
      </c>
      <c r="K683" s="32" t="inlineStr">
        <is>
          <t>-</t>
        </is>
      </c>
      <c r="L683" s="32" t="n"/>
      <c r="M683" s="28">
        <f>IF(OR(LEFT(J683,2)="보류", LEFT(J683,4)="복습대기", LEFT(J683,3)="복습1", LEFT(J683,3)="복습2"), MAX($M$3:M682)+1, "")</f>
        <v/>
      </c>
      <c r="N683" s="28" t="inlineStr">
        <is>
          <t>W17</t>
        </is>
      </c>
      <c r="O683" s="36" t="n">
        <v>46374</v>
      </c>
      <c r="P683" s="30">
        <f>IF(F683&lt;&gt;"","✅ 완료",IF(O683="","-",IF(TODAY()&gt;O683,"🚨 지연","⏳ 예정")))</f>
        <v/>
      </c>
      <c r="Q683" s="7" t="n"/>
      <c r="R683" s="7" t="n"/>
      <c r="S683" s="7" t="n"/>
      <c r="T683" s="7" t="n"/>
      <c r="U683" s="7" t="n"/>
      <c r="V683" s="7" t="n"/>
      <c r="W683" s="7" t="n"/>
      <c r="X683" s="7" t="n"/>
    </row>
    <row r="684" ht="21.75" customHeight="1" s="209">
      <c r="A684" s="28" t="n">
        <v>681</v>
      </c>
      <c r="B684" s="28" t="inlineStr">
        <is>
          <t>15763</t>
        </is>
      </c>
      <c r="C684" s="30" t="inlineStr">
        <is>
          <t>D5</t>
        </is>
      </c>
      <c r="D684" s="32" t="inlineStr">
        <is>
          <t>마법을 쓰는 최단 경로</t>
        </is>
      </c>
      <c r="E684" s="28" t="inlineStr">
        <is>
          <t>DFS / 백트래킹</t>
        </is>
      </c>
      <c r="F684" s="28" t="n"/>
      <c r="G684" s="28" t="n"/>
      <c r="H684" s="28" t="n"/>
      <c r="I684" s="28" t="n"/>
      <c r="J684" s="54">
        <f>IF(OR(ISNUMBER(SEARCH("보류",K684)),ISNUMBER(SEARCH("미룸",K684)),ISNUMBER(SEARCH("나중에",K684)),ISNUMBER(SEARCH("보류",L684)),ISNUMBER(SEARCH("미룸",L684)),ISNUMBER(SEARCH("나중에",L684))),"보류(나중에 풀기)",IF(AND(F684="",G684="",H684="",I684=""),"미완료",IF(I684&lt;&gt;"","복습3(마스터)",IF(H684&lt;&gt;"","복습2",IF(G684&lt;&gt;"","복습1",IF(ISNUMBER(SEARCH("제미나이",K684)),"복습대기(AI도움)",IF(ISNUMBER(SEARCH("간당간당",K684)),"복습대기(간당간당)",IF(OR(ISNUMBER(SEARCH("아이디어",K684)),ISNUMBER(SEARCH("시간초과",K684)),ISNUMBER(SEARCH("자료구조",K684)),ISNUMBER(SEARCH("경계값",K684)),ISNUMBER(SEARCH("다른 풀이",K684)),ISNUMBER(SEARCH("또풀기",K684))),"복습대기",IF(OR(ISNUMBER(SEARCH("복습필요없음",K684)),ISNUMBER(SEARCH("자력완벽",K684))),"품(복습불필요)",IF(F684&lt;&gt;"","품","미완료"))))))))))</f>
        <v/>
      </c>
      <c r="K684" s="32" t="inlineStr">
        <is>
          <t>-</t>
        </is>
      </c>
      <c r="L684" s="32" t="n"/>
      <c r="M684" s="28">
        <f>IF(OR(LEFT(J684,2)="보류", LEFT(J684,4)="복습대기", LEFT(J684,3)="복습1", LEFT(J684,3)="복습2"), MAX($M$3:M683)+1, "")</f>
        <v/>
      </c>
      <c r="N684" s="28" t="inlineStr">
        <is>
          <t>W17</t>
        </is>
      </c>
      <c r="O684" s="36" t="n">
        <v>46374</v>
      </c>
      <c r="P684" s="30">
        <f>IF(F684&lt;&gt;"","✅ 완료",IF(O684="","-",IF(TODAY()&gt;O684,"🚨 지연","⏳ 예정")))</f>
        <v/>
      </c>
      <c r="Q684" s="7" t="n"/>
      <c r="R684" s="7" t="n"/>
      <c r="S684" s="7" t="n"/>
      <c r="T684" s="7" t="n"/>
      <c r="U684" s="7" t="n"/>
      <c r="V684" s="7" t="n"/>
      <c r="W684" s="7" t="n"/>
      <c r="X684" s="7" t="n"/>
    </row>
    <row r="685" ht="21.75" customHeight="1" s="209">
      <c r="A685" s="28" t="n">
        <v>682</v>
      </c>
      <c r="B685" s="28" t="inlineStr">
        <is>
          <t>15871</t>
        </is>
      </c>
      <c r="C685" s="30" t="inlineStr">
        <is>
          <t>D5</t>
        </is>
      </c>
      <c r="D685" s="32" t="inlineStr">
        <is>
          <t>2의 거듭제곱 점프</t>
        </is>
      </c>
      <c r="E685" s="28" t="inlineStr">
        <is>
          <t>수학 / 정수론</t>
        </is>
      </c>
      <c r="F685" s="28" t="n"/>
      <c r="G685" s="28" t="n"/>
      <c r="H685" s="28" t="n"/>
      <c r="I685" s="28" t="n"/>
      <c r="J685" s="54">
        <f>IF(OR(ISNUMBER(SEARCH("보류",K685)),ISNUMBER(SEARCH("미룸",K685)),ISNUMBER(SEARCH("나중에",K685)),ISNUMBER(SEARCH("보류",L685)),ISNUMBER(SEARCH("미룸",L685)),ISNUMBER(SEARCH("나중에",L685))),"보류(나중에 풀기)",IF(AND(F685="",G685="",H685="",I685=""),"미완료",IF(I685&lt;&gt;"","복습3(마스터)",IF(H685&lt;&gt;"","복습2",IF(G685&lt;&gt;"","복습1",IF(ISNUMBER(SEARCH("제미나이",K685)),"복습대기(AI도움)",IF(ISNUMBER(SEARCH("간당간당",K685)),"복습대기(간당간당)",IF(OR(ISNUMBER(SEARCH("아이디어",K685)),ISNUMBER(SEARCH("시간초과",K685)),ISNUMBER(SEARCH("자료구조",K685)),ISNUMBER(SEARCH("경계값",K685)),ISNUMBER(SEARCH("다른 풀이",K685)),ISNUMBER(SEARCH("또풀기",K685))),"복습대기",IF(OR(ISNUMBER(SEARCH("복습필요없음",K685)),ISNUMBER(SEARCH("자력완벽",K685))),"품(복습불필요)",IF(F685&lt;&gt;"","품","미완료"))))))))))</f>
        <v/>
      </c>
      <c r="K685" s="32" t="inlineStr">
        <is>
          <t>-</t>
        </is>
      </c>
      <c r="L685" s="32" t="n"/>
      <c r="M685" s="28">
        <f>IF(OR(LEFT(J685,2)="보류", LEFT(J685,4)="복습대기", LEFT(J685,3)="복습1", LEFT(J685,3)="복습2"), MAX($M$3:M684)+1, "")</f>
        <v/>
      </c>
      <c r="N685" s="28" t="inlineStr">
        <is>
          <t>W17</t>
        </is>
      </c>
      <c r="O685" s="36" t="n">
        <v>46374</v>
      </c>
      <c r="P685" s="30">
        <f>IF(F685&lt;&gt;"","✅ 완료",IF(O685="","-",IF(TODAY()&gt;O685,"🚨 지연","⏳ 예정")))</f>
        <v/>
      </c>
      <c r="Q685" s="7" t="n"/>
      <c r="R685" s="7" t="n"/>
      <c r="S685" s="7" t="n"/>
      <c r="T685" s="7" t="n"/>
      <c r="U685" s="7" t="n"/>
      <c r="V685" s="7" t="n"/>
      <c r="W685" s="7" t="n"/>
      <c r="X685" s="7" t="n"/>
    </row>
    <row r="686" ht="21.75" customHeight="1" s="209">
      <c r="A686" s="28" t="n">
        <v>683</v>
      </c>
      <c r="B686" s="28" t="inlineStr">
        <is>
          <t>15943</t>
        </is>
      </c>
      <c r="C686" s="30" t="inlineStr">
        <is>
          <t>D5</t>
        </is>
      </c>
      <c r="D686" s="32" t="inlineStr">
        <is>
          <t>쌍둥이 섬</t>
        </is>
      </c>
      <c r="E686" s="28" t="inlineStr">
        <is>
          <t>동적계획법 (DP) / 그래프</t>
        </is>
      </c>
      <c r="F686" s="28" t="n"/>
      <c r="G686" s="28" t="n"/>
      <c r="H686" s="28" t="n"/>
      <c r="I686" s="28" t="n"/>
      <c r="J686" s="54">
        <f>IF(OR(ISNUMBER(SEARCH("보류",K686)),ISNUMBER(SEARCH("미룸",K686)),ISNUMBER(SEARCH("나중에",K686)),ISNUMBER(SEARCH("보류",L686)),ISNUMBER(SEARCH("미룸",L686)),ISNUMBER(SEARCH("나중에",L686))),"보류(나중에 풀기)",IF(AND(F686="",G686="",H686="",I686=""),"미완료",IF(I686&lt;&gt;"","복습3(마스터)",IF(H686&lt;&gt;"","복습2",IF(G686&lt;&gt;"","복습1",IF(ISNUMBER(SEARCH("제미나이",K686)),"복습대기(AI도움)",IF(ISNUMBER(SEARCH("간당간당",K686)),"복습대기(간당간당)",IF(OR(ISNUMBER(SEARCH("아이디어",K686)),ISNUMBER(SEARCH("시간초과",K686)),ISNUMBER(SEARCH("자료구조",K686)),ISNUMBER(SEARCH("경계값",K686)),ISNUMBER(SEARCH("다른 풀이",K686)),ISNUMBER(SEARCH("또풀기",K686))),"복습대기",IF(OR(ISNUMBER(SEARCH("복습필요없음",K686)),ISNUMBER(SEARCH("자력완벽",K686))),"품(복습불필요)",IF(F686&lt;&gt;"","품","미완료"))))))))))</f>
        <v/>
      </c>
      <c r="K686" s="32" t="inlineStr">
        <is>
          <t>-</t>
        </is>
      </c>
      <c r="L686" s="32" t="n"/>
      <c r="M686" s="28">
        <f>IF(OR(LEFT(J686,2)="보류", LEFT(J686,4)="복습대기", LEFT(J686,3)="복습1", LEFT(J686,3)="복습2"), MAX($M$3:M685)+1, "")</f>
        <v/>
      </c>
      <c r="N686" s="28" t="inlineStr">
        <is>
          <t>W17</t>
        </is>
      </c>
      <c r="O686" s="36" t="n">
        <v>46374</v>
      </c>
      <c r="P686" s="30">
        <f>IF(F686&lt;&gt;"","✅ 완료",IF(O686="","-",IF(TODAY()&gt;O686,"🚨 지연","⏳ 예정")))</f>
        <v/>
      </c>
      <c r="Q686" s="7" t="n"/>
      <c r="R686" s="7" t="n"/>
      <c r="S686" s="7" t="n"/>
      <c r="T686" s="7" t="n"/>
      <c r="U686" s="7" t="n"/>
      <c r="V686" s="7" t="n"/>
      <c r="W686" s="7" t="n"/>
      <c r="X686" s="7" t="n"/>
    </row>
    <row r="687" ht="21.75" customHeight="1" s="209">
      <c r="A687" s="28" t="n">
        <v>684</v>
      </c>
      <c r="B687" s="28" t="inlineStr">
        <is>
          <t>16006</t>
        </is>
      </c>
      <c r="C687" s="30" t="inlineStr">
        <is>
          <t>D5</t>
        </is>
      </c>
      <c r="D687" s="32" t="inlineStr">
        <is>
          <t>동전 색 찾기</t>
        </is>
      </c>
      <c r="E687" s="28" t="inlineStr">
        <is>
          <t>동적계획법 (DP) / 그래프</t>
        </is>
      </c>
      <c r="F687" s="28" t="n"/>
      <c r="G687" s="28" t="n"/>
      <c r="H687" s="28" t="n"/>
      <c r="I687" s="28" t="n"/>
      <c r="J687" s="54">
        <f>IF(OR(ISNUMBER(SEARCH("보류",K687)),ISNUMBER(SEARCH("미룸",K687)),ISNUMBER(SEARCH("나중에",K687)),ISNUMBER(SEARCH("보류",L687)),ISNUMBER(SEARCH("미룸",L687)),ISNUMBER(SEARCH("나중에",L687))),"보류(나중에 풀기)",IF(AND(F687="",G687="",H687="",I687=""),"미완료",IF(I687&lt;&gt;"","복습3(마스터)",IF(H687&lt;&gt;"","복습2",IF(G687&lt;&gt;"","복습1",IF(ISNUMBER(SEARCH("제미나이",K687)),"복습대기(AI도움)",IF(ISNUMBER(SEARCH("간당간당",K687)),"복습대기(간당간당)",IF(OR(ISNUMBER(SEARCH("아이디어",K687)),ISNUMBER(SEARCH("시간초과",K687)),ISNUMBER(SEARCH("자료구조",K687)),ISNUMBER(SEARCH("경계값",K687)),ISNUMBER(SEARCH("다른 풀이",K687)),ISNUMBER(SEARCH("또풀기",K687))),"복습대기",IF(OR(ISNUMBER(SEARCH("복습필요없음",K687)),ISNUMBER(SEARCH("자력완벽",K687))),"품(복습불필요)",IF(F687&lt;&gt;"","품","미완료"))))))))))</f>
        <v/>
      </c>
      <c r="K687" s="32" t="inlineStr">
        <is>
          <t>-</t>
        </is>
      </c>
      <c r="L687" s="32" t="n"/>
      <c r="M687" s="28">
        <f>IF(OR(LEFT(J687,2)="보류", LEFT(J687,4)="복습대기", LEFT(J687,3)="복습1", LEFT(J687,3)="복습2"), MAX($M$3:M686)+1, "")</f>
        <v/>
      </c>
      <c r="N687" s="28" t="inlineStr">
        <is>
          <t>W17</t>
        </is>
      </c>
      <c r="O687" s="36" t="n">
        <v>46374</v>
      </c>
      <c r="P687" s="30">
        <f>IF(F687&lt;&gt;"","✅ 완료",IF(O687="","-",IF(TODAY()&gt;O687,"🚨 지연","⏳ 예정")))</f>
        <v/>
      </c>
      <c r="Q687" s="7" t="n"/>
      <c r="R687" s="7" t="n"/>
      <c r="S687" s="7" t="n"/>
      <c r="T687" s="7" t="n"/>
      <c r="U687" s="7" t="n"/>
      <c r="V687" s="7" t="n"/>
      <c r="W687" s="7" t="n"/>
      <c r="X687" s="7" t="n"/>
    </row>
    <row r="688" ht="21.75" customHeight="1" s="209">
      <c r="A688" s="28" t="n">
        <v>685</v>
      </c>
      <c r="B688" s="28" t="inlineStr">
        <is>
          <t>16803</t>
        </is>
      </c>
      <c r="C688" s="30" t="inlineStr">
        <is>
          <t>D5</t>
        </is>
      </c>
      <c r="D688" s="32" t="inlineStr">
        <is>
          <t>설악산</t>
        </is>
      </c>
      <c r="E688" s="28" t="inlineStr">
        <is>
          <t>동적계획법 (DP) / 그래프</t>
        </is>
      </c>
      <c r="F688" s="28" t="n"/>
      <c r="G688" s="28" t="n"/>
      <c r="H688" s="28" t="n"/>
      <c r="I688" s="28" t="n"/>
      <c r="J688" s="54">
        <f>IF(OR(ISNUMBER(SEARCH("보류",K688)),ISNUMBER(SEARCH("미룸",K688)),ISNUMBER(SEARCH("나중에",K688)),ISNUMBER(SEARCH("보류",L688)),ISNUMBER(SEARCH("미룸",L688)),ISNUMBER(SEARCH("나중에",L688))),"보류(나중에 풀기)",IF(AND(F688="",G688="",H688="",I688=""),"미완료",IF(I688&lt;&gt;"","복습3(마스터)",IF(H688&lt;&gt;"","복습2",IF(G688&lt;&gt;"","복습1",IF(ISNUMBER(SEARCH("제미나이",K688)),"복습대기(AI도움)",IF(ISNUMBER(SEARCH("간당간당",K688)),"복습대기(간당간당)",IF(OR(ISNUMBER(SEARCH("아이디어",K688)),ISNUMBER(SEARCH("시간초과",K688)),ISNUMBER(SEARCH("자료구조",K688)),ISNUMBER(SEARCH("경계값",K688)),ISNUMBER(SEARCH("다른 풀이",K688)),ISNUMBER(SEARCH("또풀기",K688))),"복습대기",IF(OR(ISNUMBER(SEARCH("복습필요없음",K688)),ISNUMBER(SEARCH("자력완벽",K688))),"품(복습불필요)",IF(F688&lt;&gt;"","품","미완료"))))))))))</f>
        <v/>
      </c>
      <c r="K688" s="32" t="inlineStr">
        <is>
          <t>-</t>
        </is>
      </c>
      <c r="L688" s="32" t="n"/>
      <c r="M688" s="28">
        <f>IF(OR(LEFT(J688,2)="보류", LEFT(J688,4)="복습대기", LEFT(J688,3)="복습1", LEFT(J688,3)="복습2"), MAX($M$3:M687)+1, "")</f>
        <v/>
      </c>
      <c r="N688" s="28" t="inlineStr">
        <is>
          <t>W17</t>
        </is>
      </c>
      <c r="O688" s="36" t="n">
        <v>46374</v>
      </c>
      <c r="P688" s="30">
        <f>IF(F688&lt;&gt;"","✅ 완료",IF(O688="","-",IF(TODAY()&gt;O688,"🚨 지연","⏳ 예정")))</f>
        <v/>
      </c>
      <c r="Q688" s="7" t="n"/>
      <c r="R688" s="7" t="n"/>
      <c r="S688" s="7" t="n"/>
      <c r="T688" s="7" t="n"/>
      <c r="U688" s="7" t="n"/>
      <c r="V688" s="7" t="n"/>
      <c r="W688" s="7" t="n"/>
      <c r="X688" s="7" t="n"/>
    </row>
    <row r="689" ht="21.75" customHeight="1" s="209">
      <c r="A689" s="28" t="n">
        <v>686</v>
      </c>
      <c r="B689" s="28" t="inlineStr">
        <is>
          <t>16912</t>
        </is>
      </c>
      <c r="C689" s="30" t="inlineStr">
        <is>
          <t>D5</t>
        </is>
      </c>
      <c r="D689" s="32" t="inlineStr">
        <is>
          <t>랜덤 워킹과 이진 트리</t>
        </is>
      </c>
      <c r="E689" s="28" t="inlineStr">
        <is>
          <t>트리 / 힙 / 세그먼트트리</t>
        </is>
      </c>
      <c r="F689" s="28" t="n"/>
      <c r="G689" s="28" t="n"/>
      <c r="H689" s="28" t="n"/>
      <c r="I689" s="28" t="n"/>
      <c r="J689" s="54">
        <f>IF(OR(ISNUMBER(SEARCH("보류",K689)),ISNUMBER(SEARCH("미룸",K689)),ISNUMBER(SEARCH("나중에",K689)),ISNUMBER(SEARCH("보류",L689)),ISNUMBER(SEARCH("미룸",L689)),ISNUMBER(SEARCH("나중에",L689))),"보류(나중에 풀기)",IF(AND(F689="",G689="",H689="",I689=""),"미완료",IF(I689&lt;&gt;"","복습3(마스터)",IF(H689&lt;&gt;"","복습2",IF(G689&lt;&gt;"","복습1",IF(ISNUMBER(SEARCH("제미나이",K689)),"복습대기(AI도움)",IF(ISNUMBER(SEARCH("간당간당",K689)),"복습대기(간당간당)",IF(OR(ISNUMBER(SEARCH("아이디어",K689)),ISNUMBER(SEARCH("시간초과",K689)),ISNUMBER(SEARCH("자료구조",K689)),ISNUMBER(SEARCH("경계값",K689)),ISNUMBER(SEARCH("다른 풀이",K689)),ISNUMBER(SEARCH("또풀기",K689))),"복습대기",IF(OR(ISNUMBER(SEARCH("복습필요없음",K689)),ISNUMBER(SEARCH("자력완벽",K689))),"품(복습불필요)",IF(F689&lt;&gt;"","품","미완료"))))))))))</f>
        <v/>
      </c>
      <c r="K689" s="32" t="inlineStr">
        <is>
          <t>-</t>
        </is>
      </c>
      <c r="L689" s="32" t="n"/>
      <c r="M689" s="28">
        <f>IF(OR(LEFT(J689,2)="보류", LEFT(J689,4)="복습대기", LEFT(J689,3)="복습1", LEFT(J689,3)="복습2"), MAX($M$3:M688)+1, "")</f>
        <v/>
      </c>
      <c r="N689" s="28" t="inlineStr">
        <is>
          <t>W17</t>
        </is>
      </c>
      <c r="O689" s="36" t="n">
        <v>46375</v>
      </c>
      <c r="P689" s="30">
        <f>IF(F689&lt;&gt;"","✅ 완료",IF(O689="","-",IF(TODAY()&gt;O689,"🚨 지연","⏳ 예정")))</f>
        <v/>
      </c>
      <c r="Q689" s="7" t="n"/>
      <c r="R689" s="7" t="n"/>
      <c r="S689" s="7" t="n"/>
      <c r="T689" s="7" t="n"/>
      <c r="U689" s="7" t="n"/>
      <c r="V689" s="7" t="n"/>
      <c r="W689" s="7" t="n"/>
      <c r="X689" s="7" t="n"/>
    </row>
    <row r="690" ht="21.75" customHeight="1" s="209">
      <c r="A690" s="28" t="n">
        <v>687</v>
      </c>
      <c r="B690" s="28" t="inlineStr">
        <is>
          <t>17301</t>
        </is>
      </c>
      <c r="C690" s="30" t="inlineStr">
        <is>
          <t>D5</t>
        </is>
      </c>
      <c r="D690" s="32" t="inlineStr">
        <is>
          <t>평균 내림 수열</t>
        </is>
      </c>
      <c r="E690" s="28" t="inlineStr">
        <is>
          <t>동적계획법 (DP)</t>
        </is>
      </c>
      <c r="F690" s="28" t="n"/>
      <c r="G690" s="28" t="n"/>
      <c r="H690" s="28" t="n"/>
      <c r="I690" s="28" t="n"/>
      <c r="J690" s="54">
        <f>IF(OR(ISNUMBER(SEARCH("보류",K690)),ISNUMBER(SEARCH("미룸",K690)),ISNUMBER(SEARCH("나중에",K690)),ISNUMBER(SEARCH("보류",L690)),ISNUMBER(SEARCH("미룸",L690)),ISNUMBER(SEARCH("나중에",L690))),"보류(나중에 풀기)",IF(AND(F690="",G690="",H690="",I690=""),"미완료",IF(I690&lt;&gt;"","복습3(마스터)",IF(H690&lt;&gt;"","복습2",IF(G690&lt;&gt;"","복습1",IF(ISNUMBER(SEARCH("제미나이",K690)),"복습대기(AI도움)",IF(ISNUMBER(SEARCH("간당간당",K690)),"복습대기(간당간당)",IF(OR(ISNUMBER(SEARCH("아이디어",K690)),ISNUMBER(SEARCH("시간초과",K690)),ISNUMBER(SEARCH("자료구조",K690)),ISNUMBER(SEARCH("경계값",K690)),ISNUMBER(SEARCH("다른 풀이",K690)),ISNUMBER(SEARCH("또풀기",K690))),"복습대기",IF(OR(ISNUMBER(SEARCH("복습필요없음",K690)),ISNUMBER(SEARCH("자력완벽",K690))),"품(복습불필요)",IF(F690&lt;&gt;"","품","미완료"))))))))))</f>
        <v/>
      </c>
      <c r="K690" s="32" t="inlineStr">
        <is>
          <t>-</t>
        </is>
      </c>
      <c r="L690" s="32" t="n"/>
      <c r="M690" s="28">
        <f>IF(OR(LEFT(J690,2)="보류", LEFT(J690,4)="복습대기", LEFT(J690,3)="복습1", LEFT(J690,3)="복습2"), MAX($M$3:M689)+1, "")</f>
        <v/>
      </c>
      <c r="N690" s="28" t="inlineStr">
        <is>
          <t>W17</t>
        </is>
      </c>
      <c r="O690" s="36" t="n">
        <v>46375</v>
      </c>
      <c r="P690" s="30">
        <f>IF(F690&lt;&gt;"","✅ 완료",IF(O690="","-",IF(TODAY()&gt;O690,"🚨 지연","⏳ 예정")))</f>
        <v/>
      </c>
      <c r="Q690" s="7" t="n"/>
      <c r="R690" s="7" t="n"/>
      <c r="S690" s="7" t="n"/>
      <c r="T690" s="7" t="n"/>
      <c r="U690" s="7" t="n"/>
      <c r="V690" s="7" t="n"/>
      <c r="W690" s="7" t="n"/>
      <c r="X690" s="7" t="n"/>
    </row>
    <row r="691" ht="21.75" customHeight="1" s="209">
      <c r="A691" s="28" t="n">
        <v>688</v>
      </c>
      <c r="B691" s="28" t="inlineStr">
        <is>
          <t>17324</t>
        </is>
      </c>
      <c r="C691" s="30" t="inlineStr">
        <is>
          <t>D5</t>
        </is>
      </c>
      <c r="D691" s="32" t="inlineStr">
        <is>
          <t>서로소 정규식</t>
        </is>
      </c>
      <c r="E691" s="28" t="inlineStr">
        <is>
          <t>동적계획법 (DP) / 그래프</t>
        </is>
      </c>
      <c r="F691" s="28" t="n"/>
      <c r="G691" s="28" t="n"/>
      <c r="H691" s="28" t="n"/>
      <c r="I691" s="28" t="n"/>
      <c r="J691" s="54">
        <f>IF(OR(ISNUMBER(SEARCH("보류",K691)),ISNUMBER(SEARCH("미룸",K691)),ISNUMBER(SEARCH("나중에",K691)),ISNUMBER(SEARCH("보류",L691)),ISNUMBER(SEARCH("미룸",L691)),ISNUMBER(SEARCH("나중에",L691))),"보류(나중에 풀기)",IF(AND(F691="",G691="",H691="",I691=""),"미완료",IF(I691&lt;&gt;"","복습3(마스터)",IF(H691&lt;&gt;"","복습2",IF(G691&lt;&gt;"","복습1",IF(ISNUMBER(SEARCH("제미나이",K691)),"복습대기(AI도움)",IF(ISNUMBER(SEARCH("간당간당",K691)),"복습대기(간당간당)",IF(OR(ISNUMBER(SEARCH("아이디어",K691)),ISNUMBER(SEARCH("시간초과",K691)),ISNUMBER(SEARCH("자료구조",K691)),ISNUMBER(SEARCH("경계값",K691)),ISNUMBER(SEARCH("다른 풀이",K691)),ISNUMBER(SEARCH("또풀기",K691))),"복습대기",IF(OR(ISNUMBER(SEARCH("복습필요없음",K691)),ISNUMBER(SEARCH("자력완벽",K691))),"품(복습불필요)",IF(F691&lt;&gt;"","품","미완료"))))))))))</f>
        <v/>
      </c>
      <c r="K691" s="32" t="inlineStr">
        <is>
          <t>-</t>
        </is>
      </c>
      <c r="L691" s="32" t="n"/>
      <c r="M691" s="28">
        <f>IF(OR(LEFT(J691,2)="보류", LEFT(J691,4)="복습대기", LEFT(J691,3)="복습1", LEFT(J691,3)="복습2"), MAX($M$3:M690)+1, "")</f>
        <v/>
      </c>
      <c r="N691" s="28" t="inlineStr">
        <is>
          <t>W17</t>
        </is>
      </c>
      <c r="O691" s="36" t="n">
        <v>46375</v>
      </c>
      <c r="P691" s="30">
        <f>IF(F691&lt;&gt;"","✅ 완료",IF(O691="","-",IF(TODAY()&gt;O691,"🚨 지연","⏳ 예정")))</f>
        <v/>
      </c>
      <c r="Q691" s="7" t="n"/>
      <c r="R691" s="7" t="n"/>
      <c r="S691" s="7" t="n"/>
      <c r="T691" s="7" t="n"/>
      <c r="U691" s="7" t="n"/>
      <c r="V691" s="7" t="n"/>
      <c r="W691" s="7" t="n"/>
      <c r="X691" s="7" t="n"/>
    </row>
    <row r="692" ht="21.75" customHeight="1" s="209">
      <c r="A692" s="28" t="n">
        <v>689</v>
      </c>
      <c r="B692" s="28" t="inlineStr">
        <is>
          <t>17644</t>
        </is>
      </c>
      <c r="C692" s="30" t="inlineStr">
        <is>
          <t>D5</t>
        </is>
      </c>
      <c r="D692" s="32" t="inlineStr">
        <is>
          <t>카드 밀기</t>
        </is>
      </c>
      <c r="E692" s="28" t="inlineStr">
        <is>
          <t>동적계획법 (DP) / 그래프</t>
        </is>
      </c>
      <c r="F692" s="28" t="n"/>
      <c r="G692" s="28" t="n"/>
      <c r="H692" s="28" t="n"/>
      <c r="I692" s="28" t="n"/>
      <c r="J692" s="54">
        <f>IF(OR(ISNUMBER(SEARCH("보류",K692)),ISNUMBER(SEARCH("미룸",K692)),ISNUMBER(SEARCH("나중에",K692)),ISNUMBER(SEARCH("보류",L692)),ISNUMBER(SEARCH("미룸",L692)),ISNUMBER(SEARCH("나중에",L692))),"보류(나중에 풀기)",IF(AND(F692="",G692="",H692="",I692=""),"미완료",IF(I692&lt;&gt;"","복습3(마스터)",IF(H692&lt;&gt;"","복습2",IF(G692&lt;&gt;"","복습1",IF(ISNUMBER(SEARCH("제미나이",K692)),"복습대기(AI도움)",IF(ISNUMBER(SEARCH("간당간당",K692)),"복습대기(간당간당)",IF(OR(ISNUMBER(SEARCH("아이디어",K692)),ISNUMBER(SEARCH("시간초과",K692)),ISNUMBER(SEARCH("자료구조",K692)),ISNUMBER(SEARCH("경계값",K692)),ISNUMBER(SEARCH("다른 풀이",K692)),ISNUMBER(SEARCH("또풀기",K692))),"복습대기",IF(OR(ISNUMBER(SEARCH("복습필요없음",K692)),ISNUMBER(SEARCH("자력완벽",K692))),"품(복습불필요)",IF(F692&lt;&gt;"","품","미완료"))))))))))</f>
        <v/>
      </c>
      <c r="K692" s="32" t="inlineStr">
        <is>
          <t>-</t>
        </is>
      </c>
      <c r="L692" s="32" t="n"/>
      <c r="M692" s="28">
        <f>IF(OR(LEFT(J692,2)="보류", LEFT(J692,4)="복습대기", LEFT(J692,3)="복습1", LEFT(J692,3)="복습2"), MAX($M$3:M691)+1, "")</f>
        <v/>
      </c>
      <c r="N692" s="28" t="inlineStr">
        <is>
          <t>W17</t>
        </is>
      </c>
      <c r="O692" s="36" t="n">
        <v>46375</v>
      </c>
      <c r="P692" s="30">
        <f>IF(F692&lt;&gt;"","✅ 완료",IF(O692="","-",IF(TODAY()&gt;O692,"🚨 지연","⏳ 예정")))</f>
        <v/>
      </c>
      <c r="Q692" s="7" t="n"/>
      <c r="R692" s="7" t="n"/>
      <c r="S692" s="7" t="n"/>
      <c r="T692" s="7" t="n"/>
      <c r="U692" s="7" t="n"/>
      <c r="V692" s="7" t="n"/>
      <c r="W692" s="7" t="n"/>
      <c r="X692" s="7" t="n"/>
    </row>
    <row r="693" ht="21.75" customHeight="1" s="209">
      <c r="A693" s="28" t="n">
        <v>690</v>
      </c>
      <c r="B693" s="28" t="inlineStr">
        <is>
          <t>17940</t>
        </is>
      </c>
      <c r="C693" s="30" t="inlineStr">
        <is>
          <t>D5</t>
        </is>
      </c>
      <c r="D693" s="32" t="inlineStr">
        <is>
          <t>반발력</t>
        </is>
      </c>
      <c r="E693" s="28" t="inlineStr">
        <is>
          <t>동적계획법 (DP) / 그래프</t>
        </is>
      </c>
      <c r="F693" s="28" t="n"/>
      <c r="G693" s="28" t="n"/>
      <c r="H693" s="28" t="n"/>
      <c r="I693" s="28" t="n"/>
      <c r="J693" s="54">
        <f>IF(OR(ISNUMBER(SEARCH("보류",K693)),ISNUMBER(SEARCH("미룸",K693)),ISNUMBER(SEARCH("나중에",K693)),ISNUMBER(SEARCH("보류",L693)),ISNUMBER(SEARCH("미룸",L693)),ISNUMBER(SEARCH("나중에",L693))),"보류(나중에 풀기)",IF(AND(F693="",G693="",H693="",I693=""),"미완료",IF(I693&lt;&gt;"","복습3(마스터)",IF(H693&lt;&gt;"","복습2",IF(G693&lt;&gt;"","복습1",IF(ISNUMBER(SEARCH("제미나이",K693)),"복습대기(AI도움)",IF(ISNUMBER(SEARCH("간당간당",K693)),"복습대기(간당간당)",IF(OR(ISNUMBER(SEARCH("아이디어",K693)),ISNUMBER(SEARCH("시간초과",K693)),ISNUMBER(SEARCH("자료구조",K693)),ISNUMBER(SEARCH("경계값",K693)),ISNUMBER(SEARCH("다른 풀이",K693)),ISNUMBER(SEARCH("또풀기",K693))),"복습대기",IF(OR(ISNUMBER(SEARCH("복습필요없음",K693)),ISNUMBER(SEARCH("자력완벽",K693))),"품(복습불필요)",IF(F693&lt;&gt;"","품","미완료"))))))))))</f>
        <v/>
      </c>
      <c r="K693" s="32" t="inlineStr">
        <is>
          <t>-</t>
        </is>
      </c>
      <c r="L693" s="32" t="n"/>
      <c r="M693" s="28">
        <f>IF(OR(LEFT(J693,2)="보류", LEFT(J693,4)="복습대기", LEFT(J693,3)="복습1", LEFT(J693,3)="복습2"), MAX($M$3:M692)+1, "")</f>
        <v/>
      </c>
      <c r="N693" s="28" t="inlineStr">
        <is>
          <t>W17</t>
        </is>
      </c>
      <c r="O693" s="36" t="n">
        <v>46375</v>
      </c>
      <c r="P693" s="30">
        <f>IF(F693&lt;&gt;"","✅ 완료",IF(O693="","-",IF(TODAY()&gt;O693,"🚨 지연","⏳ 예정")))</f>
        <v/>
      </c>
      <c r="Q693" s="7" t="n"/>
      <c r="R693" s="7" t="n"/>
      <c r="S693" s="7" t="n"/>
      <c r="T693" s="7" t="n"/>
      <c r="U693" s="7" t="n"/>
      <c r="V693" s="7" t="n"/>
      <c r="W693" s="7" t="n"/>
      <c r="X693" s="7" t="n"/>
    </row>
    <row r="694" ht="21.75" customHeight="1" s="209">
      <c r="A694" s="28" t="n">
        <v>691</v>
      </c>
      <c r="B694" s="28" t="inlineStr">
        <is>
          <t>18664</t>
        </is>
      </c>
      <c r="C694" s="30" t="inlineStr">
        <is>
          <t>D5</t>
        </is>
      </c>
      <c r="D694" s="32" t="inlineStr">
        <is>
          <t>랭퍼드 이진 트리</t>
        </is>
      </c>
      <c r="E694" s="28" t="inlineStr">
        <is>
          <t>트리 / 힙 / 세그먼트트리</t>
        </is>
      </c>
      <c r="F694" s="28" t="n"/>
      <c r="G694" s="28" t="n"/>
      <c r="H694" s="28" t="n"/>
      <c r="I694" s="28" t="n"/>
      <c r="J694" s="54">
        <f>IF(OR(ISNUMBER(SEARCH("보류",K694)),ISNUMBER(SEARCH("미룸",K694)),ISNUMBER(SEARCH("나중에",K694)),ISNUMBER(SEARCH("보류",L694)),ISNUMBER(SEARCH("미룸",L694)),ISNUMBER(SEARCH("나중에",L694))),"보류(나중에 풀기)",IF(AND(F694="",G694="",H694="",I694=""),"미완료",IF(I694&lt;&gt;"","복습3(마스터)",IF(H694&lt;&gt;"","복습2",IF(G694&lt;&gt;"","복습1",IF(ISNUMBER(SEARCH("제미나이",K694)),"복습대기(AI도움)",IF(ISNUMBER(SEARCH("간당간당",K694)),"복습대기(간당간당)",IF(OR(ISNUMBER(SEARCH("아이디어",K694)),ISNUMBER(SEARCH("시간초과",K694)),ISNUMBER(SEARCH("자료구조",K694)),ISNUMBER(SEARCH("경계값",K694)),ISNUMBER(SEARCH("다른 풀이",K694)),ISNUMBER(SEARCH("또풀기",K694))),"복습대기",IF(OR(ISNUMBER(SEARCH("복습필요없음",K694)),ISNUMBER(SEARCH("자력완벽",K694))),"품(복습불필요)",IF(F694&lt;&gt;"","품","미완료"))))))))))</f>
        <v/>
      </c>
      <c r="K694" s="32" t="inlineStr">
        <is>
          <t>-</t>
        </is>
      </c>
      <c r="L694" s="32" t="n"/>
      <c r="M694" s="28">
        <f>IF(OR(LEFT(J694,2)="보류", LEFT(J694,4)="복습대기", LEFT(J694,3)="복습1", LEFT(J694,3)="복습2"), MAX($M$3:M693)+1, "")</f>
        <v/>
      </c>
      <c r="N694" s="28" t="inlineStr">
        <is>
          <t>W17</t>
        </is>
      </c>
      <c r="O694" s="36" t="n">
        <v>46375</v>
      </c>
      <c r="P694" s="30">
        <f>IF(F694&lt;&gt;"","✅ 완료",IF(O694="","-",IF(TODAY()&gt;O694,"🚨 지연","⏳ 예정")))</f>
        <v/>
      </c>
      <c r="Q694" s="7" t="n"/>
      <c r="R694" s="7" t="n"/>
      <c r="S694" s="7" t="n"/>
      <c r="T694" s="7" t="n"/>
      <c r="U694" s="7" t="n"/>
      <c r="V694" s="7" t="n"/>
      <c r="W694" s="7" t="n"/>
      <c r="X694" s="7" t="n"/>
    </row>
    <row r="695" ht="21.75" customHeight="1" s="209">
      <c r="A695" s="28" t="n">
        <v>692</v>
      </c>
      <c r="B695" s="28" t="inlineStr">
        <is>
          <t>19118</t>
        </is>
      </c>
      <c r="C695" s="30" t="inlineStr">
        <is>
          <t>D5</t>
        </is>
      </c>
      <c r="D695" s="32" t="inlineStr">
        <is>
          <t>언덕길</t>
        </is>
      </c>
      <c r="E695" s="28" t="inlineStr">
        <is>
          <t>동적계획법 (DP) / 그래프</t>
        </is>
      </c>
      <c r="F695" s="28" t="n"/>
      <c r="G695" s="28" t="n"/>
      <c r="H695" s="28" t="n"/>
      <c r="I695" s="28" t="n"/>
      <c r="J695" s="54">
        <f>IF(OR(ISNUMBER(SEARCH("보류",K695)),ISNUMBER(SEARCH("미룸",K695)),ISNUMBER(SEARCH("나중에",K695)),ISNUMBER(SEARCH("보류",L695)),ISNUMBER(SEARCH("미룸",L695)),ISNUMBER(SEARCH("나중에",L695))),"보류(나중에 풀기)",IF(AND(F695="",G695="",H695="",I695=""),"미완료",IF(I695&lt;&gt;"","복습3(마스터)",IF(H695&lt;&gt;"","복습2",IF(G695&lt;&gt;"","복습1",IF(ISNUMBER(SEARCH("제미나이",K695)),"복습대기(AI도움)",IF(ISNUMBER(SEARCH("간당간당",K695)),"복습대기(간당간당)",IF(OR(ISNUMBER(SEARCH("아이디어",K695)),ISNUMBER(SEARCH("시간초과",K695)),ISNUMBER(SEARCH("자료구조",K695)),ISNUMBER(SEARCH("경계값",K695)),ISNUMBER(SEARCH("다른 풀이",K695)),ISNUMBER(SEARCH("또풀기",K695))),"복습대기",IF(OR(ISNUMBER(SEARCH("복습필요없음",K695)),ISNUMBER(SEARCH("자력완벽",K695))),"품(복습불필요)",IF(F695&lt;&gt;"","품","미완료"))))))))))</f>
        <v/>
      </c>
      <c r="K695" s="32" t="inlineStr">
        <is>
          <t>-</t>
        </is>
      </c>
      <c r="L695" s="32" t="n"/>
      <c r="M695" s="28">
        <f>IF(OR(LEFT(J695,2)="보류", LEFT(J695,4)="복습대기", LEFT(J695,3)="복습1", LEFT(J695,3)="복습2"), MAX($M$3:M694)+1, "")</f>
        <v/>
      </c>
      <c r="N695" s="28" t="inlineStr">
        <is>
          <t>W17</t>
        </is>
      </c>
      <c r="O695" s="36" t="n">
        <v>46375</v>
      </c>
      <c r="P695" s="30">
        <f>IF(F695&lt;&gt;"","✅ 완료",IF(O695="","-",IF(TODAY()&gt;O695,"🚨 지연","⏳ 예정")))</f>
        <v/>
      </c>
      <c r="Q695" s="7" t="n"/>
      <c r="R695" s="7" t="n"/>
      <c r="S695" s="7" t="n"/>
      <c r="T695" s="7" t="n"/>
      <c r="U695" s="7" t="n"/>
      <c r="V695" s="7" t="n"/>
      <c r="W695" s="7" t="n"/>
      <c r="X695" s="7" t="n"/>
    </row>
    <row r="696" ht="21.75" customHeight="1" s="209">
      <c r="A696" s="28" t="n">
        <v>693</v>
      </c>
      <c r="B696" s="28" t="inlineStr">
        <is>
          <t>19190</t>
        </is>
      </c>
      <c r="C696" s="30" t="inlineStr">
        <is>
          <t>D5</t>
        </is>
      </c>
      <c r="D696" s="32" t="inlineStr">
        <is>
          <t>철도 매니아 2</t>
        </is>
      </c>
      <c r="E696" s="28" t="inlineStr">
        <is>
          <t>동적계획법 (DP) / 그래프</t>
        </is>
      </c>
      <c r="F696" s="28" t="n"/>
      <c r="G696" s="28" t="n"/>
      <c r="H696" s="28" t="n"/>
      <c r="I696" s="28" t="n"/>
      <c r="J696" s="54">
        <f>IF(OR(ISNUMBER(SEARCH("보류",K696)),ISNUMBER(SEARCH("미룸",K696)),ISNUMBER(SEARCH("나중에",K696)),ISNUMBER(SEARCH("보류",L696)),ISNUMBER(SEARCH("미룸",L696)),ISNUMBER(SEARCH("나중에",L696))),"보류(나중에 풀기)",IF(AND(F696="",G696="",H696="",I696=""),"미완료",IF(I696&lt;&gt;"","복습3(마스터)",IF(H696&lt;&gt;"","복습2",IF(G696&lt;&gt;"","복습1",IF(ISNUMBER(SEARCH("제미나이",K696)),"복습대기(AI도움)",IF(ISNUMBER(SEARCH("간당간당",K696)),"복습대기(간당간당)",IF(OR(ISNUMBER(SEARCH("아이디어",K696)),ISNUMBER(SEARCH("시간초과",K696)),ISNUMBER(SEARCH("자료구조",K696)),ISNUMBER(SEARCH("경계값",K696)),ISNUMBER(SEARCH("다른 풀이",K696)),ISNUMBER(SEARCH("또풀기",K696))),"복습대기",IF(OR(ISNUMBER(SEARCH("복습필요없음",K696)),ISNUMBER(SEARCH("자력완벽",K696))),"품(복습불필요)",IF(F696&lt;&gt;"","품","미완료"))))))))))</f>
        <v/>
      </c>
      <c r="K696" s="32" t="inlineStr">
        <is>
          <t>-</t>
        </is>
      </c>
      <c r="L696" s="32" t="n"/>
      <c r="M696" s="28">
        <f>IF(OR(LEFT(J696,2)="보류", LEFT(J696,4)="복습대기", LEFT(J696,3)="복습1", LEFT(J696,3)="복습2"), MAX($M$3:M695)+1, "")</f>
        <v/>
      </c>
      <c r="N696" s="28" t="inlineStr">
        <is>
          <t>W17</t>
        </is>
      </c>
      <c r="O696" s="36" t="n">
        <v>46376</v>
      </c>
      <c r="P696" s="30">
        <f>IF(F696&lt;&gt;"","✅ 완료",IF(O696="","-",IF(TODAY()&gt;O696,"🚨 지연","⏳ 예정")))</f>
        <v/>
      </c>
      <c r="Q696" s="7" t="n"/>
      <c r="R696" s="7" t="n"/>
      <c r="S696" s="7" t="n"/>
      <c r="T696" s="7" t="n"/>
      <c r="U696" s="7" t="n"/>
      <c r="V696" s="7" t="n"/>
      <c r="W696" s="7" t="n"/>
      <c r="X696" s="7" t="n"/>
    </row>
    <row r="697" ht="21.75" customHeight="1" s="209">
      <c r="A697" s="28" t="n">
        <v>694</v>
      </c>
      <c r="B697" s="28" t="inlineStr">
        <is>
          <t>20048</t>
        </is>
      </c>
      <c r="C697" s="30" t="inlineStr">
        <is>
          <t>D5</t>
        </is>
      </c>
      <c r="D697" s="32" t="inlineStr">
        <is>
          <t>실과 고리</t>
        </is>
      </c>
      <c r="E697" s="28" t="inlineStr">
        <is>
          <t>동적계획법 (DP) / 그래프</t>
        </is>
      </c>
      <c r="F697" s="28" t="n"/>
      <c r="G697" s="28" t="n"/>
      <c r="H697" s="28" t="n"/>
      <c r="I697" s="28" t="n"/>
      <c r="J697" s="54">
        <f>IF(OR(ISNUMBER(SEARCH("보류",K697)),ISNUMBER(SEARCH("미룸",K697)),ISNUMBER(SEARCH("나중에",K697)),ISNUMBER(SEARCH("보류",L697)),ISNUMBER(SEARCH("미룸",L697)),ISNUMBER(SEARCH("나중에",L697))),"보류(나중에 풀기)",IF(AND(F697="",G697="",H697="",I697=""),"미완료",IF(I697&lt;&gt;"","복습3(마스터)",IF(H697&lt;&gt;"","복습2",IF(G697&lt;&gt;"","복습1",IF(ISNUMBER(SEARCH("제미나이",K697)),"복습대기(AI도움)",IF(ISNUMBER(SEARCH("간당간당",K697)),"복습대기(간당간당)",IF(OR(ISNUMBER(SEARCH("아이디어",K697)),ISNUMBER(SEARCH("시간초과",K697)),ISNUMBER(SEARCH("자료구조",K697)),ISNUMBER(SEARCH("경계값",K697)),ISNUMBER(SEARCH("다른 풀이",K697)),ISNUMBER(SEARCH("또풀기",K697))),"복습대기",IF(OR(ISNUMBER(SEARCH("복습필요없음",K697)),ISNUMBER(SEARCH("자력완벽",K697))),"품(복습불필요)",IF(F697&lt;&gt;"","품","미완료"))))))))))</f>
        <v/>
      </c>
      <c r="K697" s="32" t="inlineStr">
        <is>
          <t>-</t>
        </is>
      </c>
      <c r="L697" s="32" t="n"/>
      <c r="M697" s="28">
        <f>IF(OR(LEFT(J697,2)="보류", LEFT(J697,4)="복습대기", LEFT(J697,3)="복습1", LEFT(J697,3)="복습2"), MAX($M$3:M696)+1, "")</f>
        <v/>
      </c>
      <c r="N697" s="28" t="inlineStr">
        <is>
          <t>W17</t>
        </is>
      </c>
      <c r="O697" s="36" t="n">
        <v>46376</v>
      </c>
      <c r="P697" s="30">
        <f>IF(F697&lt;&gt;"","✅ 완료",IF(O697="","-",IF(TODAY()&gt;O697,"🚨 지연","⏳ 예정")))</f>
        <v/>
      </c>
      <c r="Q697" s="7" t="n"/>
      <c r="R697" s="7" t="n"/>
      <c r="S697" s="7" t="n"/>
      <c r="T697" s="7" t="n"/>
      <c r="U697" s="7" t="n"/>
      <c r="V697" s="7" t="n"/>
      <c r="W697" s="7" t="n"/>
      <c r="X697" s="7" t="n"/>
    </row>
    <row r="698" ht="21.75" customHeight="1" s="209">
      <c r="A698" s="28" t="n">
        <v>695</v>
      </c>
      <c r="B698" s="28" t="inlineStr">
        <is>
          <t>20671</t>
        </is>
      </c>
      <c r="C698" s="30" t="inlineStr">
        <is>
          <t>D5</t>
        </is>
      </c>
      <c r="D698" s="32" t="inlineStr">
        <is>
          <t>숫자 카드</t>
        </is>
      </c>
      <c r="E698" s="28" t="inlineStr">
        <is>
          <t>동적계획법 (DP) / 그래프</t>
        </is>
      </c>
      <c r="F698" s="28" t="n"/>
      <c r="G698" s="28" t="n"/>
      <c r="H698" s="28" t="n"/>
      <c r="I698" s="28" t="n"/>
      <c r="J698" s="54">
        <f>IF(OR(ISNUMBER(SEARCH("보류",K698)),ISNUMBER(SEARCH("미룸",K698)),ISNUMBER(SEARCH("나중에",K698)),ISNUMBER(SEARCH("보류",L698)),ISNUMBER(SEARCH("미룸",L698)),ISNUMBER(SEARCH("나중에",L698))),"보류(나중에 풀기)",IF(AND(F698="",G698="",H698="",I698=""),"미완료",IF(I698&lt;&gt;"","복습3(마스터)",IF(H698&lt;&gt;"","복습2",IF(G698&lt;&gt;"","복습1",IF(ISNUMBER(SEARCH("제미나이",K698)),"복습대기(AI도움)",IF(ISNUMBER(SEARCH("간당간당",K698)),"복습대기(간당간당)",IF(OR(ISNUMBER(SEARCH("아이디어",K698)),ISNUMBER(SEARCH("시간초과",K698)),ISNUMBER(SEARCH("자료구조",K698)),ISNUMBER(SEARCH("경계값",K698)),ISNUMBER(SEARCH("다른 풀이",K698)),ISNUMBER(SEARCH("또풀기",K698))),"복습대기",IF(OR(ISNUMBER(SEARCH("복습필요없음",K698)),ISNUMBER(SEARCH("자력완벽",K698))),"품(복습불필요)",IF(F698&lt;&gt;"","품","미완료"))))))))))</f>
        <v/>
      </c>
      <c r="K698" s="32" t="inlineStr">
        <is>
          <t>-</t>
        </is>
      </c>
      <c r="L698" s="32" t="n"/>
      <c r="M698" s="28">
        <f>IF(OR(LEFT(J698,2)="보류", LEFT(J698,4)="복습대기", LEFT(J698,3)="복습1", LEFT(J698,3)="복습2"), MAX($M$3:M697)+1, "")</f>
        <v/>
      </c>
      <c r="N698" s="28" t="inlineStr">
        <is>
          <t>W17</t>
        </is>
      </c>
      <c r="O698" s="36" t="n">
        <v>46376</v>
      </c>
      <c r="P698" s="30">
        <f>IF(F698&lt;&gt;"","✅ 완료",IF(O698="","-",IF(TODAY()&gt;O698,"🚨 지연","⏳ 예정")))</f>
        <v/>
      </c>
      <c r="Q698" s="7" t="n"/>
      <c r="R698" s="7" t="n"/>
      <c r="S698" s="7" t="n"/>
      <c r="T698" s="7" t="n"/>
      <c r="U698" s="7" t="n"/>
      <c r="V698" s="7" t="n"/>
      <c r="W698" s="7" t="n"/>
      <c r="X698" s="7" t="n"/>
    </row>
    <row r="699" ht="21.75" customHeight="1" s="209">
      <c r="A699" s="28" t="n">
        <v>696</v>
      </c>
      <c r="B699" s="28" t="inlineStr">
        <is>
          <t>20956</t>
        </is>
      </c>
      <c r="C699" s="30" t="inlineStr">
        <is>
          <t>D5</t>
        </is>
      </c>
      <c r="D699" s="32" t="inlineStr">
        <is>
          <t>XY 문자열 2</t>
        </is>
      </c>
      <c r="E699" s="28" t="inlineStr">
        <is>
          <t>문자열 / 파싱</t>
        </is>
      </c>
      <c r="F699" s="28" t="n"/>
      <c r="G699" s="28" t="n"/>
      <c r="H699" s="28" t="n"/>
      <c r="I699" s="28" t="n"/>
      <c r="J699" s="54">
        <f>IF(OR(ISNUMBER(SEARCH("보류",K699)),ISNUMBER(SEARCH("미룸",K699)),ISNUMBER(SEARCH("나중에",K699)),ISNUMBER(SEARCH("보류",L699)),ISNUMBER(SEARCH("미룸",L699)),ISNUMBER(SEARCH("나중에",L699))),"보류(나중에 풀기)",IF(AND(F699="",G699="",H699="",I699=""),"미완료",IF(I699&lt;&gt;"","복습3(마스터)",IF(H699&lt;&gt;"","복습2",IF(G699&lt;&gt;"","복습1",IF(ISNUMBER(SEARCH("제미나이",K699)),"복습대기(AI도움)",IF(ISNUMBER(SEARCH("간당간당",K699)),"복습대기(간당간당)",IF(OR(ISNUMBER(SEARCH("아이디어",K699)),ISNUMBER(SEARCH("시간초과",K699)),ISNUMBER(SEARCH("자료구조",K699)),ISNUMBER(SEARCH("경계값",K699)),ISNUMBER(SEARCH("다른 풀이",K699)),ISNUMBER(SEARCH("또풀기",K699))),"복습대기",IF(OR(ISNUMBER(SEARCH("복습필요없음",K699)),ISNUMBER(SEARCH("자력완벽",K699))),"품(복습불필요)",IF(F699&lt;&gt;"","품","미완료"))))))))))</f>
        <v/>
      </c>
      <c r="K699" s="32" t="inlineStr">
        <is>
          <t>-</t>
        </is>
      </c>
      <c r="L699" s="32" t="n"/>
      <c r="M699" s="28">
        <f>IF(OR(LEFT(J699,2)="보류", LEFT(J699,4)="복습대기", LEFT(J699,3)="복습1", LEFT(J699,3)="복습2"), MAX($M$3:M698)+1, "")</f>
        <v/>
      </c>
      <c r="N699" s="28" t="inlineStr">
        <is>
          <t>W17</t>
        </is>
      </c>
      <c r="O699" s="36" t="n">
        <v>46376</v>
      </c>
      <c r="P699" s="30">
        <f>IF(F699&lt;&gt;"","✅ 완료",IF(O699="","-",IF(TODAY()&gt;O699,"🚨 지연","⏳ 예정")))</f>
        <v/>
      </c>
      <c r="Q699" s="7" t="n"/>
      <c r="R699" s="7" t="n"/>
      <c r="S699" s="7" t="n"/>
      <c r="T699" s="7" t="n"/>
      <c r="U699" s="7" t="n"/>
      <c r="V699" s="7" t="n"/>
      <c r="W699" s="7" t="n"/>
      <c r="X699" s="7" t="n"/>
    </row>
    <row r="700" ht="21.75" customHeight="1" s="209">
      <c r="A700" s="28" t="n">
        <v>697</v>
      </c>
      <c r="B700" s="28" t="inlineStr">
        <is>
          <t>21134</t>
        </is>
      </c>
      <c r="C700" s="30" t="inlineStr">
        <is>
          <t>D5</t>
        </is>
      </c>
      <c r="D700" s="32" t="inlineStr">
        <is>
          <t>소문 전파</t>
        </is>
      </c>
      <c r="E700" s="28" t="inlineStr">
        <is>
          <t>BFS (너비우선탐색)</t>
        </is>
      </c>
      <c r="F700" s="28" t="n"/>
      <c r="G700" s="28" t="n"/>
      <c r="H700" s="28" t="n"/>
      <c r="I700" s="28" t="n"/>
      <c r="J700" s="54">
        <f>IF(OR(ISNUMBER(SEARCH("보류",K700)),ISNUMBER(SEARCH("미룸",K700)),ISNUMBER(SEARCH("나중에",K700)),ISNUMBER(SEARCH("보류",L700)),ISNUMBER(SEARCH("미룸",L700)),ISNUMBER(SEARCH("나중에",L700))),"보류(나중에 풀기)",IF(AND(F700="",G700="",H700="",I700=""),"미완료",IF(I700&lt;&gt;"","복습3(마스터)",IF(H700&lt;&gt;"","복습2",IF(G700&lt;&gt;"","복습1",IF(ISNUMBER(SEARCH("제미나이",K700)),"복습대기(AI도움)",IF(ISNUMBER(SEARCH("간당간당",K700)),"복습대기(간당간당)",IF(OR(ISNUMBER(SEARCH("아이디어",K700)),ISNUMBER(SEARCH("시간초과",K700)),ISNUMBER(SEARCH("자료구조",K700)),ISNUMBER(SEARCH("경계값",K700)),ISNUMBER(SEARCH("다른 풀이",K700)),ISNUMBER(SEARCH("또풀기",K700))),"복습대기",IF(OR(ISNUMBER(SEARCH("복습필요없음",K700)),ISNUMBER(SEARCH("자력완벽",K700))),"품(복습불필요)",IF(F700&lt;&gt;"","품","미완료"))))))))))</f>
        <v/>
      </c>
      <c r="K700" s="32" t="inlineStr">
        <is>
          <t>-</t>
        </is>
      </c>
      <c r="L700" s="32" t="n"/>
      <c r="M700" s="28">
        <f>IF(OR(LEFT(J700,2)="보류", LEFT(J700,4)="복습대기", LEFT(J700,3)="복습1", LEFT(J700,3)="복습2"), MAX($M$3:M699)+1, "")</f>
        <v/>
      </c>
      <c r="N700" s="28" t="inlineStr">
        <is>
          <t>W17</t>
        </is>
      </c>
      <c r="O700" s="36" t="n">
        <v>46376</v>
      </c>
      <c r="P700" s="30">
        <f>IF(F700&lt;&gt;"","✅ 완료",IF(O700="","-",IF(TODAY()&gt;O700,"🚨 지연","⏳ 예정")))</f>
        <v/>
      </c>
      <c r="Q700" s="7" t="n"/>
      <c r="R700" s="7" t="n"/>
      <c r="S700" s="7" t="n"/>
      <c r="T700" s="7" t="n"/>
      <c r="U700" s="7" t="n"/>
      <c r="V700" s="7" t="n"/>
      <c r="W700" s="7" t="n"/>
      <c r="X700" s="7" t="n"/>
    </row>
    <row r="701" ht="21.75" customHeight="1" s="209">
      <c r="A701" s="28" t="n">
        <v>698</v>
      </c>
      <c r="B701" s="28" t="inlineStr">
        <is>
          <t>21428</t>
        </is>
      </c>
      <c r="C701" s="30" t="inlineStr">
        <is>
          <t>D5</t>
        </is>
      </c>
      <c r="D701" s="32" t="inlineStr">
        <is>
          <t>구간 최댓값 쿼리</t>
        </is>
      </c>
      <c r="E701" s="28" t="inlineStr">
        <is>
          <t>동적계획법 (DP) / 그래프</t>
        </is>
      </c>
      <c r="F701" s="28" t="n"/>
      <c r="G701" s="28" t="n"/>
      <c r="H701" s="28" t="n"/>
      <c r="I701" s="28" t="n"/>
      <c r="J701" s="54">
        <f>IF(OR(ISNUMBER(SEARCH("보류",K701)),ISNUMBER(SEARCH("미룸",K701)),ISNUMBER(SEARCH("나중에",K701)),ISNUMBER(SEARCH("보류",L701)),ISNUMBER(SEARCH("미룸",L701)),ISNUMBER(SEARCH("나중에",L701))),"보류(나중에 풀기)",IF(AND(F701="",G701="",H701="",I701=""),"미완료",IF(I701&lt;&gt;"","복습3(마스터)",IF(H701&lt;&gt;"","복습2",IF(G701&lt;&gt;"","복습1",IF(ISNUMBER(SEARCH("제미나이",K701)),"복습대기(AI도움)",IF(ISNUMBER(SEARCH("간당간당",K701)),"복습대기(간당간당)",IF(OR(ISNUMBER(SEARCH("아이디어",K701)),ISNUMBER(SEARCH("시간초과",K701)),ISNUMBER(SEARCH("자료구조",K701)),ISNUMBER(SEARCH("경계값",K701)),ISNUMBER(SEARCH("다른 풀이",K701)),ISNUMBER(SEARCH("또풀기",K701))),"복습대기",IF(OR(ISNUMBER(SEARCH("복습필요없음",K701)),ISNUMBER(SEARCH("자력완벽",K701))),"품(복습불필요)",IF(F701&lt;&gt;"","품","미완료"))))))))))</f>
        <v/>
      </c>
      <c r="K701" s="32" t="inlineStr">
        <is>
          <t>-</t>
        </is>
      </c>
      <c r="L701" s="32" t="n"/>
      <c r="M701" s="28">
        <f>IF(OR(LEFT(J701,2)="보류", LEFT(J701,4)="복습대기", LEFT(J701,3)="복습1", LEFT(J701,3)="복습2"), MAX($M$3:M700)+1, "")</f>
        <v/>
      </c>
      <c r="N701" s="28" t="inlineStr">
        <is>
          <t>W17</t>
        </is>
      </c>
      <c r="O701" s="36" t="n">
        <v>46376</v>
      </c>
      <c r="P701" s="30">
        <f>IF(F701&lt;&gt;"","✅ 완료",IF(O701="","-",IF(TODAY()&gt;O701,"🚨 지연","⏳ 예정")))</f>
        <v/>
      </c>
      <c r="Q701" s="7" t="n"/>
      <c r="R701" s="7" t="n"/>
      <c r="S701" s="7" t="n"/>
      <c r="T701" s="7" t="n"/>
      <c r="U701" s="7" t="n"/>
      <c r="V701" s="7" t="n"/>
      <c r="W701" s="7" t="n"/>
      <c r="X701" s="7" t="n"/>
    </row>
    <row r="702" ht="21.75" customHeight="1" s="209">
      <c r="A702" s="28" t="n">
        <v>699</v>
      </c>
      <c r="B702" s="28" t="inlineStr">
        <is>
          <t>22043</t>
        </is>
      </c>
      <c r="C702" s="30" t="inlineStr">
        <is>
          <t>D5</t>
        </is>
      </c>
      <c r="D702" s="32" t="inlineStr">
        <is>
          <t>유한소수의 곱셈</t>
        </is>
      </c>
      <c r="E702" s="28" t="inlineStr">
        <is>
          <t>수학 / 정수론</t>
        </is>
      </c>
      <c r="F702" s="28" t="n"/>
      <c r="G702" s="28" t="n"/>
      <c r="H702" s="28" t="n"/>
      <c r="I702" s="28" t="n"/>
      <c r="J702" s="54">
        <f>IF(OR(ISNUMBER(SEARCH("보류",K702)),ISNUMBER(SEARCH("미룸",K702)),ISNUMBER(SEARCH("나중에",K702)),ISNUMBER(SEARCH("보류",L702)),ISNUMBER(SEARCH("미룸",L702)),ISNUMBER(SEARCH("나중에",L702))),"보류(나중에 풀기)",IF(AND(F702="",G702="",H702="",I702=""),"미완료",IF(I702&lt;&gt;"","복습3(마스터)",IF(H702&lt;&gt;"","복습2",IF(G702&lt;&gt;"","복습1",IF(ISNUMBER(SEARCH("제미나이",K702)),"복습대기(AI도움)",IF(ISNUMBER(SEARCH("간당간당",K702)),"복습대기(간당간당)",IF(OR(ISNUMBER(SEARCH("아이디어",K702)),ISNUMBER(SEARCH("시간초과",K702)),ISNUMBER(SEARCH("자료구조",K702)),ISNUMBER(SEARCH("경계값",K702)),ISNUMBER(SEARCH("다른 풀이",K702)),ISNUMBER(SEARCH("또풀기",K702))),"복습대기",IF(OR(ISNUMBER(SEARCH("복습필요없음",K702)),ISNUMBER(SEARCH("자력완벽",K702))),"품(복습불필요)",IF(F702&lt;&gt;"","품","미완료"))))))))))</f>
        <v/>
      </c>
      <c r="K702" s="32" t="inlineStr">
        <is>
          <t>-</t>
        </is>
      </c>
      <c r="L702" s="32" t="n"/>
      <c r="M702" s="28">
        <f>IF(OR(LEFT(J702,2)="보류", LEFT(J702,4)="복습대기", LEFT(J702,3)="복습1", LEFT(J702,3)="복습2"), MAX($M$3:M701)+1, "")</f>
        <v/>
      </c>
      <c r="N702" s="28" t="inlineStr">
        <is>
          <t>W17</t>
        </is>
      </c>
      <c r="O702" s="36" t="n">
        <v>46376</v>
      </c>
      <c r="P702" s="30">
        <f>IF(F702&lt;&gt;"","✅ 완료",IF(O702="","-",IF(TODAY()&gt;O702,"🚨 지연","⏳ 예정")))</f>
        <v/>
      </c>
      <c r="Q702" s="7" t="n"/>
      <c r="R702" s="7" t="n"/>
      <c r="S702" s="7" t="n"/>
      <c r="T702" s="7" t="n"/>
      <c r="U702" s="7" t="n"/>
      <c r="V702" s="7" t="n"/>
      <c r="W702" s="7" t="n"/>
      <c r="X702" s="7" t="n"/>
    </row>
    <row r="703" ht="21.75" customHeight="1" s="209">
      <c r="A703" s="28" t="n">
        <v>700</v>
      </c>
      <c r="B703" s="28" t="inlineStr">
        <is>
          <t>22576</t>
        </is>
      </c>
      <c r="C703" s="30" t="inlineStr">
        <is>
          <t>D5</t>
        </is>
      </c>
      <c r="D703" s="32" t="inlineStr">
        <is>
          <t>근의 공식</t>
        </is>
      </c>
      <c r="E703" s="28" t="inlineStr">
        <is>
          <t>동적계획법 (DP) / 그래프</t>
        </is>
      </c>
      <c r="F703" s="28" t="n"/>
      <c r="G703" s="28" t="n"/>
      <c r="H703" s="28" t="n"/>
      <c r="I703" s="28" t="n"/>
      <c r="J703" s="54">
        <f>IF(OR(ISNUMBER(SEARCH("보류",K703)),ISNUMBER(SEARCH("미룸",K703)),ISNUMBER(SEARCH("나중에",K703)),ISNUMBER(SEARCH("보류",L703)),ISNUMBER(SEARCH("미룸",L703)),ISNUMBER(SEARCH("나중에",L703))),"보류(나중에 풀기)",IF(AND(F703="",G703="",H703="",I703=""),"미완료",IF(I703&lt;&gt;"","복습3(마스터)",IF(H703&lt;&gt;"","복습2",IF(G703&lt;&gt;"","복습1",IF(ISNUMBER(SEARCH("제미나이",K703)),"복습대기(AI도움)",IF(ISNUMBER(SEARCH("간당간당",K703)),"복습대기(간당간당)",IF(OR(ISNUMBER(SEARCH("아이디어",K703)),ISNUMBER(SEARCH("시간초과",K703)),ISNUMBER(SEARCH("자료구조",K703)),ISNUMBER(SEARCH("경계값",K703)),ISNUMBER(SEARCH("다른 풀이",K703)),ISNUMBER(SEARCH("또풀기",K703))),"복습대기",IF(OR(ISNUMBER(SEARCH("복습필요없음",K703)),ISNUMBER(SEARCH("자력완벽",K703))),"품(복습불필요)",IF(F703&lt;&gt;"","품","미완료"))))))))))</f>
        <v/>
      </c>
      <c r="K703" s="32" t="inlineStr">
        <is>
          <t>-</t>
        </is>
      </c>
      <c r="L703" s="32" t="n"/>
      <c r="M703" s="28">
        <f>IF(OR(LEFT(J703,2)="보류", LEFT(J703,4)="복습대기", LEFT(J703,3)="복습1", LEFT(J703,3)="복습2"), MAX($M$3:M702)+1, "")</f>
        <v/>
      </c>
      <c r="N703" s="28" t="inlineStr">
        <is>
          <t>W18</t>
        </is>
      </c>
      <c r="O703" s="36" t="n">
        <v>46377</v>
      </c>
      <c r="P703" s="30">
        <f>IF(F703&lt;&gt;"","✅ 완료",IF(O703="","-",IF(TODAY()&gt;O703,"🚨 지연","⏳ 예정")))</f>
        <v/>
      </c>
      <c r="Q703" s="7" t="n"/>
      <c r="R703" s="7" t="n"/>
      <c r="S703" s="7" t="n"/>
      <c r="T703" s="7" t="n"/>
      <c r="U703" s="7" t="n"/>
      <c r="V703" s="7" t="n"/>
      <c r="W703" s="7" t="n"/>
      <c r="X703" s="7" t="n"/>
    </row>
    <row r="704" ht="21.75" customHeight="1" s="209">
      <c r="A704" s="28" t="n">
        <v>701</v>
      </c>
      <c r="B704" s="28" t="inlineStr">
        <is>
          <t>22760</t>
        </is>
      </c>
      <c r="C704" s="30" t="inlineStr">
        <is>
          <t>D5</t>
        </is>
      </c>
      <c r="D704" s="32" t="inlineStr">
        <is>
          <t>행렬 복구</t>
        </is>
      </c>
      <c r="E704" s="28" t="inlineStr">
        <is>
          <t>동적계획법 (DP) / 그래프</t>
        </is>
      </c>
      <c r="F704" s="28" t="n"/>
      <c r="G704" s="28" t="n"/>
      <c r="H704" s="28" t="n"/>
      <c r="I704" s="28" t="n"/>
      <c r="J704" s="54">
        <f>IF(OR(ISNUMBER(SEARCH("보류",K704)),ISNUMBER(SEARCH("미룸",K704)),ISNUMBER(SEARCH("나중에",K704)),ISNUMBER(SEARCH("보류",L704)),ISNUMBER(SEARCH("미룸",L704)),ISNUMBER(SEARCH("나중에",L704))),"보류(나중에 풀기)",IF(AND(F704="",G704="",H704="",I704=""),"미완료",IF(I704&lt;&gt;"","복습3(마스터)",IF(H704&lt;&gt;"","복습2",IF(G704&lt;&gt;"","복습1",IF(ISNUMBER(SEARCH("제미나이",K704)),"복습대기(AI도움)",IF(ISNUMBER(SEARCH("간당간당",K704)),"복습대기(간당간당)",IF(OR(ISNUMBER(SEARCH("아이디어",K704)),ISNUMBER(SEARCH("시간초과",K704)),ISNUMBER(SEARCH("자료구조",K704)),ISNUMBER(SEARCH("경계값",K704)),ISNUMBER(SEARCH("다른 풀이",K704)),ISNUMBER(SEARCH("또풀기",K704))),"복습대기",IF(OR(ISNUMBER(SEARCH("복습필요없음",K704)),ISNUMBER(SEARCH("자력완벽",K704))),"품(복습불필요)",IF(F704&lt;&gt;"","품","미완료"))))))))))</f>
        <v/>
      </c>
      <c r="K704" s="32" t="inlineStr">
        <is>
          <t>-</t>
        </is>
      </c>
      <c r="L704" s="32" t="n"/>
      <c r="M704" s="28">
        <f>IF(OR(LEFT(J704,2)="보류", LEFT(J704,4)="복습대기", LEFT(J704,3)="복습1", LEFT(J704,3)="복습2"), MAX($M$3:M703)+1, "")</f>
        <v/>
      </c>
      <c r="N704" s="28" t="inlineStr">
        <is>
          <t>W18</t>
        </is>
      </c>
      <c r="O704" s="36" t="n">
        <v>46377</v>
      </c>
      <c r="P704" s="30">
        <f>IF(F704&lt;&gt;"","✅ 완료",IF(O704="","-",IF(TODAY()&gt;O704,"🚨 지연","⏳ 예정")))</f>
        <v/>
      </c>
      <c r="Q704" s="7" t="n"/>
      <c r="R704" s="7" t="n"/>
      <c r="S704" s="7" t="n"/>
      <c r="T704" s="7" t="n"/>
      <c r="U704" s="7" t="n"/>
      <c r="V704" s="7" t="n"/>
      <c r="W704" s="7" t="n"/>
      <c r="X704" s="7" t="n"/>
    </row>
    <row r="705" ht="21.75" customHeight="1" s="209">
      <c r="A705" s="28" t="n">
        <v>702</v>
      </c>
      <c r="B705" s="28" t="inlineStr">
        <is>
          <t>22796</t>
        </is>
      </c>
      <c r="C705" s="30" t="inlineStr">
        <is>
          <t>D5</t>
        </is>
      </c>
      <c r="D705" s="32" t="inlineStr">
        <is>
          <t>앞뒤가 같은 문자열</t>
        </is>
      </c>
      <c r="E705" s="28" t="inlineStr">
        <is>
          <t>문자열 / 파싱</t>
        </is>
      </c>
      <c r="F705" s="28" t="n"/>
      <c r="G705" s="28" t="n"/>
      <c r="H705" s="28" t="n"/>
      <c r="I705" s="28" t="n"/>
      <c r="J705" s="54">
        <f>IF(OR(ISNUMBER(SEARCH("보류",K705)),ISNUMBER(SEARCH("미룸",K705)),ISNUMBER(SEARCH("나중에",K705)),ISNUMBER(SEARCH("보류",L705)),ISNUMBER(SEARCH("미룸",L705)),ISNUMBER(SEARCH("나중에",L705))),"보류(나중에 풀기)",IF(AND(F705="",G705="",H705="",I705=""),"미완료",IF(I705&lt;&gt;"","복습3(마스터)",IF(H705&lt;&gt;"","복습2",IF(G705&lt;&gt;"","복습1",IF(ISNUMBER(SEARCH("제미나이",K705)),"복습대기(AI도움)",IF(ISNUMBER(SEARCH("간당간당",K705)),"복습대기(간당간당)",IF(OR(ISNUMBER(SEARCH("아이디어",K705)),ISNUMBER(SEARCH("시간초과",K705)),ISNUMBER(SEARCH("자료구조",K705)),ISNUMBER(SEARCH("경계값",K705)),ISNUMBER(SEARCH("다른 풀이",K705)),ISNUMBER(SEARCH("또풀기",K705))),"복습대기",IF(OR(ISNUMBER(SEARCH("복습필요없음",K705)),ISNUMBER(SEARCH("자력완벽",K705))),"품(복습불필요)",IF(F705&lt;&gt;"","품","미완료"))))))))))</f>
        <v/>
      </c>
      <c r="K705" s="32" t="inlineStr">
        <is>
          <t>-</t>
        </is>
      </c>
      <c r="L705" s="32" t="n"/>
      <c r="M705" s="28">
        <f>IF(OR(LEFT(J705,2)="보류", LEFT(J705,4)="복습대기", LEFT(J705,3)="복습1", LEFT(J705,3)="복습2"), MAX($M$3:M704)+1, "")</f>
        <v/>
      </c>
      <c r="N705" s="28" t="inlineStr">
        <is>
          <t>W18</t>
        </is>
      </c>
      <c r="O705" s="36" t="n">
        <v>46377</v>
      </c>
      <c r="P705" s="30">
        <f>IF(F705&lt;&gt;"","✅ 완료",IF(O705="","-",IF(TODAY()&gt;O705,"🚨 지연","⏳ 예정")))</f>
        <v/>
      </c>
      <c r="Q705" s="7" t="n"/>
      <c r="R705" s="7" t="n"/>
      <c r="S705" s="7" t="n"/>
      <c r="T705" s="7" t="n"/>
      <c r="U705" s="7" t="n"/>
      <c r="V705" s="7" t="n"/>
      <c r="W705" s="7" t="n"/>
      <c r="X705" s="7" t="n"/>
    </row>
    <row r="706" ht="21.75" customHeight="1" s="209">
      <c r="A706" s="28" t="n">
        <v>703</v>
      </c>
      <c r="B706" s="28" t="inlineStr">
        <is>
          <t>22980</t>
        </is>
      </c>
      <c r="C706" s="30" t="inlineStr">
        <is>
          <t>D5</t>
        </is>
      </c>
      <c r="D706" s="32" t="inlineStr">
        <is>
          <t>삼각형 만들기</t>
        </is>
      </c>
      <c r="E706" s="28" t="inlineStr">
        <is>
          <t>동적계획법 (DP) / 그래프</t>
        </is>
      </c>
      <c r="F706" s="28" t="n"/>
      <c r="G706" s="28" t="n"/>
      <c r="H706" s="28" t="n"/>
      <c r="I706" s="28" t="n"/>
      <c r="J706" s="54">
        <f>IF(OR(ISNUMBER(SEARCH("보류",K706)),ISNUMBER(SEARCH("미룸",K706)),ISNUMBER(SEARCH("나중에",K706)),ISNUMBER(SEARCH("보류",L706)),ISNUMBER(SEARCH("미룸",L706)),ISNUMBER(SEARCH("나중에",L706))),"보류(나중에 풀기)",IF(AND(F706="",G706="",H706="",I706=""),"미완료",IF(I706&lt;&gt;"","복습3(마스터)",IF(H706&lt;&gt;"","복습2",IF(G706&lt;&gt;"","복습1",IF(ISNUMBER(SEARCH("제미나이",K706)),"복습대기(AI도움)",IF(ISNUMBER(SEARCH("간당간당",K706)),"복습대기(간당간당)",IF(OR(ISNUMBER(SEARCH("아이디어",K706)),ISNUMBER(SEARCH("시간초과",K706)),ISNUMBER(SEARCH("자료구조",K706)),ISNUMBER(SEARCH("경계값",K706)),ISNUMBER(SEARCH("다른 풀이",K706)),ISNUMBER(SEARCH("또풀기",K706))),"복습대기",IF(OR(ISNUMBER(SEARCH("복습필요없음",K706)),ISNUMBER(SEARCH("자력완벽",K706))),"품(복습불필요)",IF(F706&lt;&gt;"","품","미완료"))))))))))</f>
        <v/>
      </c>
      <c r="K706" s="32" t="inlineStr">
        <is>
          <t>-</t>
        </is>
      </c>
      <c r="L706" s="32" t="n"/>
      <c r="M706" s="28">
        <f>IF(OR(LEFT(J706,2)="보류", LEFT(J706,4)="복습대기", LEFT(J706,3)="복습1", LEFT(J706,3)="복습2"), MAX($M$3:M705)+1, "")</f>
        <v/>
      </c>
      <c r="N706" s="28" t="inlineStr">
        <is>
          <t>W18</t>
        </is>
      </c>
      <c r="O706" s="36" t="n">
        <v>46377</v>
      </c>
      <c r="P706" s="30">
        <f>IF(F706&lt;&gt;"","✅ 완료",IF(O706="","-",IF(TODAY()&gt;O706,"🚨 지연","⏳ 예정")))</f>
        <v/>
      </c>
      <c r="Q706" s="7" t="n"/>
      <c r="R706" s="7" t="n"/>
      <c r="S706" s="7" t="n"/>
      <c r="T706" s="7" t="n"/>
      <c r="U706" s="7" t="n"/>
      <c r="V706" s="7" t="n"/>
      <c r="W706" s="7" t="n"/>
      <c r="X706" s="7" t="n"/>
    </row>
    <row r="707" ht="21.75" customHeight="1" s="209">
      <c r="A707" s="28" t="n">
        <v>704</v>
      </c>
      <c r="B707" s="28" t="inlineStr">
        <is>
          <t>23792</t>
        </is>
      </c>
      <c r="C707" s="30" t="inlineStr">
        <is>
          <t>D5</t>
        </is>
      </c>
      <c r="D707" s="32" t="inlineStr">
        <is>
          <t>실근의 개수</t>
        </is>
      </c>
      <c r="E707" s="28" t="inlineStr">
        <is>
          <t>동적계획법 (DP) / 그래프</t>
        </is>
      </c>
      <c r="F707" s="28" t="n"/>
      <c r="G707" s="28" t="n"/>
      <c r="H707" s="28" t="n"/>
      <c r="I707" s="28" t="n"/>
      <c r="J707" s="54">
        <f>IF(OR(ISNUMBER(SEARCH("보류",K707)),ISNUMBER(SEARCH("미룸",K707)),ISNUMBER(SEARCH("나중에",K707)),ISNUMBER(SEARCH("보류",L707)),ISNUMBER(SEARCH("미룸",L707)),ISNUMBER(SEARCH("나중에",L707))),"보류(나중에 풀기)",IF(AND(F707="",G707="",H707="",I707=""),"미완료",IF(I707&lt;&gt;"","복습3(마스터)",IF(H707&lt;&gt;"","복습2",IF(G707&lt;&gt;"","복습1",IF(ISNUMBER(SEARCH("제미나이",K707)),"복습대기(AI도움)",IF(ISNUMBER(SEARCH("간당간당",K707)),"복습대기(간당간당)",IF(OR(ISNUMBER(SEARCH("아이디어",K707)),ISNUMBER(SEARCH("시간초과",K707)),ISNUMBER(SEARCH("자료구조",K707)),ISNUMBER(SEARCH("경계값",K707)),ISNUMBER(SEARCH("다른 풀이",K707)),ISNUMBER(SEARCH("또풀기",K707))),"복습대기",IF(OR(ISNUMBER(SEARCH("복습필요없음",K707)),ISNUMBER(SEARCH("자력완벽",K707))),"품(복습불필요)",IF(F707&lt;&gt;"","품","미완료"))))))))))</f>
        <v/>
      </c>
      <c r="K707" s="32" t="inlineStr">
        <is>
          <t>-</t>
        </is>
      </c>
      <c r="L707" s="32" t="n"/>
      <c r="M707" s="28">
        <f>IF(OR(LEFT(J707,2)="보류", LEFT(J707,4)="복습대기", LEFT(J707,3)="복습1", LEFT(J707,3)="복습2"), MAX($M$3:M706)+1, "")</f>
        <v/>
      </c>
      <c r="N707" s="28" t="inlineStr">
        <is>
          <t>W18</t>
        </is>
      </c>
      <c r="O707" s="36" t="n">
        <v>46377</v>
      </c>
      <c r="P707" s="30">
        <f>IF(F707&lt;&gt;"","✅ 완료",IF(O707="","-",IF(TODAY()&gt;O707,"🚨 지연","⏳ 예정")))</f>
        <v/>
      </c>
      <c r="Q707" s="7" t="n"/>
      <c r="R707" s="7" t="n"/>
      <c r="S707" s="7" t="n"/>
      <c r="T707" s="7" t="n"/>
      <c r="U707" s="7" t="n"/>
      <c r="V707" s="7" t="n"/>
      <c r="W707" s="7" t="n"/>
      <c r="X707" s="7" t="n"/>
    </row>
    <row r="708" ht="21.75" customHeight="1" s="209">
      <c r="A708" s="28" t="n">
        <v>705</v>
      </c>
      <c r="B708" s="28" t="inlineStr">
        <is>
          <t>23793</t>
        </is>
      </c>
      <c r="C708" s="30" t="inlineStr">
        <is>
          <t>D5</t>
        </is>
      </c>
      <c r="D708" s="32" t="inlineStr">
        <is>
          <t>012 행렬</t>
        </is>
      </c>
      <c r="E708" s="28" t="inlineStr">
        <is>
          <t>동적계획법 (DP) / 그래프</t>
        </is>
      </c>
      <c r="F708" s="28" t="n"/>
      <c r="G708" s="28" t="n"/>
      <c r="H708" s="28" t="n"/>
      <c r="I708" s="28" t="n"/>
      <c r="J708" s="54">
        <f>IF(OR(ISNUMBER(SEARCH("보류",K708)),ISNUMBER(SEARCH("미룸",K708)),ISNUMBER(SEARCH("나중에",K708)),ISNUMBER(SEARCH("보류",L708)),ISNUMBER(SEARCH("미룸",L708)),ISNUMBER(SEARCH("나중에",L708))),"보류(나중에 풀기)",IF(AND(F708="",G708="",H708="",I708=""),"미완료",IF(I708&lt;&gt;"","복습3(마스터)",IF(H708&lt;&gt;"","복습2",IF(G708&lt;&gt;"","복습1",IF(ISNUMBER(SEARCH("제미나이",K708)),"복습대기(AI도움)",IF(ISNUMBER(SEARCH("간당간당",K708)),"복습대기(간당간당)",IF(OR(ISNUMBER(SEARCH("아이디어",K708)),ISNUMBER(SEARCH("시간초과",K708)),ISNUMBER(SEARCH("자료구조",K708)),ISNUMBER(SEARCH("경계값",K708)),ISNUMBER(SEARCH("다른 풀이",K708)),ISNUMBER(SEARCH("또풀기",K708))),"복습대기",IF(OR(ISNUMBER(SEARCH("복습필요없음",K708)),ISNUMBER(SEARCH("자력완벽",K708))),"품(복습불필요)",IF(F708&lt;&gt;"","품","미완료"))))))))))</f>
        <v/>
      </c>
      <c r="K708" s="32" t="inlineStr">
        <is>
          <t>-</t>
        </is>
      </c>
      <c r="L708" s="32" t="n"/>
      <c r="M708" s="28">
        <f>IF(OR(LEFT(J708,2)="보류", LEFT(J708,4)="복습대기", LEFT(J708,3)="복습1", LEFT(J708,3)="복습2"), MAX($M$3:M707)+1, "")</f>
        <v/>
      </c>
      <c r="N708" s="28" t="inlineStr">
        <is>
          <t>W18</t>
        </is>
      </c>
      <c r="O708" s="36" t="n">
        <v>46377</v>
      </c>
      <c r="P708" s="30">
        <f>IF(F708&lt;&gt;"","✅ 완료",IF(O708="","-",IF(TODAY()&gt;O708,"🚨 지연","⏳ 예정")))</f>
        <v/>
      </c>
      <c r="Q708" s="7" t="n"/>
      <c r="R708" s="7" t="n"/>
      <c r="S708" s="7" t="n"/>
      <c r="T708" s="7" t="n"/>
      <c r="U708" s="7" t="n"/>
      <c r="V708" s="7" t="n"/>
      <c r="W708" s="7" t="n"/>
      <c r="X708" s="7" t="n"/>
    </row>
    <row r="709" ht="21.75" customHeight="1" s="209">
      <c r="A709" s="28" t="n">
        <v>706</v>
      </c>
      <c r="B709" s="28" t="inlineStr">
        <is>
          <t>24002</t>
        </is>
      </c>
      <c r="C709" s="30" t="inlineStr">
        <is>
          <t>D5</t>
        </is>
      </c>
      <c r="D709" s="32" t="inlineStr">
        <is>
          <t>쪼개기</t>
        </is>
      </c>
      <c r="E709" s="28" t="inlineStr">
        <is>
          <t>동적계획법 (DP) / 그래프</t>
        </is>
      </c>
      <c r="F709" s="28" t="n"/>
      <c r="G709" s="28" t="n"/>
      <c r="H709" s="28" t="n"/>
      <c r="I709" s="28" t="n"/>
      <c r="J709" s="54">
        <f>IF(OR(ISNUMBER(SEARCH("보류",K709)),ISNUMBER(SEARCH("미룸",K709)),ISNUMBER(SEARCH("나중에",K709)),ISNUMBER(SEARCH("보류",L709)),ISNUMBER(SEARCH("미룸",L709)),ISNUMBER(SEARCH("나중에",L709))),"보류(나중에 풀기)",IF(AND(F709="",G709="",H709="",I709=""),"미완료",IF(I709&lt;&gt;"","복습3(마스터)",IF(H709&lt;&gt;"","복습2",IF(G709&lt;&gt;"","복습1",IF(ISNUMBER(SEARCH("제미나이",K709)),"복습대기(AI도움)",IF(ISNUMBER(SEARCH("간당간당",K709)),"복습대기(간당간당)",IF(OR(ISNUMBER(SEARCH("아이디어",K709)),ISNUMBER(SEARCH("시간초과",K709)),ISNUMBER(SEARCH("자료구조",K709)),ISNUMBER(SEARCH("경계값",K709)),ISNUMBER(SEARCH("다른 풀이",K709)),ISNUMBER(SEARCH("또풀기",K709))),"복습대기",IF(OR(ISNUMBER(SEARCH("복습필요없음",K709)),ISNUMBER(SEARCH("자력완벽",K709))),"품(복습불필요)",IF(F709&lt;&gt;"","품","미완료"))))))))))</f>
        <v/>
      </c>
      <c r="K709" s="32" t="inlineStr">
        <is>
          <t>-</t>
        </is>
      </c>
      <c r="L709" s="32" t="n"/>
      <c r="M709" s="28">
        <f>IF(OR(LEFT(J709,2)="보류", LEFT(J709,4)="복습대기", LEFT(J709,3)="복습1", LEFT(J709,3)="복습2"), MAX($M$3:M708)+1, "")</f>
        <v/>
      </c>
      <c r="N709" s="28" t="inlineStr">
        <is>
          <t>W18</t>
        </is>
      </c>
      <c r="O709" s="36" t="n">
        <v>46377</v>
      </c>
      <c r="P709" s="30">
        <f>IF(F709&lt;&gt;"","✅ 완료",IF(O709="","-",IF(TODAY()&gt;O709,"🚨 지연","⏳ 예정")))</f>
        <v/>
      </c>
      <c r="Q709" s="7" t="n"/>
      <c r="R709" s="7" t="n"/>
      <c r="S709" s="7" t="n"/>
      <c r="T709" s="7" t="n"/>
      <c r="U709" s="7" t="n"/>
      <c r="V709" s="7" t="n"/>
      <c r="W709" s="7" t="n"/>
      <c r="X709" s="7" t="n"/>
    </row>
    <row r="710" ht="21.75" customHeight="1" s="209">
      <c r="A710" s="28" t="n">
        <v>707</v>
      </c>
      <c r="B710" s="28" t="inlineStr">
        <is>
          <t>24422</t>
        </is>
      </c>
      <c r="C710" s="30" t="inlineStr">
        <is>
          <t>D5</t>
        </is>
      </c>
      <c r="D710" s="32" t="inlineStr">
        <is>
          <t>수열 축약</t>
        </is>
      </c>
      <c r="E710" s="28" t="inlineStr">
        <is>
          <t>동적계획법 (DP)</t>
        </is>
      </c>
      <c r="F710" s="28" t="n"/>
      <c r="G710" s="28" t="n"/>
      <c r="H710" s="28" t="n"/>
      <c r="I710" s="28" t="n"/>
      <c r="J710" s="54">
        <f>IF(OR(ISNUMBER(SEARCH("보류",K710)),ISNUMBER(SEARCH("미룸",K710)),ISNUMBER(SEARCH("나중에",K710)),ISNUMBER(SEARCH("보류",L710)),ISNUMBER(SEARCH("미룸",L710)),ISNUMBER(SEARCH("나중에",L710))),"보류(나중에 풀기)",IF(AND(F710="",G710="",H710="",I710=""),"미완료",IF(I710&lt;&gt;"","복습3(마스터)",IF(H710&lt;&gt;"","복습2",IF(G710&lt;&gt;"","복습1",IF(ISNUMBER(SEARCH("제미나이",K710)),"복습대기(AI도움)",IF(ISNUMBER(SEARCH("간당간당",K710)),"복습대기(간당간당)",IF(OR(ISNUMBER(SEARCH("아이디어",K710)),ISNUMBER(SEARCH("시간초과",K710)),ISNUMBER(SEARCH("자료구조",K710)),ISNUMBER(SEARCH("경계값",K710)),ISNUMBER(SEARCH("다른 풀이",K710)),ISNUMBER(SEARCH("또풀기",K710))),"복습대기",IF(OR(ISNUMBER(SEARCH("복습필요없음",K710)),ISNUMBER(SEARCH("자력완벽",K710))),"품(복습불필요)",IF(F710&lt;&gt;"","품","미완료"))))))))))</f>
        <v/>
      </c>
      <c r="K710" s="32" t="inlineStr">
        <is>
          <t>-</t>
        </is>
      </c>
      <c r="L710" s="32" t="n"/>
      <c r="M710" s="28">
        <f>IF(OR(LEFT(J710,2)="보류", LEFT(J710,4)="복습대기", LEFT(J710,3)="복습1", LEFT(J710,3)="복습2"), MAX($M$3:M709)+1, "")</f>
        <v/>
      </c>
      <c r="N710" s="28" t="inlineStr">
        <is>
          <t>W18</t>
        </is>
      </c>
      <c r="O710" s="36" t="n">
        <v>46377</v>
      </c>
      <c r="P710" s="30">
        <f>IF(F710&lt;&gt;"","✅ 완료",IF(O710="","-",IF(TODAY()&gt;O710,"🚨 지연","⏳ 예정")))</f>
        <v/>
      </c>
      <c r="Q710" s="7" t="n"/>
      <c r="R710" s="7" t="n"/>
      <c r="S710" s="7" t="n"/>
      <c r="T710" s="7" t="n"/>
      <c r="U710" s="7" t="n"/>
      <c r="V710" s="7" t="n"/>
      <c r="W710" s="7" t="n"/>
      <c r="X710" s="7" t="n"/>
    </row>
    <row r="711" ht="21.75" customHeight="1" s="209">
      <c r="A711" s="28" t="n">
        <v>708</v>
      </c>
      <c r="B711" s="28" t="inlineStr">
        <is>
          <t>24423</t>
        </is>
      </c>
      <c r="C711" s="30" t="inlineStr">
        <is>
          <t>D5</t>
        </is>
      </c>
      <c r="D711" s="32" t="inlineStr">
        <is>
          <t>점프</t>
        </is>
      </c>
      <c r="E711" s="28" t="inlineStr">
        <is>
          <t>동적계획법 (DP) / 그래프</t>
        </is>
      </c>
      <c r="F711" s="28" t="n"/>
      <c r="G711" s="28" t="n"/>
      <c r="H711" s="28" t="n"/>
      <c r="I711" s="28" t="n"/>
      <c r="J711" s="54">
        <f>IF(OR(ISNUMBER(SEARCH("보류",K711)),ISNUMBER(SEARCH("미룸",K711)),ISNUMBER(SEARCH("나중에",K711)),ISNUMBER(SEARCH("보류",L711)),ISNUMBER(SEARCH("미룸",L711)),ISNUMBER(SEARCH("나중에",L711))),"보류(나중에 풀기)",IF(AND(F711="",G711="",H711="",I711=""),"미완료",IF(I711&lt;&gt;"","복습3(마스터)",IF(H711&lt;&gt;"","복습2",IF(G711&lt;&gt;"","복습1",IF(ISNUMBER(SEARCH("제미나이",K711)),"복습대기(AI도움)",IF(ISNUMBER(SEARCH("간당간당",K711)),"복습대기(간당간당)",IF(OR(ISNUMBER(SEARCH("아이디어",K711)),ISNUMBER(SEARCH("시간초과",K711)),ISNUMBER(SEARCH("자료구조",K711)),ISNUMBER(SEARCH("경계값",K711)),ISNUMBER(SEARCH("다른 풀이",K711)),ISNUMBER(SEARCH("또풀기",K711))),"복습대기",IF(OR(ISNUMBER(SEARCH("복습필요없음",K711)),ISNUMBER(SEARCH("자력완벽",K711))),"품(복습불필요)",IF(F711&lt;&gt;"","품","미완료"))))))))))</f>
        <v/>
      </c>
      <c r="K711" s="32" t="inlineStr">
        <is>
          <t>-</t>
        </is>
      </c>
      <c r="L711" s="32" t="n"/>
      <c r="M711" s="28">
        <f>IF(OR(LEFT(J711,2)="보류", LEFT(J711,4)="복습대기", LEFT(J711,3)="복습1", LEFT(J711,3)="복습2"), MAX($M$3:M710)+1, "")</f>
        <v/>
      </c>
      <c r="N711" s="28" t="inlineStr">
        <is>
          <t>W18</t>
        </is>
      </c>
      <c r="O711" s="36" t="n">
        <v>46378</v>
      </c>
      <c r="P711" s="30">
        <f>IF(F711&lt;&gt;"","✅ 완료",IF(O711="","-",IF(TODAY()&gt;O711,"🚨 지연","⏳ 예정")))</f>
        <v/>
      </c>
      <c r="Q711" s="7" t="n"/>
      <c r="R711" s="7" t="n"/>
      <c r="S711" s="7" t="n"/>
      <c r="T711" s="7" t="n"/>
      <c r="U711" s="7" t="n"/>
      <c r="V711" s="7" t="n"/>
      <c r="W711" s="7" t="n"/>
      <c r="X711" s="7" t="n"/>
    </row>
    <row r="712" ht="21.75" customHeight="1" s="209">
      <c r="A712" s="28" t="n">
        <v>709</v>
      </c>
      <c r="B712" s="28" t="inlineStr">
        <is>
          <t>24528</t>
        </is>
      </c>
      <c r="C712" s="30" t="inlineStr">
        <is>
          <t>D5</t>
        </is>
      </c>
      <c r="D712" s="32" t="inlineStr">
        <is>
          <t>유클리드 호제법</t>
        </is>
      </c>
      <c r="E712" s="28" t="inlineStr">
        <is>
          <t>동적계획법 (DP) / 그래프</t>
        </is>
      </c>
      <c r="F712" s="28" t="n"/>
      <c r="G712" s="28" t="n"/>
      <c r="H712" s="28" t="n"/>
      <c r="I712" s="28" t="n"/>
      <c r="J712" s="54">
        <f>IF(OR(ISNUMBER(SEARCH("보류",K712)),ISNUMBER(SEARCH("미룸",K712)),ISNUMBER(SEARCH("나중에",K712)),ISNUMBER(SEARCH("보류",L712)),ISNUMBER(SEARCH("미룸",L712)),ISNUMBER(SEARCH("나중에",L712))),"보류(나중에 풀기)",IF(AND(F712="",G712="",H712="",I712=""),"미완료",IF(I712&lt;&gt;"","복습3(마스터)",IF(H712&lt;&gt;"","복습2",IF(G712&lt;&gt;"","복습1",IF(ISNUMBER(SEARCH("제미나이",K712)),"복습대기(AI도움)",IF(ISNUMBER(SEARCH("간당간당",K712)),"복습대기(간당간당)",IF(OR(ISNUMBER(SEARCH("아이디어",K712)),ISNUMBER(SEARCH("시간초과",K712)),ISNUMBER(SEARCH("자료구조",K712)),ISNUMBER(SEARCH("경계값",K712)),ISNUMBER(SEARCH("다른 풀이",K712)),ISNUMBER(SEARCH("또풀기",K712))),"복습대기",IF(OR(ISNUMBER(SEARCH("복습필요없음",K712)),ISNUMBER(SEARCH("자력완벽",K712))),"품(복습불필요)",IF(F712&lt;&gt;"","품","미완료"))))))))))</f>
        <v/>
      </c>
      <c r="K712" s="32" t="inlineStr">
        <is>
          <t>-</t>
        </is>
      </c>
      <c r="L712" s="32" t="n"/>
      <c r="M712" s="28">
        <f>IF(OR(LEFT(J712,2)="보류", LEFT(J712,4)="복습대기", LEFT(J712,3)="복습1", LEFT(J712,3)="복습2"), MAX($M$3:M711)+1, "")</f>
        <v/>
      </c>
      <c r="N712" s="28" t="inlineStr">
        <is>
          <t>W18</t>
        </is>
      </c>
      <c r="O712" s="36" t="n">
        <v>46378</v>
      </c>
      <c r="P712" s="30">
        <f>IF(F712&lt;&gt;"","✅ 완료",IF(O712="","-",IF(TODAY()&gt;O712,"🚨 지연","⏳ 예정")))</f>
        <v/>
      </c>
      <c r="Q712" s="7" t="n"/>
      <c r="R712" s="7" t="n"/>
      <c r="S712" s="7" t="n"/>
      <c r="T712" s="7" t="n"/>
      <c r="U712" s="7" t="n"/>
      <c r="V712" s="7" t="n"/>
      <c r="W712" s="7" t="n"/>
      <c r="X712" s="7" t="n"/>
    </row>
    <row r="713" ht="21.75" customHeight="1" s="209">
      <c r="A713" s="28" t="n">
        <v>710</v>
      </c>
      <c r="B713" s="28" t="inlineStr">
        <is>
          <t>24699</t>
        </is>
      </c>
      <c r="C713" s="30" t="inlineStr">
        <is>
          <t>D5</t>
        </is>
      </c>
      <c r="D713" s="32" t="inlineStr">
        <is>
          <t>XOR과 합 최대</t>
        </is>
      </c>
      <c r="E713" s="28" t="inlineStr">
        <is>
          <t>수학 / 정수론</t>
        </is>
      </c>
      <c r="F713" s="28" t="n"/>
      <c r="G713" s="28" t="n"/>
      <c r="H713" s="28" t="n"/>
      <c r="I713" s="28" t="n"/>
      <c r="J713" s="54">
        <f>IF(OR(ISNUMBER(SEARCH("보류",K713)),ISNUMBER(SEARCH("미룸",K713)),ISNUMBER(SEARCH("나중에",K713)),ISNUMBER(SEARCH("보류",L713)),ISNUMBER(SEARCH("미룸",L713)),ISNUMBER(SEARCH("나중에",L713))),"보류(나중에 풀기)",IF(AND(F713="",G713="",H713="",I713=""),"미완료",IF(I713&lt;&gt;"","복습3(마스터)",IF(H713&lt;&gt;"","복습2",IF(G713&lt;&gt;"","복습1",IF(ISNUMBER(SEARCH("제미나이",K713)),"복습대기(AI도움)",IF(ISNUMBER(SEARCH("간당간당",K713)),"복습대기(간당간당)",IF(OR(ISNUMBER(SEARCH("아이디어",K713)),ISNUMBER(SEARCH("시간초과",K713)),ISNUMBER(SEARCH("자료구조",K713)),ISNUMBER(SEARCH("경계값",K713)),ISNUMBER(SEARCH("다른 풀이",K713)),ISNUMBER(SEARCH("또풀기",K713))),"복습대기",IF(OR(ISNUMBER(SEARCH("복습필요없음",K713)),ISNUMBER(SEARCH("자력완벽",K713))),"품(복습불필요)",IF(F713&lt;&gt;"","품","미완료"))))))))))</f>
        <v/>
      </c>
      <c r="K713" s="32" t="inlineStr">
        <is>
          <t>-</t>
        </is>
      </c>
      <c r="L713" s="32" t="n"/>
      <c r="M713" s="28">
        <f>IF(OR(LEFT(J713,2)="보류", LEFT(J713,4)="복습대기", LEFT(J713,3)="복습1", LEFT(J713,3)="복습2"), MAX($M$3:M712)+1, "")</f>
        <v/>
      </c>
      <c r="N713" s="28" t="inlineStr">
        <is>
          <t>W18</t>
        </is>
      </c>
      <c r="O713" s="36" t="n">
        <v>46378</v>
      </c>
      <c r="P713" s="30">
        <f>IF(F713&lt;&gt;"","✅ 완료",IF(O713="","-",IF(TODAY()&gt;O713,"🚨 지연","⏳ 예정")))</f>
        <v/>
      </c>
      <c r="Q713" s="7" t="n"/>
      <c r="R713" s="7" t="n"/>
      <c r="S713" s="7" t="n"/>
      <c r="T713" s="7" t="n"/>
      <c r="U713" s="7" t="n"/>
      <c r="V713" s="7" t="n"/>
      <c r="W713" s="7" t="n"/>
      <c r="X713" s="7" t="n"/>
    </row>
    <row r="714" ht="21.75" customHeight="1" s="209">
      <c r="A714" s="28" t="n">
        <v>711</v>
      </c>
      <c r="B714" s="28" t="inlineStr">
        <is>
          <t>12317</t>
        </is>
      </c>
      <c r="C714" s="30" t="inlineStr">
        <is>
          <t>Pro</t>
        </is>
      </c>
      <c r="D714" s="32" t="inlineStr">
        <is>
          <t>[기초] Trie 기초</t>
        </is>
      </c>
      <c r="E714" s="28" t="inlineStr">
        <is>
          <t>최적화 / 고급 알고리즘</t>
        </is>
      </c>
      <c r="F714" s="28" t="n"/>
      <c r="G714" s="28" t="n"/>
      <c r="H714" s="28" t="n"/>
      <c r="I714" s="28" t="n"/>
      <c r="J714" s="54">
        <f>IF(OR(ISNUMBER(SEARCH("보류",K714)),ISNUMBER(SEARCH("미룸",K714)),ISNUMBER(SEARCH("나중에",K714)),ISNUMBER(SEARCH("보류",L714)),ISNUMBER(SEARCH("미룸",L714)),ISNUMBER(SEARCH("나중에",L714))),"보류(나중에 풀기)",IF(AND(F714="",G714="",H714="",I714=""),"미완료",IF(I714&lt;&gt;"","복습3(마스터)",IF(H714&lt;&gt;"","복습2",IF(G714&lt;&gt;"","복습1",IF(ISNUMBER(SEARCH("제미나이",K714)),"복습대기(AI도움)",IF(ISNUMBER(SEARCH("간당간당",K714)),"복습대기(간당간당)",IF(OR(ISNUMBER(SEARCH("아이디어",K714)),ISNUMBER(SEARCH("시간초과",K714)),ISNUMBER(SEARCH("자료구조",K714)),ISNUMBER(SEARCH("경계값",K714)),ISNUMBER(SEARCH("다른 풀이",K714)),ISNUMBER(SEARCH("또풀기",K714))),"복습대기",IF(OR(ISNUMBER(SEARCH("복습필요없음",K714)),ISNUMBER(SEARCH("자력완벽",K714))),"품(복습불필요)",IF(F714&lt;&gt;"","품","미완료"))))))))))</f>
        <v/>
      </c>
      <c r="K714" s="32" t="inlineStr">
        <is>
          <t>-</t>
        </is>
      </c>
      <c r="L714" s="32" t="n"/>
      <c r="M714" s="28">
        <f>IF(OR(LEFT(J714,2)="보류", LEFT(J714,4)="복습대기", LEFT(J714,3)="복습1", LEFT(J714,3)="복습2"), MAX($M$3:M713)+1, "")</f>
        <v/>
      </c>
      <c r="N714" s="28" t="inlineStr">
        <is>
          <t>W18</t>
        </is>
      </c>
      <c r="O714" s="36" t="n">
        <v>46378</v>
      </c>
      <c r="P714" s="30">
        <f>IF(F714&lt;&gt;"","✅ 완료",IF(O714="","-",IF(TODAY()&gt;O714,"🚨 지연","⏳ 예정")))</f>
        <v/>
      </c>
      <c r="Q714" s="7" t="n"/>
      <c r="R714" s="7" t="n"/>
      <c r="S714" s="7" t="n"/>
      <c r="T714" s="7" t="n"/>
      <c r="U714" s="7" t="n"/>
      <c r="V714" s="7" t="n"/>
      <c r="W714" s="7" t="n"/>
      <c r="X714" s="7" t="n"/>
    </row>
    <row r="715" ht="21.75" customHeight="1" s="209">
      <c r="A715" s="28" t="n">
        <v>712</v>
      </c>
      <c r="B715" s="28" t="inlineStr">
        <is>
          <t>12318</t>
        </is>
      </c>
      <c r="C715" s="30" t="inlineStr">
        <is>
          <t>Pro</t>
        </is>
      </c>
      <c r="D715" s="32" t="inlineStr">
        <is>
          <t>[기초] Segment Tree</t>
        </is>
      </c>
      <c r="E715" s="28" t="inlineStr">
        <is>
          <t>트리 / 힙 / 세그먼트트리</t>
        </is>
      </c>
      <c r="F715" s="28" t="n"/>
      <c r="G715" s="28" t="n"/>
      <c r="H715" s="28" t="n"/>
      <c r="I715" s="28" t="n"/>
      <c r="J715" s="54">
        <f>IF(OR(ISNUMBER(SEARCH("보류",K715)),ISNUMBER(SEARCH("미룸",K715)),ISNUMBER(SEARCH("나중에",K715)),ISNUMBER(SEARCH("보류",L715)),ISNUMBER(SEARCH("미룸",L715)),ISNUMBER(SEARCH("나중에",L715))),"보류(나중에 풀기)",IF(AND(F715="",G715="",H715="",I715=""),"미완료",IF(I715&lt;&gt;"","복습3(마스터)",IF(H715&lt;&gt;"","복습2",IF(G715&lt;&gt;"","복습1",IF(ISNUMBER(SEARCH("제미나이",K715)),"복습대기(AI도움)",IF(ISNUMBER(SEARCH("간당간당",K715)),"복습대기(간당간당)",IF(OR(ISNUMBER(SEARCH("아이디어",K715)),ISNUMBER(SEARCH("시간초과",K715)),ISNUMBER(SEARCH("자료구조",K715)),ISNUMBER(SEARCH("경계값",K715)),ISNUMBER(SEARCH("다른 풀이",K715)),ISNUMBER(SEARCH("또풀기",K715))),"복습대기",IF(OR(ISNUMBER(SEARCH("복습필요없음",K715)),ISNUMBER(SEARCH("자력완벽",K715))),"품(복습불필요)",IF(F715&lt;&gt;"","품","미완료"))))))))))</f>
        <v/>
      </c>
      <c r="K715" s="32" t="inlineStr">
        <is>
          <t>-</t>
        </is>
      </c>
      <c r="L715" s="32" t="n"/>
      <c r="M715" s="28">
        <f>IF(OR(LEFT(J715,2)="보류", LEFT(J715,4)="복습대기", LEFT(J715,3)="복습1", LEFT(J715,3)="복습2"), MAX($M$3:M714)+1, "")</f>
        <v/>
      </c>
      <c r="N715" s="28" t="inlineStr">
        <is>
          <t>W18</t>
        </is>
      </c>
      <c r="O715" s="36" t="n">
        <v>46378</v>
      </c>
      <c r="P715" s="30">
        <f>IF(F715&lt;&gt;"","✅ 완료",IF(O715="","-",IF(TODAY()&gt;O715,"🚨 지연","⏳ 예정")))</f>
        <v/>
      </c>
      <c r="Q715" s="7" t="n"/>
      <c r="R715" s="7" t="n"/>
      <c r="S715" s="7" t="n"/>
      <c r="T715" s="7" t="n"/>
      <c r="U715" s="7" t="n"/>
      <c r="V715" s="7" t="n"/>
      <c r="W715" s="7" t="n"/>
      <c r="X715" s="7" t="n"/>
    </row>
    <row r="716" ht="21.75" customHeight="1" s="209">
      <c r="A716" s="28" t="n">
        <v>713</v>
      </c>
      <c r="B716" s="28" t="inlineStr">
        <is>
          <t>13072</t>
        </is>
      </c>
      <c r="C716" s="30" t="inlineStr">
        <is>
          <t>Pro</t>
        </is>
      </c>
      <c r="D716" s="32" t="inlineStr">
        <is>
          <t>[Pro] 병사관리</t>
        </is>
      </c>
      <c r="E716" s="28" t="inlineStr">
        <is>
          <t>최적화 / 고급 알고리즘</t>
        </is>
      </c>
      <c r="F716" s="28" t="n"/>
      <c r="G716" s="28" t="n"/>
      <c r="H716" s="28" t="n"/>
      <c r="I716" s="28" t="n"/>
      <c r="J716" s="54">
        <f>IF(OR(ISNUMBER(SEARCH("보류",K716)),ISNUMBER(SEARCH("미룸",K716)),ISNUMBER(SEARCH("나중에",K716)),ISNUMBER(SEARCH("보류",L716)),ISNUMBER(SEARCH("미룸",L716)),ISNUMBER(SEARCH("나중에",L716))),"보류(나중에 풀기)",IF(AND(F716="",G716="",H716="",I716=""),"미완료",IF(I716&lt;&gt;"","복습3(마스터)",IF(H716&lt;&gt;"","복습2",IF(G716&lt;&gt;"","복습1",IF(ISNUMBER(SEARCH("제미나이",K716)),"복습대기(AI도움)",IF(ISNUMBER(SEARCH("간당간당",K716)),"복습대기(간당간당)",IF(OR(ISNUMBER(SEARCH("아이디어",K716)),ISNUMBER(SEARCH("시간초과",K716)),ISNUMBER(SEARCH("자료구조",K716)),ISNUMBER(SEARCH("경계값",K716)),ISNUMBER(SEARCH("다른 풀이",K716)),ISNUMBER(SEARCH("또풀기",K716))),"복습대기",IF(OR(ISNUMBER(SEARCH("복습필요없음",K716)),ISNUMBER(SEARCH("자력완벽",K716))),"품(복습불필요)",IF(F716&lt;&gt;"","품","미완료"))))))))))</f>
        <v/>
      </c>
      <c r="K716" s="32" t="inlineStr">
        <is>
          <t>-</t>
        </is>
      </c>
      <c r="L716" s="32" t="n"/>
      <c r="M716" s="28">
        <f>IF(OR(LEFT(J716,2)="보류", LEFT(J716,4)="복습대기", LEFT(J716,3)="복습1", LEFT(J716,3)="복습2"), MAX($M$3:M715)+1, "")</f>
        <v/>
      </c>
      <c r="N716" s="28" t="inlineStr">
        <is>
          <t>W18</t>
        </is>
      </c>
      <c r="O716" s="36" t="n">
        <v>46378</v>
      </c>
      <c r="P716" s="30">
        <f>IF(F716&lt;&gt;"","✅ 완료",IF(O716="","-",IF(TODAY()&gt;O716,"🚨 지연","⏳ 예정")))</f>
        <v/>
      </c>
      <c r="Q716" s="7" t="n"/>
      <c r="R716" s="7" t="n"/>
      <c r="S716" s="7" t="n"/>
      <c r="T716" s="7" t="n"/>
      <c r="U716" s="7" t="n"/>
      <c r="V716" s="7" t="n"/>
      <c r="W716" s="7" t="n"/>
      <c r="X716" s="7" t="n"/>
    </row>
    <row r="717" ht="21.75" customHeight="1" s="209">
      <c r="A717" s="28" t="n">
        <v>714</v>
      </c>
      <c r="B717" s="28" t="inlineStr">
        <is>
          <t>13073</t>
        </is>
      </c>
      <c r="C717" s="30" t="inlineStr">
        <is>
          <t>Pro</t>
        </is>
      </c>
      <c r="D717" s="32" t="inlineStr">
        <is>
          <t>[Pro] 메모장 프로그램</t>
        </is>
      </c>
      <c r="E717" s="28" t="inlineStr">
        <is>
          <t>동적계획법 (DP)</t>
        </is>
      </c>
      <c r="F717" s="28" t="n"/>
      <c r="G717" s="28" t="n"/>
      <c r="H717" s="28" t="n"/>
      <c r="I717" s="28" t="n"/>
      <c r="J717" s="54">
        <f>IF(OR(ISNUMBER(SEARCH("보류",K717)),ISNUMBER(SEARCH("미룸",K717)),ISNUMBER(SEARCH("나중에",K717)),ISNUMBER(SEARCH("보류",L717)),ISNUMBER(SEARCH("미룸",L717)),ISNUMBER(SEARCH("나중에",L717))),"보류(나중에 풀기)",IF(AND(F717="",G717="",H717="",I717=""),"미완료",IF(I717&lt;&gt;"","복습3(마스터)",IF(H717&lt;&gt;"","복습2",IF(G717&lt;&gt;"","복습1",IF(ISNUMBER(SEARCH("제미나이",K717)),"복습대기(AI도움)",IF(ISNUMBER(SEARCH("간당간당",K717)),"복습대기(간당간당)",IF(OR(ISNUMBER(SEARCH("아이디어",K717)),ISNUMBER(SEARCH("시간초과",K717)),ISNUMBER(SEARCH("자료구조",K717)),ISNUMBER(SEARCH("경계값",K717)),ISNUMBER(SEARCH("다른 풀이",K717)),ISNUMBER(SEARCH("또풀기",K717))),"복습대기",IF(OR(ISNUMBER(SEARCH("복습필요없음",K717)),ISNUMBER(SEARCH("자력완벽",K717))),"품(복습불필요)",IF(F717&lt;&gt;"","품","미완료"))))))))))</f>
        <v/>
      </c>
      <c r="K717" s="32" t="inlineStr">
        <is>
          <t>-</t>
        </is>
      </c>
      <c r="L717" s="32" t="n"/>
      <c r="M717" s="28">
        <f>IF(OR(LEFT(J717,2)="보류", LEFT(J717,4)="복습대기", LEFT(J717,3)="복습1", LEFT(J717,3)="복습2"), MAX($M$3:M716)+1, "")</f>
        <v/>
      </c>
      <c r="N717" s="28" t="inlineStr">
        <is>
          <t>W18</t>
        </is>
      </c>
      <c r="O717" s="36" t="n">
        <v>46378</v>
      </c>
      <c r="P717" s="30">
        <f>IF(F717&lt;&gt;"","✅ 완료",IF(O717="","-",IF(TODAY()&gt;O717,"🚨 지연","⏳ 예정")))</f>
        <v/>
      </c>
      <c r="Q717" s="7" t="n"/>
      <c r="R717" s="7" t="n"/>
      <c r="S717" s="7" t="n"/>
      <c r="T717" s="7" t="n"/>
      <c r="U717" s="7" t="n"/>
      <c r="V717" s="7" t="n"/>
      <c r="W717" s="7" t="n"/>
      <c r="X717" s="7" t="n"/>
    </row>
    <row r="718" ht="21.75" customHeight="1" s="209">
      <c r="A718" s="28" t="n">
        <v>715</v>
      </c>
      <c r="B718" s="28" t="inlineStr">
        <is>
          <t>13074</t>
        </is>
      </c>
      <c r="C718" s="30" t="inlineStr">
        <is>
          <t>Pro</t>
        </is>
      </c>
      <c r="D718" s="32" t="inlineStr">
        <is>
          <t>[Pro] 호텔검색서비스</t>
        </is>
      </c>
      <c r="E718" s="28" t="inlineStr">
        <is>
          <t>최적화 / 고급 알고리즘</t>
        </is>
      </c>
      <c r="F718" s="28" t="n"/>
      <c r="G718" s="28" t="n"/>
      <c r="H718" s="28" t="n"/>
      <c r="I718" s="28" t="n"/>
      <c r="J718" s="54">
        <f>IF(OR(ISNUMBER(SEARCH("보류",K718)),ISNUMBER(SEARCH("미룸",K718)),ISNUMBER(SEARCH("나중에",K718)),ISNUMBER(SEARCH("보류",L718)),ISNUMBER(SEARCH("미룸",L718)),ISNUMBER(SEARCH("나중에",L718))),"보류(나중에 풀기)",IF(AND(F718="",G718="",H718="",I718=""),"미완료",IF(I718&lt;&gt;"","복습3(마스터)",IF(H718&lt;&gt;"","복습2",IF(G718&lt;&gt;"","복습1",IF(ISNUMBER(SEARCH("제미나이",K718)),"복습대기(AI도움)",IF(ISNUMBER(SEARCH("간당간당",K718)),"복습대기(간당간당)",IF(OR(ISNUMBER(SEARCH("아이디어",K718)),ISNUMBER(SEARCH("시간초과",K718)),ISNUMBER(SEARCH("자료구조",K718)),ISNUMBER(SEARCH("경계값",K718)),ISNUMBER(SEARCH("다른 풀이",K718)),ISNUMBER(SEARCH("또풀기",K718))),"복습대기",IF(OR(ISNUMBER(SEARCH("복습필요없음",K718)),ISNUMBER(SEARCH("자력완벽",K718))),"품(복습불필요)",IF(F718&lt;&gt;"","품","미완료"))))))))))</f>
        <v/>
      </c>
      <c r="K718" s="32" t="inlineStr">
        <is>
          <t>-</t>
        </is>
      </c>
      <c r="L718" s="32" t="n"/>
      <c r="M718" s="28">
        <f>IF(OR(LEFT(J718,2)="보류", LEFT(J718,4)="복습대기", LEFT(J718,3)="복습1", LEFT(J718,3)="복습2"), MAX($M$3:M717)+1, "")</f>
        <v/>
      </c>
      <c r="N718" s="28" t="inlineStr">
        <is>
          <t>W18</t>
        </is>
      </c>
      <c r="O718" s="36" t="n">
        <v>46379</v>
      </c>
      <c r="P718" s="30">
        <f>IF(F718&lt;&gt;"","✅ 완료",IF(O718="","-",IF(TODAY()&gt;O718,"🚨 지연","⏳ 예정")))</f>
        <v/>
      </c>
      <c r="Q718" s="7" t="n"/>
      <c r="R718" s="7" t="n"/>
      <c r="S718" s="7" t="n"/>
      <c r="T718" s="7" t="n"/>
      <c r="U718" s="7" t="n"/>
      <c r="V718" s="7" t="n"/>
      <c r="W718" s="7" t="n"/>
      <c r="X718" s="7" t="n"/>
    </row>
    <row r="719" ht="21.75" customHeight="1" s="209">
      <c r="A719" s="28" t="n">
        <v>716</v>
      </c>
      <c r="B719" s="28" t="inlineStr">
        <is>
          <t>13075</t>
        </is>
      </c>
      <c r="C719" s="30" t="inlineStr">
        <is>
          <t>Pro</t>
        </is>
      </c>
      <c r="D719" s="32" t="inlineStr">
        <is>
          <t>[Pro] 디렉토리관리</t>
        </is>
      </c>
      <c r="E719" s="28" t="inlineStr">
        <is>
          <t>최적화 / 고급 알고리즘</t>
        </is>
      </c>
      <c r="F719" s="28" t="n"/>
      <c r="G719" s="28" t="n"/>
      <c r="H719" s="28" t="n"/>
      <c r="I719" s="28" t="n"/>
      <c r="J719" s="54">
        <f>IF(OR(ISNUMBER(SEARCH("보류",K719)),ISNUMBER(SEARCH("미룸",K719)),ISNUMBER(SEARCH("나중에",K719)),ISNUMBER(SEARCH("보류",L719)),ISNUMBER(SEARCH("미룸",L719)),ISNUMBER(SEARCH("나중에",L719))),"보류(나중에 풀기)",IF(AND(F719="",G719="",H719="",I719=""),"미완료",IF(I719&lt;&gt;"","복습3(마스터)",IF(H719&lt;&gt;"","복습2",IF(G719&lt;&gt;"","복습1",IF(ISNUMBER(SEARCH("제미나이",K719)),"복습대기(AI도움)",IF(ISNUMBER(SEARCH("간당간당",K719)),"복습대기(간당간당)",IF(OR(ISNUMBER(SEARCH("아이디어",K719)),ISNUMBER(SEARCH("시간초과",K719)),ISNUMBER(SEARCH("자료구조",K719)),ISNUMBER(SEARCH("경계값",K719)),ISNUMBER(SEARCH("다른 풀이",K719)),ISNUMBER(SEARCH("또풀기",K719))),"복습대기",IF(OR(ISNUMBER(SEARCH("복습필요없음",K719)),ISNUMBER(SEARCH("자력완벽",K719))),"품(복습불필요)",IF(F719&lt;&gt;"","품","미완료"))))))))))</f>
        <v/>
      </c>
      <c r="K719" s="32" t="inlineStr">
        <is>
          <t>-</t>
        </is>
      </c>
      <c r="L719" s="32" t="n"/>
      <c r="M719" s="28">
        <f>IF(OR(LEFT(J719,2)="보류", LEFT(J719,4)="복습대기", LEFT(J719,3)="복습1", LEFT(J719,3)="복습2"), MAX($M$3:M718)+1, "")</f>
        <v/>
      </c>
      <c r="N719" s="28" t="inlineStr">
        <is>
          <t>W18</t>
        </is>
      </c>
      <c r="O719" s="36" t="n">
        <v>46379</v>
      </c>
      <c r="P719" s="30">
        <f>IF(F719&lt;&gt;"","✅ 완료",IF(O719="","-",IF(TODAY()&gt;O719,"🚨 지연","⏳ 예정")))</f>
        <v/>
      </c>
      <c r="Q719" s="7" t="n"/>
      <c r="R719" s="7" t="n"/>
      <c r="S719" s="7" t="n"/>
      <c r="T719" s="7" t="n"/>
      <c r="U719" s="7" t="n"/>
      <c r="V719" s="7" t="n"/>
      <c r="W719" s="7" t="n"/>
      <c r="X719" s="7" t="n"/>
    </row>
    <row r="720" ht="21.75" customHeight="1" s="209">
      <c r="A720" s="28" t="n">
        <v>717</v>
      </c>
      <c r="B720" s="28" t="inlineStr">
        <is>
          <t>13076</t>
        </is>
      </c>
      <c r="C720" s="30" t="inlineStr">
        <is>
          <t>Pro</t>
        </is>
      </c>
      <c r="D720" s="32" t="inlineStr">
        <is>
          <t>[Pro] 신소재케이블</t>
        </is>
      </c>
      <c r="E720" s="28" t="inlineStr">
        <is>
          <t>최적화 / 고급 알고리즘</t>
        </is>
      </c>
      <c r="F720" s="28" t="n"/>
      <c r="G720" s="28" t="n"/>
      <c r="H720" s="28" t="n"/>
      <c r="I720" s="28" t="n"/>
      <c r="J720" s="54">
        <f>IF(OR(ISNUMBER(SEARCH("보류",K720)),ISNUMBER(SEARCH("미룸",K720)),ISNUMBER(SEARCH("나중에",K720)),ISNUMBER(SEARCH("보류",L720)),ISNUMBER(SEARCH("미룸",L720)),ISNUMBER(SEARCH("나중에",L720))),"보류(나중에 풀기)",IF(AND(F720="",G720="",H720="",I720=""),"미완료",IF(I720&lt;&gt;"","복습3(마스터)",IF(H720&lt;&gt;"","복습2",IF(G720&lt;&gt;"","복습1",IF(ISNUMBER(SEARCH("제미나이",K720)),"복습대기(AI도움)",IF(ISNUMBER(SEARCH("간당간당",K720)),"복습대기(간당간당)",IF(OR(ISNUMBER(SEARCH("아이디어",K720)),ISNUMBER(SEARCH("시간초과",K720)),ISNUMBER(SEARCH("자료구조",K720)),ISNUMBER(SEARCH("경계값",K720)),ISNUMBER(SEARCH("다른 풀이",K720)),ISNUMBER(SEARCH("또풀기",K720))),"복습대기",IF(OR(ISNUMBER(SEARCH("복습필요없음",K720)),ISNUMBER(SEARCH("자력완벽",K720))),"품(복습불필요)",IF(F720&lt;&gt;"","품","미완료"))))))))))</f>
        <v/>
      </c>
      <c r="K720" s="32" t="inlineStr">
        <is>
          <t>-</t>
        </is>
      </c>
      <c r="L720" s="32" t="n"/>
      <c r="M720" s="28">
        <f>IF(OR(LEFT(J720,2)="보류", LEFT(J720,4)="복습대기", LEFT(J720,3)="복습1", LEFT(J720,3)="복습2"), MAX($M$3:M719)+1, "")</f>
        <v/>
      </c>
      <c r="N720" s="28" t="inlineStr">
        <is>
          <t>W18</t>
        </is>
      </c>
      <c r="O720" s="36" t="n">
        <v>46379</v>
      </c>
      <c r="P720" s="30">
        <f>IF(F720&lt;&gt;"","✅ 완료",IF(O720="","-",IF(TODAY()&gt;O720,"🚨 지연","⏳ 예정")))</f>
        <v/>
      </c>
      <c r="Q720" s="7" t="n"/>
      <c r="R720" s="7" t="n"/>
      <c r="S720" s="7" t="n"/>
      <c r="T720" s="7" t="n"/>
      <c r="U720" s="7" t="n"/>
      <c r="V720" s="7" t="n"/>
      <c r="W720" s="7" t="n"/>
      <c r="X720" s="7" t="n"/>
    </row>
    <row r="721" ht="21.75" customHeight="1" s="209">
      <c r="A721" s="28" t="n">
        <v>718</v>
      </c>
      <c r="B721" s="28" t="inlineStr">
        <is>
          <t>13077</t>
        </is>
      </c>
      <c r="C721" s="30" t="inlineStr">
        <is>
          <t>Pro</t>
        </is>
      </c>
      <c r="D721" s="32" t="inlineStr">
        <is>
          <t>[Pro] 상품권배분</t>
        </is>
      </c>
      <c r="E721" s="28" t="inlineStr">
        <is>
          <t>최적화 / 고급 알고리즘</t>
        </is>
      </c>
      <c r="F721" s="28" t="n"/>
      <c r="G721" s="28" t="n"/>
      <c r="H721" s="28" t="n"/>
      <c r="I721" s="28" t="n"/>
      <c r="J721" s="54">
        <f>IF(OR(ISNUMBER(SEARCH("보류",K721)),ISNUMBER(SEARCH("미룸",K721)),ISNUMBER(SEARCH("나중에",K721)),ISNUMBER(SEARCH("보류",L721)),ISNUMBER(SEARCH("미룸",L721)),ISNUMBER(SEARCH("나중에",L721))),"보류(나중에 풀기)",IF(AND(F721="",G721="",H721="",I721=""),"미완료",IF(I721&lt;&gt;"","복습3(마스터)",IF(H721&lt;&gt;"","복습2",IF(G721&lt;&gt;"","복습1",IF(ISNUMBER(SEARCH("제미나이",K721)),"복습대기(AI도움)",IF(ISNUMBER(SEARCH("간당간당",K721)),"복습대기(간당간당)",IF(OR(ISNUMBER(SEARCH("아이디어",K721)),ISNUMBER(SEARCH("시간초과",K721)),ISNUMBER(SEARCH("자료구조",K721)),ISNUMBER(SEARCH("경계값",K721)),ISNUMBER(SEARCH("다른 풀이",K721)),ISNUMBER(SEARCH("또풀기",K721))),"복습대기",IF(OR(ISNUMBER(SEARCH("복습필요없음",K721)),ISNUMBER(SEARCH("자력완벽",K721))),"품(복습불필요)",IF(F721&lt;&gt;"","품","미완료"))))))))))</f>
        <v/>
      </c>
      <c r="K721" s="32" t="inlineStr">
        <is>
          <t>-</t>
        </is>
      </c>
      <c r="L721" s="32" t="n"/>
      <c r="M721" s="28">
        <f>IF(OR(LEFT(J721,2)="보류", LEFT(J721,4)="복습대기", LEFT(J721,3)="복습1", LEFT(J721,3)="복습2"), MAX($M$3:M720)+1, "")</f>
        <v/>
      </c>
      <c r="N721" s="28" t="inlineStr">
        <is>
          <t>W18</t>
        </is>
      </c>
      <c r="O721" s="36" t="n">
        <v>46379</v>
      </c>
      <c r="P721" s="30">
        <f>IF(F721&lt;&gt;"","✅ 완료",IF(O721="","-",IF(TODAY()&gt;O721,"🚨 지연","⏳ 예정")))</f>
        <v/>
      </c>
      <c r="Q721" s="7" t="n"/>
      <c r="R721" s="7" t="n"/>
      <c r="S721" s="7" t="n"/>
      <c r="T721" s="7" t="n"/>
      <c r="U721" s="7" t="n"/>
      <c r="V721" s="7" t="n"/>
      <c r="W721" s="7" t="n"/>
      <c r="X721" s="7" t="n"/>
    </row>
    <row r="722" ht="21.75" customHeight="1" s="209">
      <c r="A722" s="28" t="n">
        <v>719</v>
      </c>
      <c r="B722" s="28" t="inlineStr">
        <is>
          <t>13078</t>
        </is>
      </c>
      <c r="C722" s="30" t="inlineStr">
        <is>
          <t>Pro</t>
        </is>
      </c>
      <c r="D722" s="32" t="inlineStr">
        <is>
          <t>[Pro] 성적조회</t>
        </is>
      </c>
      <c r="E722" s="28" t="inlineStr">
        <is>
          <t>최적화 / 고급 알고리즘</t>
        </is>
      </c>
      <c r="F722" s="28" t="n"/>
      <c r="G722" s="28" t="n"/>
      <c r="H722" s="28" t="n"/>
      <c r="I722" s="28" t="n"/>
      <c r="J722" s="54">
        <f>IF(OR(ISNUMBER(SEARCH("보류",K722)),ISNUMBER(SEARCH("미룸",K722)),ISNUMBER(SEARCH("나중에",K722)),ISNUMBER(SEARCH("보류",L722)),ISNUMBER(SEARCH("미룸",L722)),ISNUMBER(SEARCH("나중에",L722))),"보류(나중에 풀기)",IF(AND(F722="",G722="",H722="",I722=""),"미완료",IF(I722&lt;&gt;"","복습3(마스터)",IF(H722&lt;&gt;"","복습2",IF(G722&lt;&gt;"","복습1",IF(ISNUMBER(SEARCH("제미나이",K722)),"복습대기(AI도움)",IF(ISNUMBER(SEARCH("간당간당",K722)),"복습대기(간당간당)",IF(OR(ISNUMBER(SEARCH("아이디어",K722)),ISNUMBER(SEARCH("시간초과",K722)),ISNUMBER(SEARCH("자료구조",K722)),ISNUMBER(SEARCH("경계값",K722)),ISNUMBER(SEARCH("다른 풀이",K722)),ISNUMBER(SEARCH("또풀기",K722))),"복습대기",IF(OR(ISNUMBER(SEARCH("복습필요없음",K722)),ISNUMBER(SEARCH("자력완벽",K722))),"품(복습불필요)",IF(F722&lt;&gt;"","품","미완료"))))))))))</f>
        <v/>
      </c>
      <c r="K722" s="32" t="inlineStr">
        <is>
          <t>-</t>
        </is>
      </c>
      <c r="L722" s="32" t="n"/>
      <c r="M722" s="28">
        <f>IF(OR(LEFT(J722,2)="보류", LEFT(J722,4)="복습대기", LEFT(J722,3)="복습1", LEFT(J722,3)="복습2"), MAX($M$3:M721)+1, "")</f>
        <v/>
      </c>
      <c r="N722" s="28" t="inlineStr">
        <is>
          <t>W18</t>
        </is>
      </c>
      <c r="O722" s="36" t="n">
        <v>46379</v>
      </c>
      <c r="P722" s="30">
        <f>IF(F722&lt;&gt;"","✅ 완료",IF(O722="","-",IF(TODAY()&gt;O722,"🚨 지연","⏳ 예정")))</f>
        <v/>
      </c>
      <c r="Q722" s="7" t="n"/>
      <c r="R722" s="7" t="n"/>
      <c r="S722" s="7" t="n"/>
      <c r="T722" s="7" t="n"/>
      <c r="U722" s="7" t="n"/>
      <c r="V722" s="7" t="n"/>
      <c r="W722" s="7" t="n"/>
      <c r="X722" s="7" t="n"/>
    </row>
    <row r="723" ht="21.75" customHeight="1" s="209">
      <c r="A723" s="28" t="n">
        <v>720</v>
      </c>
      <c r="B723" s="28" t="inlineStr">
        <is>
          <t>1768</t>
        </is>
      </c>
      <c r="C723" s="30" t="inlineStr">
        <is>
          <t>기타</t>
        </is>
      </c>
      <c r="D723" s="32" t="inlineStr">
        <is>
          <t>숫자야구게임</t>
        </is>
      </c>
      <c r="E723" s="28" t="inlineStr">
        <is>
          <t>시뮬레이션 / 구현</t>
        </is>
      </c>
      <c r="F723" s="28" t="n"/>
      <c r="G723" s="28" t="n"/>
      <c r="H723" s="28" t="n"/>
      <c r="I723" s="28" t="n"/>
      <c r="J723" s="54">
        <f>IF(OR(ISNUMBER(SEARCH("보류",K723)),ISNUMBER(SEARCH("미룸",K723)),ISNUMBER(SEARCH("나중에",K723)),ISNUMBER(SEARCH("보류",L723)),ISNUMBER(SEARCH("미룸",L723)),ISNUMBER(SEARCH("나중에",L723))),"보류(나중에 풀기)",IF(AND(F723="",G723="",H723="",I723=""),"미완료",IF(I723&lt;&gt;"","복습3(마스터)",IF(H723&lt;&gt;"","복습2",IF(G723&lt;&gt;"","복습1",IF(ISNUMBER(SEARCH("제미나이",K723)),"복습대기(AI도움)",IF(ISNUMBER(SEARCH("간당간당",K723)),"복습대기(간당간당)",IF(OR(ISNUMBER(SEARCH("아이디어",K723)),ISNUMBER(SEARCH("시간초과",K723)),ISNUMBER(SEARCH("자료구조",K723)),ISNUMBER(SEARCH("경계값",K723)),ISNUMBER(SEARCH("다른 풀이",K723)),ISNUMBER(SEARCH("또풀기",K723))),"복습대기",IF(OR(ISNUMBER(SEARCH("복습필요없음",K723)),ISNUMBER(SEARCH("자력완벽",K723))),"품(복습불필요)",IF(F723&lt;&gt;"","품","미완료"))))))))))</f>
        <v/>
      </c>
      <c r="K723" s="32" t="inlineStr">
        <is>
          <t>-</t>
        </is>
      </c>
      <c r="L723" s="32" t="n"/>
      <c r="M723" s="28">
        <f>IF(OR(LEFT(J723,2)="보류", LEFT(J723,4)="복습대기", LEFT(J723,3)="복습1", LEFT(J723,3)="복습2"), MAX($M$3:M722)+1, "")</f>
        <v/>
      </c>
      <c r="N723" s="28" t="inlineStr">
        <is>
          <t>W18</t>
        </is>
      </c>
      <c r="O723" s="36" t="n">
        <v>46379</v>
      </c>
      <c r="P723" s="30">
        <f>IF(F723&lt;&gt;"","✅ 완료",IF(O723="","-",IF(TODAY()&gt;O723,"🚨 지연","⏳ 예정")))</f>
        <v/>
      </c>
      <c r="Q723" s="7" t="n"/>
      <c r="R723" s="7" t="n"/>
      <c r="S723" s="7" t="n"/>
      <c r="T723" s="7" t="n"/>
      <c r="U723" s="7" t="n"/>
      <c r="V723" s="7" t="n"/>
      <c r="W723" s="7" t="n"/>
      <c r="X723" s="7" t="n"/>
    </row>
    <row r="724" ht="21.75" customHeight="1" s="209">
      <c r="A724" s="28" t="n">
        <v>721</v>
      </c>
      <c r="B724" s="28" t="inlineStr">
        <is>
          <t>4248</t>
        </is>
      </c>
      <c r="C724" s="30" t="inlineStr">
        <is>
          <t>기타</t>
        </is>
      </c>
      <c r="D724" s="32" t="inlineStr">
        <is>
          <t>유사 증가 수열</t>
        </is>
      </c>
      <c r="E724" s="28" t="inlineStr">
        <is>
          <t>동적계획법 (DP)</t>
        </is>
      </c>
      <c r="F724" s="28" t="n"/>
      <c r="G724" s="28" t="n"/>
      <c r="H724" s="28" t="n"/>
      <c r="I724" s="28" t="n"/>
      <c r="J724" s="54">
        <f>IF(OR(ISNUMBER(SEARCH("보류",K724)),ISNUMBER(SEARCH("미룸",K724)),ISNUMBER(SEARCH("나중에",K724)),ISNUMBER(SEARCH("보류",L724)),ISNUMBER(SEARCH("미룸",L724)),ISNUMBER(SEARCH("나중에",L724))),"보류(나중에 풀기)",IF(AND(F724="",G724="",H724="",I724=""),"미완료",IF(I724&lt;&gt;"","복습3(마스터)",IF(H724&lt;&gt;"","복습2",IF(G724&lt;&gt;"","복습1",IF(ISNUMBER(SEARCH("제미나이",K724)),"복습대기(AI도움)",IF(ISNUMBER(SEARCH("간당간당",K724)),"복습대기(간당간당)",IF(OR(ISNUMBER(SEARCH("아이디어",K724)),ISNUMBER(SEARCH("시간초과",K724)),ISNUMBER(SEARCH("자료구조",K724)),ISNUMBER(SEARCH("경계값",K724)),ISNUMBER(SEARCH("다른 풀이",K724)),ISNUMBER(SEARCH("또풀기",K724))),"복습대기",IF(OR(ISNUMBER(SEARCH("복습필요없음",K724)),ISNUMBER(SEARCH("자력완벽",K724))),"품(복습불필요)",IF(F724&lt;&gt;"","품","미완료"))))))))))</f>
        <v/>
      </c>
      <c r="K724" s="32" t="inlineStr">
        <is>
          <t>-</t>
        </is>
      </c>
      <c r="L724" s="32" t="n"/>
      <c r="M724" s="28">
        <f>IF(OR(LEFT(J724,2)="보류", LEFT(J724,4)="복습대기", LEFT(J724,3)="복습1", LEFT(J724,3)="복습2"), MAX($M$3:M723)+1, "")</f>
        <v/>
      </c>
      <c r="N724" s="28" t="inlineStr">
        <is>
          <t>W18</t>
        </is>
      </c>
      <c r="O724" s="36" t="n">
        <v>46379</v>
      </c>
      <c r="P724" s="30">
        <f>IF(F724&lt;&gt;"","✅ 완료",IF(O724="","-",IF(TODAY()&gt;O724,"🚨 지연","⏳ 예정")))</f>
        <v/>
      </c>
      <c r="Q724" s="7" t="n"/>
      <c r="R724" s="7" t="n"/>
      <c r="S724" s="7" t="n"/>
      <c r="T724" s="7" t="n"/>
      <c r="U724" s="7" t="n"/>
      <c r="V724" s="7" t="n"/>
      <c r="W724" s="7" t="n"/>
      <c r="X724" s="7" t="n"/>
    </row>
    <row r="725" ht="21.75" customHeight="1" s="209">
      <c r="A725" s="28" t="n">
        <v>722</v>
      </c>
      <c r="B725" s="28" t="inlineStr">
        <is>
          <t>4253</t>
        </is>
      </c>
      <c r="C725" s="30" t="inlineStr">
        <is>
          <t>기타</t>
        </is>
      </c>
      <c r="D725" s="32" t="inlineStr">
        <is>
          <t>단축</t>
        </is>
      </c>
      <c r="E725" s="28" t="inlineStr">
        <is>
          <t>알고리즘 구현</t>
        </is>
      </c>
      <c r="F725" s="28" t="n"/>
      <c r="G725" s="28" t="n"/>
      <c r="H725" s="28" t="n"/>
      <c r="I725" s="28" t="n"/>
      <c r="J725" s="54">
        <f>IF(OR(ISNUMBER(SEARCH("보류",K725)),ISNUMBER(SEARCH("미룸",K725)),ISNUMBER(SEARCH("나중에",K725)),ISNUMBER(SEARCH("보류",L725)),ISNUMBER(SEARCH("미룸",L725)),ISNUMBER(SEARCH("나중에",L725))),"보류(나중에 풀기)",IF(AND(F725="",G725="",H725="",I725=""),"미완료",IF(I725&lt;&gt;"","복습3(마스터)",IF(H725&lt;&gt;"","복습2",IF(G725&lt;&gt;"","복습1",IF(ISNUMBER(SEARCH("제미나이",K725)),"복습대기(AI도움)",IF(ISNUMBER(SEARCH("간당간당",K725)),"복습대기(간당간당)",IF(OR(ISNUMBER(SEARCH("아이디어",K725)),ISNUMBER(SEARCH("시간초과",K725)),ISNUMBER(SEARCH("자료구조",K725)),ISNUMBER(SEARCH("경계값",K725)),ISNUMBER(SEARCH("다른 풀이",K725)),ISNUMBER(SEARCH("또풀기",K725))),"복습대기",IF(OR(ISNUMBER(SEARCH("복습필요없음",K725)),ISNUMBER(SEARCH("자력완벽",K725))),"품(복습불필요)",IF(F725&lt;&gt;"","품","미완료"))))))))))</f>
        <v/>
      </c>
      <c r="K725" s="32" t="inlineStr">
        <is>
          <t>-</t>
        </is>
      </c>
      <c r="L725" s="32" t="n"/>
      <c r="M725" s="28">
        <f>IF(OR(LEFT(J725,2)="보류", LEFT(J725,4)="복습대기", LEFT(J725,3)="복습1", LEFT(J725,3)="복습2"), MAX($M$3:M724)+1, "")</f>
        <v/>
      </c>
      <c r="N725" s="28" t="inlineStr">
        <is>
          <t>W18</t>
        </is>
      </c>
      <c r="O725" s="36" t="n">
        <v>46380</v>
      </c>
      <c r="P725" s="30">
        <f>IF(F725&lt;&gt;"","✅ 완료",IF(O725="","-",IF(TODAY()&gt;O725,"🚨 지연","⏳ 예정")))</f>
        <v/>
      </c>
      <c r="Q725" s="7" t="n"/>
      <c r="R725" s="7" t="n"/>
      <c r="S725" s="7" t="n"/>
      <c r="T725" s="7" t="n"/>
      <c r="U725" s="7" t="n"/>
      <c r="V725" s="7" t="n"/>
      <c r="W725" s="7" t="n"/>
      <c r="X725" s="7" t="n"/>
    </row>
    <row r="726" ht="21.75" customHeight="1" s="209">
      <c r="A726" s="28" t="n">
        <v>723</v>
      </c>
      <c r="B726" s="28" t="inlineStr">
        <is>
          <t>4254</t>
        </is>
      </c>
      <c r="C726" s="30" t="inlineStr">
        <is>
          <t>기타</t>
        </is>
      </c>
      <c r="D726" s="32" t="inlineStr">
        <is>
          <t>가장 큰 수 만들기</t>
        </is>
      </c>
      <c r="E726" s="28" t="inlineStr">
        <is>
          <t>알고리즘 구현</t>
        </is>
      </c>
      <c r="F726" s="28" t="n"/>
      <c r="G726" s="28" t="n"/>
      <c r="H726" s="28" t="n"/>
      <c r="I726" s="28" t="n"/>
      <c r="J726" s="54">
        <f>IF(OR(ISNUMBER(SEARCH("보류",K726)),ISNUMBER(SEARCH("미룸",K726)),ISNUMBER(SEARCH("나중에",K726)),ISNUMBER(SEARCH("보류",L726)),ISNUMBER(SEARCH("미룸",L726)),ISNUMBER(SEARCH("나중에",L726))),"보류(나중에 풀기)",IF(AND(F726="",G726="",H726="",I726=""),"미완료",IF(I726&lt;&gt;"","복습3(마스터)",IF(H726&lt;&gt;"","복습2",IF(G726&lt;&gt;"","복습1",IF(ISNUMBER(SEARCH("제미나이",K726)),"복습대기(AI도움)",IF(ISNUMBER(SEARCH("간당간당",K726)),"복습대기(간당간당)",IF(OR(ISNUMBER(SEARCH("아이디어",K726)),ISNUMBER(SEARCH("시간초과",K726)),ISNUMBER(SEARCH("자료구조",K726)),ISNUMBER(SEARCH("경계값",K726)),ISNUMBER(SEARCH("다른 풀이",K726)),ISNUMBER(SEARCH("또풀기",K726))),"복습대기",IF(OR(ISNUMBER(SEARCH("복습필요없음",K726)),ISNUMBER(SEARCH("자력완벽",K726))),"품(복습불필요)",IF(F726&lt;&gt;"","품","미완료"))))))))))</f>
        <v/>
      </c>
      <c r="K726" s="32" t="inlineStr">
        <is>
          <t>-</t>
        </is>
      </c>
      <c r="L726" s="32" t="n"/>
      <c r="M726" s="28">
        <f>IF(OR(LEFT(J726,2)="보류", LEFT(J726,4)="복습대기", LEFT(J726,3)="복습1", LEFT(J726,3)="복습2"), MAX($M$3:M725)+1, "")</f>
        <v/>
      </c>
      <c r="N726" s="28" t="inlineStr">
        <is>
          <t>W18</t>
        </is>
      </c>
      <c r="O726" s="36" t="n">
        <v>46380</v>
      </c>
      <c r="P726" s="30">
        <f>IF(F726&lt;&gt;"","✅ 완료",IF(O726="","-",IF(TODAY()&gt;O726,"🚨 지연","⏳ 예정")))</f>
        <v/>
      </c>
      <c r="Q726" s="7" t="n"/>
      <c r="R726" s="7" t="n"/>
      <c r="S726" s="7" t="n"/>
      <c r="T726" s="7" t="n"/>
      <c r="U726" s="7" t="n"/>
      <c r="V726" s="7" t="n"/>
      <c r="W726" s="7" t="n"/>
      <c r="X726" s="7" t="n"/>
    </row>
    <row r="727" ht="21.75" customHeight="1" s="209">
      <c r="A727" s="28" t="n">
        <v>724</v>
      </c>
      <c r="B727" s="28" t="inlineStr">
        <is>
          <t>4311</t>
        </is>
      </c>
      <c r="C727" s="30" t="inlineStr">
        <is>
          <t>기타</t>
        </is>
      </c>
      <c r="D727" s="32" t="inlineStr">
        <is>
          <t>[연습문제] 오래된 스마트폰</t>
        </is>
      </c>
      <c r="E727" s="28" t="inlineStr">
        <is>
          <t>알고리즘 구현</t>
        </is>
      </c>
      <c r="F727" s="28" t="n"/>
      <c r="G727" s="28" t="n"/>
      <c r="H727" s="28" t="n"/>
      <c r="I727" s="28" t="n"/>
      <c r="J727" s="54">
        <f>IF(OR(ISNUMBER(SEARCH("보류",K727)),ISNUMBER(SEARCH("미룸",K727)),ISNUMBER(SEARCH("나중에",K727)),ISNUMBER(SEARCH("보류",L727)),ISNUMBER(SEARCH("미룸",L727)),ISNUMBER(SEARCH("나중에",L727))),"보류(나중에 풀기)",IF(AND(F727="",G727="",H727="",I727=""),"미완료",IF(I727&lt;&gt;"","복습3(마스터)",IF(H727&lt;&gt;"","복습2",IF(G727&lt;&gt;"","복습1",IF(ISNUMBER(SEARCH("제미나이",K727)),"복습대기(AI도움)",IF(ISNUMBER(SEARCH("간당간당",K727)),"복습대기(간당간당)",IF(OR(ISNUMBER(SEARCH("아이디어",K727)),ISNUMBER(SEARCH("시간초과",K727)),ISNUMBER(SEARCH("자료구조",K727)),ISNUMBER(SEARCH("경계값",K727)),ISNUMBER(SEARCH("다른 풀이",K727)),ISNUMBER(SEARCH("또풀기",K727))),"복습대기",IF(OR(ISNUMBER(SEARCH("복습필요없음",K727)),ISNUMBER(SEARCH("자력완벽",K727))),"품(복습불필요)",IF(F727&lt;&gt;"","품","미완료"))))))))))</f>
        <v/>
      </c>
      <c r="K727" s="32" t="inlineStr">
        <is>
          <t>-</t>
        </is>
      </c>
      <c r="L727" s="32" t="n"/>
      <c r="M727" s="28">
        <f>IF(OR(LEFT(J727,2)="보류", LEFT(J727,4)="복습대기", LEFT(J727,3)="복습1", LEFT(J727,3)="복습2"), MAX($M$3:M726)+1, "")</f>
        <v/>
      </c>
      <c r="N727" s="28" t="inlineStr">
        <is>
          <t>W18</t>
        </is>
      </c>
      <c r="O727" s="36" t="n">
        <v>46380</v>
      </c>
      <c r="P727" s="30">
        <f>IF(F727&lt;&gt;"","✅ 완료",IF(O727="","-",IF(TODAY()&gt;O727,"🚨 지연","⏳ 예정")))</f>
        <v/>
      </c>
      <c r="Q727" s="7" t="n"/>
      <c r="R727" s="7" t="n"/>
      <c r="S727" s="7" t="n"/>
      <c r="T727" s="7" t="n"/>
      <c r="U727" s="7" t="n"/>
      <c r="V727" s="7" t="n"/>
      <c r="W727" s="7" t="n"/>
      <c r="X727" s="7" t="n"/>
    </row>
    <row r="728" ht="21.75" customHeight="1" s="209">
      <c r="A728" s="28" t="n">
        <v>725</v>
      </c>
      <c r="B728" s="28" t="inlineStr">
        <is>
          <t>4317</t>
        </is>
      </c>
      <c r="C728" s="30" t="inlineStr">
        <is>
          <t>기타</t>
        </is>
      </c>
      <c r="D728" s="32" t="inlineStr">
        <is>
          <t>[연습문제] 칩 생산</t>
        </is>
      </c>
      <c r="E728" s="28" t="inlineStr">
        <is>
          <t>알고리즘 구현</t>
        </is>
      </c>
      <c r="F728" s="28" t="n"/>
      <c r="G728" s="28" t="n"/>
      <c r="H728" s="28" t="n"/>
      <c r="I728" s="28" t="n"/>
      <c r="J728" s="54">
        <f>IF(OR(ISNUMBER(SEARCH("보류",K728)),ISNUMBER(SEARCH("미룸",K728)),ISNUMBER(SEARCH("나중에",K728)),ISNUMBER(SEARCH("보류",L728)),ISNUMBER(SEARCH("미룸",L728)),ISNUMBER(SEARCH("나중에",L728))),"보류(나중에 풀기)",IF(AND(F728="",G728="",H728="",I728=""),"미완료",IF(I728&lt;&gt;"","복습3(마스터)",IF(H728&lt;&gt;"","복습2",IF(G728&lt;&gt;"","복습1",IF(ISNUMBER(SEARCH("제미나이",K728)),"복습대기(AI도움)",IF(ISNUMBER(SEARCH("간당간당",K728)),"복습대기(간당간당)",IF(OR(ISNUMBER(SEARCH("아이디어",K728)),ISNUMBER(SEARCH("시간초과",K728)),ISNUMBER(SEARCH("자료구조",K728)),ISNUMBER(SEARCH("경계값",K728)),ISNUMBER(SEARCH("다른 풀이",K728)),ISNUMBER(SEARCH("또풀기",K728))),"복습대기",IF(OR(ISNUMBER(SEARCH("복습필요없음",K728)),ISNUMBER(SEARCH("자력완벽",K728))),"품(복습불필요)",IF(F728&lt;&gt;"","품","미완료"))))))))))</f>
        <v/>
      </c>
      <c r="K728" s="32" t="inlineStr">
        <is>
          <t>-</t>
        </is>
      </c>
      <c r="L728" s="32" t="n"/>
      <c r="M728" s="28">
        <f>IF(OR(LEFT(J728,2)="보류", LEFT(J728,4)="복습대기", LEFT(J728,3)="복습1", LEFT(J728,3)="복습2"), MAX($M$3:M727)+1, "")</f>
        <v/>
      </c>
      <c r="N728" s="28" t="inlineStr">
        <is>
          <t>W18</t>
        </is>
      </c>
      <c r="O728" s="36" t="n">
        <v>46380</v>
      </c>
      <c r="P728" s="30">
        <f>IF(F728&lt;&gt;"","✅ 완료",IF(O728="","-",IF(TODAY()&gt;O728,"🚨 지연","⏳ 예정")))</f>
        <v/>
      </c>
      <c r="Q728" s="7" t="n"/>
      <c r="R728" s="7" t="n"/>
      <c r="S728" s="7" t="n"/>
      <c r="T728" s="7" t="n"/>
      <c r="U728" s="7" t="n"/>
      <c r="V728" s="7" t="n"/>
      <c r="W728" s="7" t="n"/>
      <c r="X728" s="7" t="n"/>
    </row>
    <row r="729" ht="21.75" customHeight="1" s="209">
      <c r="A729" s="28" t="n">
        <v>726</v>
      </c>
      <c r="B729" s="28" t="inlineStr">
        <is>
          <t>4322</t>
        </is>
      </c>
      <c r="C729" s="30" t="inlineStr">
        <is>
          <t>기타</t>
        </is>
      </c>
      <c r="D729" s="32" t="inlineStr">
        <is>
          <t>[연습문제] 패킷 처리</t>
        </is>
      </c>
      <c r="E729" s="28" t="inlineStr">
        <is>
          <t>알고리즘 구현</t>
        </is>
      </c>
      <c r="F729" s="28" t="n"/>
      <c r="G729" s="28" t="n"/>
      <c r="H729" s="28" t="n"/>
      <c r="I729" s="28" t="n"/>
      <c r="J729" s="54">
        <f>IF(OR(ISNUMBER(SEARCH("보류",K729)),ISNUMBER(SEARCH("미룸",K729)),ISNUMBER(SEARCH("나중에",K729)),ISNUMBER(SEARCH("보류",L729)),ISNUMBER(SEARCH("미룸",L729)),ISNUMBER(SEARCH("나중에",L729))),"보류(나중에 풀기)",IF(AND(F729="",G729="",H729="",I729=""),"미완료",IF(I729&lt;&gt;"","복습3(마스터)",IF(H729&lt;&gt;"","복습2",IF(G729&lt;&gt;"","복습1",IF(ISNUMBER(SEARCH("제미나이",K729)),"복습대기(AI도움)",IF(ISNUMBER(SEARCH("간당간당",K729)),"복습대기(간당간당)",IF(OR(ISNUMBER(SEARCH("아이디어",K729)),ISNUMBER(SEARCH("시간초과",K729)),ISNUMBER(SEARCH("자료구조",K729)),ISNUMBER(SEARCH("경계값",K729)),ISNUMBER(SEARCH("다른 풀이",K729)),ISNUMBER(SEARCH("또풀기",K729))),"복습대기",IF(OR(ISNUMBER(SEARCH("복습필요없음",K729)),ISNUMBER(SEARCH("자력완벽",K729))),"품(복습불필요)",IF(F729&lt;&gt;"","품","미완료"))))))))))</f>
        <v/>
      </c>
      <c r="K729" s="32" t="inlineStr">
        <is>
          <t>-</t>
        </is>
      </c>
      <c r="L729" s="32" t="n"/>
      <c r="M729" s="28">
        <f>IF(OR(LEFT(J729,2)="보류", LEFT(J729,4)="복습대기", LEFT(J729,3)="복습1", LEFT(J729,3)="복습2"), MAX($M$3:M728)+1, "")</f>
        <v/>
      </c>
      <c r="N729" s="28" t="inlineStr">
        <is>
          <t>W18</t>
        </is>
      </c>
      <c r="O729" s="36" t="n">
        <v>46380</v>
      </c>
      <c r="P729" s="30">
        <f>IF(F729&lt;&gt;"","✅ 완료",IF(O729="","-",IF(TODAY()&gt;O729,"🚨 지연","⏳ 예정")))</f>
        <v/>
      </c>
      <c r="Q729" s="7" t="n"/>
      <c r="R729" s="7" t="n"/>
      <c r="S729" s="7" t="n"/>
      <c r="T729" s="7" t="n"/>
      <c r="U729" s="7" t="n"/>
      <c r="V729" s="7" t="n"/>
      <c r="W729" s="7" t="n"/>
      <c r="X729" s="7" t="n"/>
    </row>
    <row r="730" ht="21.75" customHeight="1" s="209">
      <c r="A730" s="28" t="n">
        <v>727</v>
      </c>
      <c r="B730" s="28" t="inlineStr">
        <is>
          <t>4335</t>
        </is>
      </c>
      <c r="C730" s="30" t="inlineStr">
        <is>
          <t>기타</t>
        </is>
      </c>
      <c r="D730" s="32" t="inlineStr">
        <is>
          <t>[연습문제] 무인도 탈출</t>
        </is>
      </c>
      <c r="E730" s="28" t="inlineStr">
        <is>
          <t>BFS (너비우선탐색)</t>
        </is>
      </c>
      <c r="F730" s="28" t="n"/>
      <c r="G730" s="28" t="n"/>
      <c r="H730" s="28" t="n"/>
      <c r="I730" s="28" t="n"/>
      <c r="J730" s="54">
        <f>IF(OR(ISNUMBER(SEARCH("보류",K730)),ISNUMBER(SEARCH("미룸",K730)),ISNUMBER(SEARCH("나중에",K730)),ISNUMBER(SEARCH("보류",L730)),ISNUMBER(SEARCH("미룸",L730)),ISNUMBER(SEARCH("나중에",L730))),"보류(나중에 풀기)",IF(AND(F730="",G730="",H730="",I730=""),"미완료",IF(I730&lt;&gt;"","복습3(마스터)",IF(H730&lt;&gt;"","복습2",IF(G730&lt;&gt;"","복습1",IF(ISNUMBER(SEARCH("제미나이",K730)),"복습대기(AI도움)",IF(ISNUMBER(SEARCH("간당간당",K730)),"복습대기(간당간당)",IF(OR(ISNUMBER(SEARCH("아이디어",K730)),ISNUMBER(SEARCH("시간초과",K730)),ISNUMBER(SEARCH("자료구조",K730)),ISNUMBER(SEARCH("경계값",K730)),ISNUMBER(SEARCH("다른 풀이",K730)),ISNUMBER(SEARCH("또풀기",K730))),"복습대기",IF(OR(ISNUMBER(SEARCH("복습필요없음",K730)),ISNUMBER(SEARCH("자력완벽",K730))),"품(복습불필요)",IF(F730&lt;&gt;"","품","미완료"))))))))))</f>
        <v/>
      </c>
      <c r="K730" s="32" t="inlineStr">
        <is>
          <t>-</t>
        </is>
      </c>
      <c r="L730" s="32" t="n"/>
      <c r="M730" s="28">
        <f>IF(OR(LEFT(J730,2)="보류", LEFT(J730,4)="복습대기", LEFT(J730,3)="복습1", LEFT(J730,3)="복습2"), MAX($M$3:M729)+1, "")</f>
        <v/>
      </c>
      <c r="N730" s="28" t="inlineStr">
        <is>
          <t>W18</t>
        </is>
      </c>
      <c r="O730" s="36" t="n">
        <v>46380</v>
      </c>
      <c r="P730" s="30">
        <f>IF(F730&lt;&gt;"","✅ 완료",IF(O730="","-",IF(TODAY()&gt;O730,"🚨 지연","⏳ 예정")))</f>
        <v/>
      </c>
      <c r="Q730" s="7" t="n"/>
      <c r="R730" s="7" t="n"/>
      <c r="S730" s="7" t="n"/>
      <c r="T730" s="7" t="n"/>
      <c r="U730" s="7" t="n"/>
      <c r="V730" s="7" t="n"/>
      <c r="W730" s="7" t="n"/>
      <c r="X730" s="7" t="n"/>
    </row>
    <row r="731" ht="21.75" customHeight="1" s="209">
      <c r="A731" s="28" t="n">
        <v>728</v>
      </c>
      <c r="B731" s="28" t="inlineStr">
        <is>
          <t>4340</t>
        </is>
      </c>
      <c r="C731" s="30" t="inlineStr">
        <is>
          <t>기타</t>
        </is>
      </c>
      <c r="D731" s="32" t="inlineStr">
        <is>
          <t>[연습문제] 파이프 연결</t>
        </is>
      </c>
      <c r="E731" s="28" t="inlineStr">
        <is>
          <t>자료구조 (스택/큐/리스트)</t>
        </is>
      </c>
      <c r="F731" s="28" t="n"/>
      <c r="G731" s="28" t="n"/>
      <c r="H731" s="28" t="n"/>
      <c r="I731" s="28" t="n"/>
      <c r="J731" s="54">
        <f>IF(OR(ISNUMBER(SEARCH("보류",K731)),ISNUMBER(SEARCH("미룸",K731)),ISNUMBER(SEARCH("나중에",K731)),ISNUMBER(SEARCH("보류",L731)),ISNUMBER(SEARCH("미룸",L731)),ISNUMBER(SEARCH("나중에",L731))),"보류(나중에 풀기)",IF(AND(F731="",G731="",H731="",I731=""),"미완료",IF(I731&lt;&gt;"","복습3(마스터)",IF(H731&lt;&gt;"","복습2",IF(G731&lt;&gt;"","복습1",IF(ISNUMBER(SEARCH("제미나이",K731)),"복습대기(AI도움)",IF(ISNUMBER(SEARCH("간당간당",K731)),"복습대기(간당간당)",IF(OR(ISNUMBER(SEARCH("아이디어",K731)),ISNUMBER(SEARCH("시간초과",K731)),ISNUMBER(SEARCH("자료구조",K731)),ISNUMBER(SEARCH("경계값",K731)),ISNUMBER(SEARCH("다른 풀이",K731)),ISNUMBER(SEARCH("또풀기",K731))),"복습대기",IF(OR(ISNUMBER(SEARCH("복습필요없음",K731)),ISNUMBER(SEARCH("자력완벽",K731))),"품(복습불필요)",IF(F731&lt;&gt;"","품","미완료"))))))))))</f>
        <v/>
      </c>
      <c r="K731" s="32" t="inlineStr">
        <is>
          <t>-</t>
        </is>
      </c>
      <c r="L731" s="32" t="n"/>
      <c r="M731" s="28">
        <f>IF(OR(LEFT(J731,2)="보류", LEFT(J731,4)="복습대기", LEFT(J731,3)="복습1", LEFT(J731,3)="복습2"), MAX($M$3:M730)+1, "")</f>
        <v/>
      </c>
      <c r="N731" s="28" t="inlineStr">
        <is>
          <t>W18</t>
        </is>
      </c>
      <c r="O731" s="36" t="n">
        <v>46380</v>
      </c>
      <c r="P731" s="30">
        <f>IF(F731&lt;&gt;"","✅ 완료",IF(O731="","-",IF(TODAY()&gt;O731,"🚨 지연","⏳ 예정")))</f>
        <v/>
      </c>
      <c r="Q731" s="7" t="n"/>
      <c r="R731" s="7" t="n"/>
      <c r="S731" s="7" t="n"/>
      <c r="T731" s="7" t="n"/>
      <c r="U731" s="7" t="n"/>
      <c r="V731" s="7" t="n"/>
      <c r="W731" s="7" t="n"/>
      <c r="X731" s="7" t="n"/>
    </row>
    <row r="732" ht="21.75" customHeight="1" s="209">
      <c r="A732" s="28" t="n">
        <v>729</v>
      </c>
      <c r="B732" s="28" t="inlineStr">
        <is>
          <t>9007</t>
        </is>
      </c>
      <c r="C732" s="30" t="inlineStr">
        <is>
          <t>기타</t>
        </is>
      </c>
      <c r="D732" s="32" t="inlineStr">
        <is>
          <t>세젤예 어플리케이션</t>
        </is>
      </c>
      <c r="E732" s="28" t="inlineStr">
        <is>
          <t>알고리즘 구현</t>
        </is>
      </c>
      <c r="F732" s="28" t="n"/>
      <c r="G732" s="28" t="n"/>
      <c r="H732" s="28" t="n"/>
      <c r="I732" s="28" t="n"/>
      <c r="J732" s="54">
        <f>IF(OR(ISNUMBER(SEARCH("보류",K732)),ISNUMBER(SEARCH("미룸",K732)),ISNUMBER(SEARCH("나중에",K732)),ISNUMBER(SEARCH("보류",L732)),ISNUMBER(SEARCH("미룸",L732)),ISNUMBER(SEARCH("나중에",L732))),"보류(나중에 풀기)",IF(AND(F732="",G732="",H732="",I732=""),"미완료",IF(I732&lt;&gt;"","복습3(마스터)",IF(H732&lt;&gt;"","복습2",IF(G732&lt;&gt;"","복습1",IF(ISNUMBER(SEARCH("제미나이",K732)),"복습대기(AI도움)",IF(ISNUMBER(SEARCH("간당간당",K732)),"복습대기(간당간당)",IF(OR(ISNUMBER(SEARCH("아이디어",K732)),ISNUMBER(SEARCH("시간초과",K732)),ISNUMBER(SEARCH("자료구조",K732)),ISNUMBER(SEARCH("경계값",K732)),ISNUMBER(SEARCH("다른 풀이",K732)),ISNUMBER(SEARCH("또풀기",K732))),"복습대기",IF(OR(ISNUMBER(SEARCH("복습필요없음",K732)),ISNUMBER(SEARCH("자력완벽",K732))),"품(복습불필요)",IF(F732&lt;&gt;"","품","미완료"))))))))))</f>
        <v/>
      </c>
      <c r="K732" s="32" t="inlineStr">
        <is>
          <t>-</t>
        </is>
      </c>
      <c r="L732" s="32" t="n"/>
      <c r="M732" s="28">
        <f>IF(OR(LEFT(J732,2)="보류", LEFT(J732,4)="복습대기", LEFT(J732,3)="복습1", LEFT(J732,3)="복습2"), MAX($M$3:M731)+1, "")</f>
        <v/>
      </c>
      <c r="N732" s="28" t="inlineStr">
        <is>
          <t>W18</t>
        </is>
      </c>
      <c r="O732" s="36" t="n">
        <v>46381</v>
      </c>
      <c r="P732" s="30">
        <f>IF(F732&lt;&gt;"","✅ 완료",IF(O732="","-",IF(TODAY()&gt;O732,"🚨 지연","⏳ 예정")))</f>
        <v/>
      </c>
      <c r="Q732" s="7" t="n"/>
      <c r="R732" s="7" t="n"/>
      <c r="S732" s="7" t="n"/>
      <c r="T732" s="7" t="n"/>
      <c r="U732" s="7" t="n"/>
      <c r="V732" s="7" t="n"/>
      <c r="W732" s="7" t="n"/>
      <c r="X732" s="7" t="n"/>
    </row>
    <row r="733" ht="21.75" customHeight="1" s="209">
      <c r="A733" s="28" t="n">
        <v>730</v>
      </c>
      <c r="B733" s="28" t="inlineStr">
        <is>
          <t>7206</t>
        </is>
      </c>
      <c r="C733" s="30" t="inlineStr">
        <is>
          <t>D5</t>
        </is>
      </c>
      <c r="D733" s="32" t="inlineStr">
        <is>
          <t>숫자게임</t>
        </is>
      </c>
      <c r="E733" s="28" t="inlineStr">
        <is>
          <t>시뮬레이션 / 구현</t>
        </is>
      </c>
      <c r="F733" s="28" t="n"/>
      <c r="G733" s="28" t="n"/>
      <c r="H733" s="28" t="n"/>
      <c r="I733" s="28" t="n"/>
      <c r="J733" s="54">
        <f>IF(OR(ISNUMBER(SEARCH("보류",K733)),ISNUMBER(SEARCH("미룸",K733)),ISNUMBER(SEARCH("나중에",K733)),ISNUMBER(SEARCH("보류",L733)),ISNUMBER(SEARCH("미룸",L733)),ISNUMBER(SEARCH("나중에",L733))),"보류(나중에 풀기)",IF(AND(F733="",G733="",H733="",I733=""),"미완료",IF(I733&lt;&gt;"","복습3(마스터)",IF(H733&lt;&gt;"","복습2",IF(G733&lt;&gt;"","복습1",IF(ISNUMBER(SEARCH("제미나이",K733)),"복습대기(AI도움)",IF(ISNUMBER(SEARCH("간당간당",K733)),"복습대기(간당간당)",IF(OR(ISNUMBER(SEARCH("아이디어",K733)),ISNUMBER(SEARCH("시간초과",K733)),ISNUMBER(SEARCH("자료구조",K733)),ISNUMBER(SEARCH("경계값",K733)),ISNUMBER(SEARCH("다른 풀이",K733)),ISNUMBER(SEARCH("또풀기",K733))),"복습대기",IF(OR(ISNUMBER(SEARCH("복습필요없음",K733)),ISNUMBER(SEARCH("자력완벽",K733))),"품(복습불필요)",IF(F733&lt;&gt;"","품","미완료"))))))))))</f>
        <v/>
      </c>
      <c r="K733" s="32" t="inlineStr">
        <is>
          <t>-</t>
        </is>
      </c>
      <c r="L733" s="32" t="n"/>
      <c r="M733" s="28">
        <f>IF(OR(LEFT(J733,2)="보류", LEFT(J733,4)="복습대기", LEFT(J733,3)="복습1", LEFT(J733,3)="복습2"), MAX($M$3:M732)+1, "")</f>
        <v/>
      </c>
      <c r="N733" s="28" t="inlineStr">
        <is>
          <t>W18</t>
        </is>
      </c>
      <c r="O733" s="36" t="n">
        <v>46381</v>
      </c>
      <c r="P733" s="30">
        <f>IF(F733&lt;&gt;"","✅ 완료",IF(O733="","-",IF(TODAY()&gt;O733,"🚨 지연","⏳ 예정")))</f>
        <v/>
      </c>
      <c r="Q733" s="7" t="n"/>
      <c r="R733" s="7" t="n"/>
      <c r="S733" s="7" t="n"/>
      <c r="T733" s="7" t="n"/>
      <c r="U733" s="7" t="n"/>
      <c r="V733" s="7" t="n"/>
      <c r="W733" s="7" t="n"/>
      <c r="X733" s="7" t="n"/>
    </row>
    <row r="734" ht="21.75" customHeight="1" s="209">
      <c r="A734" s="28" t="n">
        <v>731</v>
      </c>
      <c r="B734" s="28" t="inlineStr">
        <is>
          <t>1263</t>
        </is>
      </c>
      <c r="C734" s="30" t="inlineStr">
        <is>
          <t>D6</t>
        </is>
      </c>
      <c r="D734" s="32" t="inlineStr">
        <is>
          <t>사람 네트워크2</t>
        </is>
      </c>
      <c r="E734" s="28" t="inlineStr">
        <is>
          <t>동적계획법 (DP) / 그래프</t>
        </is>
      </c>
      <c r="F734" s="28" t="n"/>
      <c r="G734" s="28" t="n"/>
      <c r="H734" s="28" t="n"/>
      <c r="I734" s="28" t="n"/>
      <c r="J734" s="54">
        <f>IF(OR(ISNUMBER(SEARCH("보류",K734)),ISNUMBER(SEARCH("미룸",K734)),ISNUMBER(SEARCH("나중에",K734)),ISNUMBER(SEARCH("보류",L734)),ISNUMBER(SEARCH("미룸",L734)),ISNUMBER(SEARCH("나중에",L734))),"보류(나중에 풀기)",IF(AND(F734="",G734="",H734="",I734=""),"미완료",IF(I734&lt;&gt;"","복습3(마스터)",IF(H734&lt;&gt;"","복습2",IF(G734&lt;&gt;"","복습1",IF(ISNUMBER(SEARCH("제미나이",K734)),"복습대기(AI도움)",IF(ISNUMBER(SEARCH("간당간당",K734)),"복습대기(간당간당)",IF(OR(ISNUMBER(SEARCH("아이디어",K734)),ISNUMBER(SEARCH("시간초과",K734)),ISNUMBER(SEARCH("자료구조",K734)),ISNUMBER(SEARCH("경계값",K734)),ISNUMBER(SEARCH("다른 풀이",K734)),ISNUMBER(SEARCH("또풀기",K734))),"복습대기",IF(OR(ISNUMBER(SEARCH("복습필요없음",K734)),ISNUMBER(SEARCH("자력완벽",K734))),"품(복습불필요)",IF(F734&lt;&gt;"","품","미완료"))))))))))</f>
        <v/>
      </c>
      <c r="K734" s="32" t="inlineStr">
        <is>
          <t>-</t>
        </is>
      </c>
      <c r="L734" s="32" t="n"/>
      <c r="M734" s="28">
        <f>IF(OR(LEFT(J734,2)="보류", LEFT(J734,4)="복습대기", LEFT(J734,3)="복습1", LEFT(J734,3)="복습2"), MAX($M$3:M733)+1, "")</f>
        <v/>
      </c>
      <c r="N734" s="28" t="inlineStr">
        <is>
          <t>W18</t>
        </is>
      </c>
      <c r="O734" s="36" t="n">
        <v>46381</v>
      </c>
      <c r="P734" s="30">
        <f>IF(F734&lt;&gt;"","✅ 완료",IF(O734="","-",IF(TODAY()&gt;O734,"🚨 지연","⏳ 예정")))</f>
        <v/>
      </c>
      <c r="Q734" s="7" t="n"/>
      <c r="R734" s="7" t="n"/>
      <c r="S734" s="7" t="n"/>
      <c r="T734" s="7" t="n"/>
      <c r="U734" s="7" t="n"/>
      <c r="V734" s="7" t="n"/>
      <c r="W734" s="7" t="n"/>
      <c r="X734" s="7" t="n"/>
    </row>
    <row r="735" ht="21.75" customHeight="1" s="209">
      <c r="A735" s="28" t="n">
        <v>732</v>
      </c>
      <c r="B735" s="28" t="inlineStr">
        <is>
          <t>4070</t>
        </is>
      </c>
      <c r="C735" s="30" t="inlineStr">
        <is>
          <t>D6</t>
        </is>
      </c>
      <c r="D735" s="32" t="inlineStr">
        <is>
          <t>타일링</t>
        </is>
      </c>
      <c r="E735" s="28" t="inlineStr">
        <is>
          <t>동적계획법 (DP) / 그래프</t>
        </is>
      </c>
      <c r="F735" s="28" t="n"/>
      <c r="G735" s="28" t="n"/>
      <c r="H735" s="28" t="n"/>
      <c r="I735" s="28" t="n"/>
      <c r="J735" s="54">
        <f>IF(OR(ISNUMBER(SEARCH("보류",K735)),ISNUMBER(SEARCH("미룸",K735)),ISNUMBER(SEARCH("나중에",K735)),ISNUMBER(SEARCH("보류",L735)),ISNUMBER(SEARCH("미룸",L735)),ISNUMBER(SEARCH("나중에",L735))),"보류(나중에 풀기)",IF(AND(F735="",G735="",H735="",I735=""),"미완료",IF(I735&lt;&gt;"","복습3(마스터)",IF(H735&lt;&gt;"","복습2",IF(G735&lt;&gt;"","복습1",IF(ISNUMBER(SEARCH("제미나이",K735)),"복습대기(AI도움)",IF(ISNUMBER(SEARCH("간당간당",K735)),"복습대기(간당간당)",IF(OR(ISNUMBER(SEARCH("아이디어",K735)),ISNUMBER(SEARCH("시간초과",K735)),ISNUMBER(SEARCH("자료구조",K735)),ISNUMBER(SEARCH("경계값",K735)),ISNUMBER(SEARCH("다른 풀이",K735)),ISNUMBER(SEARCH("또풀기",K735))),"복습대기",IF(OR(ISNUMBER(SEARCH("복습필요없음",K735)),ISNUMBER(SEARCH("자력완벽",K735))),"품(복습불필요)",IF(F735&lt;&gt;"","품","미완료"))))))))))</f>
        <v/>
      </c>
      <c r="K735" s="32" t="inlineStr">
        <is>
          <t>-</t>
        </is>
      </c>
      <c r="L735" s="32" t="n"/>
      <c r="M735" s="28">
        <f>IF(OR(LEFT(J735,2)="보류", LEFT(J735,4)="복습대기", LEFT(J735,3)="복습1", LEFT(J735,3)="복습2"), MAX($M$3:M734)+1, "")</f>
        <v/>
      </c>
      <c r="N735" s="28" t="inlineStr">
        <is>
          <t>W18</t>
        </is>
      </c>
      <c r="O735" s="36" t="n">
        <v>46381</v>
      </c>
      <c r="P735" s="30">
        <f>IF(F735&lt;&gt;"","✅ 완료",IF(O735="","-",IF(TODAY()&gt;O735,"🚨 지연","⏳ 예정")))</f>
        <v/>
      </c>
      <c r="Q735" s="7" t="n"/>
      <c r="R735" s="7" t="n"/>
      <c r="S735" s="7" t="n"/>
      <c r="T735" s="7" t="n"/>
      <c r="U735" s="7" t="n"/>
      <c r="V735" s="7" t="n"/>
      <c r="W735" s="7" t="n"/>
      <c r="X735" s="7" t="n"/>
    </row>
    <row r="736" ht="21.75" customHeight="1" s="209">
      <c r="A736" s="28" t="n">
        <v>733</v>
      </c>
      <c r="B736" s="28" t="inlineStr">
        <is>
          <t>27172</t>
        </is>
      </c>
      <c r="C736" s="30" t="inlineStr">
        <is>
          <t>D6</t>
        </is>
      </c>
      <c r="D736" s="32" t="inlineStr">
        <is>
          <t>태양광 발전 단지 관제 시스템</t>
        </is>
      </c>
      <c r="E736" s="28" t="inlineStr">
        <is>
          <t>동적계획법 (DP) / 그래프</t>
        </is>
      </c>
      <c r="F736" s="28" t="n"/>
      <c r="G736" s="28" t="n"/>
      <c r="H736" s="28" t="n"/>
      <c r="I736" s="28" t="n"/>
      <c r="J736" s="54">
        <f>IF(OR(ISNUMBER(SEARCH("보류",K736)),ISNUMBER(SEARCH("미룸",K736)),ISNUMBER(SEARCH("나중에",K736)),ISNUMBER(SEARCH("보류",L736)),ISNUMBER(SEARCH("미룸",L736)),ISNUMBER(SEARCH("나중에",L736))),"보류(나중에 풀기)",IF(AND(F736="",G736="",H736="",I736=""),"미완료",IF(I736&lt;&gt;"","복습3(마스터)",IF(H736&lt;&gt;"","복습2",IF(G736&lt;&gt;"","복습1",IF(ISNUMBER(SEARCH("제미나이",K736)),"복습대기(AI도움)",IF(ISNUMBER(SEARCH("간당간당",K736)),"복습대기(간당간당)",IF(OR(ISNUMBER(SEARCH("아이디어",K736)),ISNUMBER(SEARCH("시간초과",K736)),ISNUMBER(SEARCH("자료구조",K736)),ISNUMBER(SEARCH("경계값",K736)),ISNUMBER(SEARCH("다른 풀이",K736)),ISNUMBER(SEARCH("또풀기",K736))),"복습대기",IF(OR(ISNUMBER(SEARCH("복습필요없음",K736)),ISNUMBER(SEARCH("자력완벽",K736))),"품(복습불필요)",IF(F736&lt;&gt;"","품","미완료"))))))))))</f>
        <v/>
      </c>
      <c r="K736" s="32" t="inlineStr">
        <is>
          <t>-</t>
        </is>
      </c>
      <c r="L736" s="32" t="n"/>
      <c r="M736" s="28">
        <f>IF(OR(LEFT(J736,2)="보류", LEFT(J736,4)="복습대기", LEFT(J736,3)="복습1", LEFT(J736,3)="복습2"), MAX($M$3:M735)+1, "")</f>
        <v/>
      </c>
      <c r="N736" s="28" t="inlineStr">
        <is>
          <t>W18</t>
        </is>
      </c>
      <c r="O736" s="36" t="n">
        <v>46381</v>
      </c>
      <c r="P736" s="30">
        <f>IF(F736&lt;&gt;"","✅ 완료",IF(O736="","-",IF(TODAY()&gt;O736,"🚨 지연","⏳ 예정")))</f>
        <v/>
      </c>
      <c r="Q736" s="7" t="n"/>
      <c r="R736" s="7" t="n"/>
      <c r="S736" s="7" t="n"/>
      <c r="T736" s="7" t="n"/>
      <c r="U736" s="7" t="n"/>
      <c r="V736" s="7" t="n"/>
      <c r="W736" s="7" t="n"/>
      <c r="X736" s="7" t="n"/>
    </row>
    <row r="737" ht="21.75" customHeight="1" s="209">
      <c r="A737" s="28" t="n">
        <v>734</v>
      </c>
      <c r="B737" s="28" t="inlineStr">
        <is>
          <t>27181</t>
        </is>
      </c>
      <c r="C737" s="30" t="inlineStr">
        <is>
          <t>D6</t>
        </is>
      </c>
      <c r="D737" s="32" t="inlineStr">
        <is>
          <t>공항 활주로 관제 시스템</t>
        </is>
      </c>
      <c r="E737" s="28" t="inlineStr">
        <is>
          <t>동적계획법 (DP) / 그래프</t>
        </is>
      </c>
      <c r="F737" s="28" t="n"/>
      <c r="G737" s="28" t="n"/>
      <c r="H737" s="28" t="n"/>
      <c r="I737" s="28" t="n"/>
      <c r="J737" s="54">
        <f>IF(OR(ISNUMBER(SEARCH("보류",K737)),ISNUMBER(SEARCH("미룸",K737)),ISNUMBER(SEARCH("나중에",K737)),ISNUMBER(SEARCH("보류",L737)),ISNUMBER(SEARCH("미룸",L737)),ISNUMBER(SEARCH("나중에",L737))),"보류(나중에 풀기)",IF(AND(F737="",G737="",H737="",I737=""),"미완료",IF(I737&lt;&gt;"","복습3(마스터)",IF(H737&lt;&gt;"","복습2",IF(G737&lt;&gt;"","복습1",IF(ISNUMBER(SEARCH("제미나이",K737)),"복습대기(AI도움)",IF(ISNUMBER(SEARCH("간당간당",K737)),"복습대기(간당간당)",IF(OR(ISNUMBER(SEARCH("아이디어",K737)),ISNUMBER(SEARCH("시간초과",K737)),ISNUMBER(SEARCH("자료구조",K737)),ISNUMBER(SEARCH("경계값",K737)),ISNUMBER(SEARCH("다른 풀이",K737)),ISNUMBER(SEARCH("또풀기",K737))),"복습대기",IF(OR(ISNUMBER(SEARCH("복습필요없음",K737)),ISNUMBER(SEARCH("자력완벽",K737))),"품(복습불필요)",IF(F737&lt;&gt;"","품","미완료"))))))))))</f>
        <v/>
      </c>
      <c r="K737" s="32" t="inlineStr">
        <is>
          <t>-</t>
        </is>
      </c>
      <c r="L737" s="32" t="n"/>
      <c r="M737" s="28">
        <f>IF(OR(LEFT(J737,2)="보류", LEFT(J737,4)="복습대기", LEFT(J737,3)="복습1", LEFT(J737,3)="복습2"), MAX($M$3:M736)+1, "")</f>
        <v/>
      </c>
      <c r="N737" s="28" t="inlineStr">
        <is>
          <t>W18</t>
        </is>
      </c>
      <c r="O737" s="36" t="n">
        <v>46381</v>
      </c>
      <c r="P737" s="30">
        <f>IF(F737&lt;&gt;"","✅ 완료",IF(O737="","-",IF(TODAY()&gt;O737,"🚨 지연","⏳ 예정")))</f>
        <v/>
      </c>
      <c r="Q737" s="7" t="n"/>
      <c r="R737" s="7" t="n"/>
      <c r="S737" s="7" t="n"/>
      <c r="T737" s="7" t="n"/>
      <c r="U737" s="7" t="n"/>
      <c r="V737" s="7" t="n"/>
      <c r="W737" s="7" t="n"/>
      <c r="X737" s="7" t="n"/>
    </row>
    <row r="738" ht="21.75" customHeight="1" s="209">
      <c r="A738" s="28" t="n">
        <v>735</v>
      </c>
      <c r="B738" s="28" t="inlineStr">
        <is>
          <t>27183</t>
        </is>
      </c>
      <c r="C738" s="30" t="inlineStr">
        <is>
          <t>D6</t>
        </is>
      </c>
      <c r="D738" s="32" t="inlineStr">
        <is>
          <t>고속선 선로 피로도 관제 시스템</t>
        </is>
      </c>
      <c r="E738" s="28" t="inlineStr">
        <is>
          <t>동적계획법 (DP) / 그래프</t>
        </is>
      </c>
      <c r="F738" s="28" t="n"/>
      <c r="G738" s="28" t="n"/>
      <c r="H738" s="28" t="n"/>
      <c r="I738" s="28" t="n"/>
      <c r="J738" s="54">
        <f>IF(OR(ISNUMBER(SEARCH("보류",K738)),ISNUMBER(SEARCH("미룸",K738)),ISNUMBER(SEARCH("나중에",K738)),ISNUMBER(SEARCH("보류",L738)),ISNUMBER(SEARCH("미룸",L738)),ISNUMBER(SEARCH("나중에",L738))),"보류(나중에 풀기)",IF(AND(F738="",G738="",H738="",I738=""),"미완료",IF(I738&lt;&gt;"","복습3(마스터)",IF(H738&lt;&gt;"","복습2",IF(G738&lt;&gt;"","복습1",IF(ISNUMBER(SEARCH("제미나이",K738)),"복습대기(AI도움)",IF(ISNUMBER(SEARCH("간당간당",K738)),"복습대기(간당간당)",IF(OR(ISNUMBER(SEARCH("아이디어",K738)),ISNUMBER(SEARCH("시간초과",K738)),ISNUMBER(SEARCH("자료구조",K738)),ISNUMBER(SEARCH("경계값",K738)),ISNUMBER(SEARCH("다른 풀이",K738)),ISNUMBER(SEARCH("또풀기",K738))),"복습대기",IF(OR(ISNUMBER(SEARCH("복습필요없음",K738)),ISNUMBER(SEARCH("자력완벽",K738))),"품(복습불필요)",IF(F738&lt;&gt;"","품","미완료"))))))))))</f>
        <v/>
      </c>
      <c r="K738" s="32" t="inlineStr">
        <is>
          <t>-</t>
        </is>
      </c>
      <c r="L738" s="32" t="n"/>
      <c r="M738" s="28">
        <f>IF(OR(LEFT(J738,2)="보류", LEFT(J738,4)="복습대기", LEFT(J738,3)="복습1", LEFT(J738,3)="복습2"), MAX($M$3:M737)+1, "")</f>
        <v/>
      </c>
      <c r="N738" s="28" t="inlineStr">
        <is>
          <t>W18</t>
        </is>
      </c>
      <c r="O738" s="36" t="n">
        <v>46381</v>
      </c>
      <c r="P738" s="30">
        <f>IF(F738&lt;&gt;"","✅ 완료",IF(O738="","-",IF(TODAY()&gt;O738,"🚨 지연","⏳ 예정")))</f>
        <v/>
      </c>
      <c r="Q738" s="7" t="n"/>
      <c r="R738" s="7" t="n"/>
      <c r="S738" s="7" t="n"/>
      <c r="T738" s="7" t="n"/>
      <c r="U738" s="7" t="n"/>
      <c r="V738" s="7" t="n"/>
      <c r="W738" s="7" t="n"/>
      <c r="X738" s="7" t="n"/>
    </row>
    <row r="739" ht="21.75" customHeight="1" s="209">
      <c r="A739" s="28" t="n">
        <v>736</v>
      </c>
      <c r="B739" s="28" t="inlineStr">
        <is>
          <t>27185</t>
        </is>
      </c>
      <c r="C739" s="30" t="inlineStr">
        <is>
          <t>D6</t>
        </is>
      </c>
      <c r="D739" s="32" t="inlineStr">
        <is>
          <t>등산로 급수대 운영 시스템</t>
        </is>
      </c>
      <c r="E739" s="28" t="inlineStr">
        <is>
          <t>동적계획법 (DP) / 그래프</t>
        </is>
      </c>
      <c r="F739" s="28" t="n"/>
      <c r="G739" s="28" t="n"/>
      <c r="H739" s="28" t="n"/>
      <c r="I739" s="28" t="n"/>
      <c r="J739" s="54">
        <f>IF(OR(ISNUMBER(SEARCH("보류",K739)),ISNUMBER(SEARCH("미룸",K739)),ISNUMBER(SEARCH("나중에",K739)),ISNUMBER(SEARCH("보류",L739)),ISNUMBER(SEARCH("미룸",L739)),ISNUMBER(SEARCH("나중에",L739))),"보류(나중에 풀기)",IF(AND(F739="",G739="",H739="",I739=""),"미완료",IF(I739&lt;&gt;"","복습3(마스터)",IF(H739&lt;&gt;"","복습2",IF(G739&lt;&gt;"","복습1",IF(ISNUMBER(SEARCH("제미나이",K739)),"복습대기(AI도움)",IF(ISNUMBER(SEARCH("간당간당",K739)),"복습대기(간당간당)",IF(OR(ISNUMBER(SEARCH("아이디어",K739)),ISNUMBER(SEARCH("시간초과",K739)),ISNUMBER(SEARCH("자료구조",K739)),ISNUMBER(SEARCH("경계값",K739)),ISNUMBER(SEARCH("다른 풀이",K739)),ISNUMBER(SEARCH("또풀기",K739))),"복습대기",IF(OR(ISNUMBER(SEARCH("복습필요없음",K739)),ISNUMBER(SEARCH("자력완벽",K739))),"품(복습불필요)",IF(F739&lt;&gt;"","품","미완료"))))))))))</f>
        <v/>
      </c>
      <c r="K739" s="32" t="inlineStr">
        <is>
          <t>-</t>
        </is>
      </c>
      <c r="L739" s="32" t="n"/>
      <c r="M739" s="28">
        <f>IF(OR(LEFT(J739,2)="보류", LEFT(J739,4)="복습대기", LEFT(J739,3)="복습1", LEFT(J739,3)="복습2"), MAX($M$3:M738)+1, "")</f>
        <v/>
      </c>
      <c r="N739" s="28" t="inlineStr">
        <is>
          <t>W18</t>
        </is>
      </c>
      <c r="O739" s="36" t="n">
        <v>46382</v>
      </c>
      <c r="P739" s="30">
        <f>IF(F739&lt;&gt;"","✅ 완료",IF(O739="","-",IF(TODAY()&gt;O739,"🚨 지연","⏳ 예정")))</f>
        <v/>
      </c>
      <c r="Q739" s="7" t="n"/>
      <c r="R739" s="7" t="n"/>
      <c r="S739" s="7" t="n"/>
      <c r="T739" s="7" t="n"/>
      <c r="U739" s="7" t="n"/>
      <c r="V739" s="7" t="n"/>
      <c r="W739" s="7" t="n"/>
      <c r="X739" s="7" t="n"/>
    </row>
    <row r="740" ht="21.75" customHeight="1" s="209">
      <c r="A740" s="28" t="n">
        <v>737</v>
      </c>
      <c r="B740" s="28" t="inlineStr">
        <is>
          <t>1252</t>
        </is>
      </c>
      <c r="C740" s="30" t="inlineStr">
        <is>
          <t>D6</t>
        </is>
      </c>
      <c r="D740" s="32" t="inlineStr">
        <is>
          <t>[S/W 문제해결 응용] 5일차 - 단순도금비용</t>
        </is>
      </c>
      <c r="E740" s="28" t="inlineStr">
        <is>
          <t>동적계획법 (DP) / 그래프</t>
        </is>
      </c>
      <c r="F740" s="28" t="n"/>
      <c r="G740" s="28" t="n"/>
      <c r="H740" s="28" t="n"/>
      <c r="I740" s="28" t="n"/>
      <c r="J740" s="54">
        <f>IF(OR(ISNUMBER(SEARCH("보류",K740)),ISNUMBER(SEARCH("미룸",K740)),ISNUMBER(SEARCH("나중에",K740)),ISNUMBER(SEARCH("보류",L740)),ISNUMBER(SEARCH("미룸",L740)),ISNUMBER(SEARCH("나중에",L740))),"보류(나중에 풀기)",IF(AND(F740="",G740="",H740="",I740=""),"미완료",IF(I740&lt;&gt;"","복습3(마스터)",IF(H740&lt;&gt;"","복습2",IF(G740&lt;&gt;"","복습1",IF(ISNUMBER(SEARCH("제미나이",K740)),"복습대기(AI도움)",IF(ISNUMBER(SEARCH("간당간당",K740)),"복습대기(간당간당)",IF(OR(ISNUMBER(SEARCH("아이디어",K740)),ISNUMBER(SEARCH("시간초과",K740)),ISNUMBER(SEARCH("자료구조",K740)),ISNUMBER(SEARCH("경계값",K740)),ISNUMBER(SEARCH("다른 풀이",K740)),ISNUMBER(SEARCH("또풀기",K740))),"복습대기",IF(OR(ISNUMBER(SEARCH("복습필요없음",K740)),ISNUMBER(SEARCH("자력완벽",K740))),"품(복습불필요)",IF(F740&lt;&gt;"","품","미완료"))))))))))</f>
        <v/>
      </c>
      <c r="K740" s="32" t="inlineStr">
        <is>
          <t>-</t>
        </is>
      </c>
      <c r="L740" s="32" t="n"/>
      <c r="M740" s="28">
        <f>IF(OR(LEFT(J740,2)="보류", LEFT(J740,4)="복습대기", LEFT(J740,3)="복습1", LEFT(J740,3)="복습2"), MAX($M$3:M739)+1, "")</f>
        <v/>
      </c>
      <c r="N740" s="28" t="inlineStr">
        <is>
          <t>W18</t>
        </is>
      </c>
      <c r="O740" s="36" t="n">
        <v>46382</v>
      </c>
      <c r="P740" s="30">
        <f>IF(F740&lt;&gt;"","✅ 완료",IF(O740="","-",IF(TODAY()&gt;O740,"🚨 지연","⏳ 예정")))</f>
        <v/>
      </c>
      <c r="Q740" s="7" t="n"/>
      <c r="R740" s="7" t="n"/>
      <c r="S740" s="7" t="n"/>
      <c r="T740" s="7" t="n"/>
      <c r="U740" s="7" t="n"/>
      <c r="V740" s="7" t="n"/>
      <c r="W740" s="7" t="n"/>
      <c r="X740" s="7" t="n"/>
    </row>
    <row r="741" ht="21.75" customHeight="1" s="209">
      <c r="A741" s="28" t="n">
        <v>738</v>
      </c>
      <c r="B741" s="28" t="inlineStr">
        <is>
          <t>1257</t>
        </is>
      </c>
      <c r="C741" s="30" t="inlineStr">
        <is>
          <t>D6</t>
        </is>
      </c>
      <c r="D741" s="32" t="inlineStr">
        <is>
          <t>[S/W 문제해결 응용] 6일차 - K번째 문자열</t>
        </is>
      </c>
      <c r="E741" s="28" t="inlineStr">
        <is>
          <t>문자열 / 파싱</t>
        </is>
      </c>
      <c r="F741" s="28" t="n"/>
      <c r="G741" s="28" t="n"/>
      <c r="H741" s="28" t="n"/>
      <c r="I741" s="28" t="n"/>
      <c r="J741" s="54">
        <f>IF(OR(ISNUMBER(SEARCH("보류",K741)),ISNUMBER(SEARCH("미룸",K741)),ISNUMBER(SEARCH("나중에",K741)),ISNUMBER(SEARCH("보류",L741)),ISNUMBER(SEARCH("미룸",L741)),ISNUMBER(SEARCH("나중에",L741))),"보류(나중에 풀기)",IF(AND(F741="",G741="",H741="",I741=""),"미완료",IF(I741&lt;&gt;"","복습3(마스터)",IF(H741&lt;&gt;"","복습2",IF(G741&lt;&gt;"","복습1",IF(ISNUMBER(SEARCH("제미나이",K741)),"복습대기(AI도움)",IF(ISNUMBER(SEARCH("간당간당",K741)),"복습대기(간당간당)",IF(OR(ISNUMBER(SEARCH("아이디어",K741)),ISNUMBER(SEARCH("시간초과",K741)),ISNUMBER(SEARCH("자료구조",K741)),ISNUMBER(SEARCH("경계값",K741)),ISNUMBER(SEARCH("다른 풀이",K741)),ISNUMBER(SEARCH("또풀기",K741))),"복습대기",IF(OR(ISNUMBER(SEARCH("복습필요없음",K741)),ISNUMBER(SEARCH("자력완벽",K741))),"품(복습불필요)",IF(F741&lt;&gt;"","품","미완료"))))))))))</f>
        <v/>
      </c>
      <c r="K741" s="32" t="inlineStr">
        <is>
          <t>-</t>
        </is>
      </c>
      <c r="L741" s="32" t="n"/>
      <c r="M741" s="28">
        <f>IF(OR(LEFT(J741,2)="보류", LEFT(J741,4)="복습대기", LEFT(J741,3)="복습1", LEFT(J741,3)="복습2"), MAX($M$3:M740)+1, "")</f>
        <v/>
      </c>
      <c r="N741" s="28" t="inlineStr">
        <is>
          <t>W18</t>
        </is>
      </c>
      <c r="O741" s="36" t="n">
        <v>46382</v>
      </c>
      <c r="P741" s="30">
        <f>IF(F741&lt;&gt;"","✅ 완료",IF(O741="","-",IF(TODAY()&gt;O741,"🚨 지연","⏳ 예정")))</f>
        <v/>
      </c>
      <c r="Q741" s="7" t="n"/>
      <c r="R741" s="7" t="n"/>
      <c r="S741" s="7" t="n"/>
      <c r="T741" s="7" t="n"/>
      <c r="U741" s="7" t="n"/>
      <c r="V741" s="7" t="n"/>
      <c r="W741" s="7" t="n"/>
      <c r="X741" s="7" t="n"/>
    </row>
    <row r="742" ht="21.75" customHeight="1" s="209">
      <c r="A742" s="28" t="n">
        <v>739</v>
      </c>
      <c r="B742" s="28" t="inlineStr">
        <is>
          <t>1260</t>
        </is>
      </c>
      <c r="C742" s="30" t="inlineStr">
        <is>
          <t>D6</t>
        </is>
      </c>
      <c r="D742" s="32" t="inlineStr">
        <is>
          <t>[S/W 문제해결 응용] 7일차 - 화학물질2</t>
        </is>
      </c>
      <c r="E742" s="28" t="inlineStr">
        <is>
          <t>동적계획법 (DP) / 그래프</t>
        </is>
      </c>
      <c r="F742" s="28" t="n"/>
      <c r="G742" s="28" t="n"/>
      <c r="H742" s="28" t="n"/>
      <c r="I742" s="28" t="n"/>
      <c r="J742" s="54">
        <f>IF(OR(ISNUMBER(SEARCH("보류",K742)),ISNUMBER(SEARCH("미룸",K742)),ISNUMBER(SEARCH("나중에",K742)),ISNUMBER(SEARCH("보류",L742)),ISNUMBER(SEARCH("미룸",L742)),ISNUMBER(SEARCH("나중에",L742))),"보류(나중에 풀기)",IF(AND(F742="",G742="",H742="",I742=""),"미완료",IF(I742&lt;&gt;"","복습3(마스터)",IF(H742&lt;&gt;"","복습2",IF(G742&lt;&gt;"","복습1",IF(ISNUMBER(SEARCH("제미나이",K742)),"복습대기(AI도움)",IF(ISNUMBER(SEARCH("간당간당",K742)),"복습대기(간당간당)",IF(OR(ISNUMBER(SEARCH("아이디어",K742)),ISNUMBER(SEARCH("시간초과",K742)),ISNUMBER(SEARCH("자료구조",K742)),ISNUMBER(SEARCH("경계값",K742)),ISNUMBER(SEARCH("다른 풀이",K742)),ISNUMBER(SEARCH("또풀기",K742))),"복습대기",IF(OR(ISNUMBER(SEARCH("복습필요없음",K742)),ISNUMBER(SEARCH("자력완벽",K742))),"품(복습불필요)",IF(F742&lt;&gt;"","품","미완료"))))))))))</f>
        <v/>
      </c>
      <c r="K742" s="32" t="inlineStr">
        <is>
          <t>-</t>
        </is>
      </c>
      <c r="L742" s="32" t="n"/>
      <c r="M742" s="28">
        <f>IF(OR(LEFT(J742,2)="보류", LEFT(J742,4)="복습대기", LEFT(J742,3)="복습1", LEFT(J742,3)="복습2"), MAX($M$3:M741)+1, "")</f>
        <v/>
      </c>
      <c r="N742" s="28" t="inlineStr">
        <is>
          <t>W18</t>
        </is>
      </c>
      <c r="O742" s="36" t="n">
        <v>46382</v>
      </c>
      <c r="P742" s="30">
        <f>IF(F742&lt;&gt;"","✅ 완료",IF(O742="","-",IF(TODAY()&gt;O742,"🚨 지연","⏳ 예정")))</f>
        <v/>
      </c>
      <c r="Q742" s="7" t="n"/>
      <c r="R742" s="7" t="n"/>
      <c r="S742" s="7" t="n"/>
      <c r="T742" s="7" t="n"/>
      <c r="U742" s="7" t="n"/>
      <c r="V742" s="7" t="n"/>
      <c r="W742" s="7" t="n"/>
      <c r="X742" s="7" t="n"/>
    </row>
    <row r="743" ht="21.75" customHeight="1" s="209">
      <c r="A743" s="28" t="n">
        <v>740</v>
      </c>
      <c r="B743" s="28" t="inlineStr">
        <is>
          <t>1264</t>
        </is>
      </c>
      <c r="C743" s="30" t="inlineStr">
        <is>
          <t>D6</t>
        </is>
      </c>
      <c r="D743" s="32" t="inlineStr">
        <is>
          <t>[S/W 문제해결 응용] 8일차 - 이미지 유사도 검사</t>
        </is>
      </c>
      <c r="E743" s="28" t="inlineStr">
        <is>
          <t>동적계획법 (DP) / 그래프</t>
        </is>
      </c>
      <c r="F743" s="28" t="n"/>
      <c r="G743" s="28" t="n"/>
      <c r="H743" s="28" t="n"/>
      <c r="I743" s="28" t="n"/>
      <c r="J743" s="54">
        <f>IF(OR(ISNUMBER(SEARCH("보류",K743)),ISNUMBER(SEARCH("미룸",K743)),ISNUMBER(SEARCH("나중에",K743)),ISNUMBER(SEARCH("보류",L743)),ISNUMBER(SEARCH("미룸",L743)),ISNUMBER(SEARCH("나중에",L743))),"보류(나중에 풀기)",IF(AND(F743="",G743="",H743="",I743=""),"미완료",IF(I743&lt;&gt;"","복습3(마스터)",IF(H743&lt;&gt;"","복습2",IF(G743&lt;&gt;"","복습1",IF(ISNUMBER(SEARCH("제미나이",K743)),"복습대기(AI도움)",IF(ISNUMBER(SEARCH("간당간당",K743)),"복습대기(간당간당)",IF(OR(ISNUMBER(SEARCH("아이디어",K743)),ISNUMBER(SEARCH("시간초과",K743)),ISNUMBER(SEARCH("자료구조",K743)),ISNUMBER(SEARCH("경계값",K743)),ISNUMBER(SEARCH("다른 풀이",K743)),ISNUMBER(SEARCH("또풀기",K743))),"복습대기",IF(OR(ISNUMBER(SEARCH("복습필요없음",K743)),ISNUMBER(SEARCH("자력완벽",K743))),"품(복습불필요)",IF(F743&lt;&gt;"","품","미완료"))))))))))</f>
        <v/>
      </c>
      <c r="K743" s="32" t="inlineStr">
        <is>
          <t>-</t>
        </is>
      </c>
      <c r="L743" s="32" t="n"/>
      <c r="M743" s="28">
        <f>IF(OR(LEFT(J743,2)="보류", LEFT(J743,4)="복습대기", LEFT(J743,3)="복습1", LEFT(J743,3)="복습2"), MAX($M$3:M742)+1, "")</f>
        <v/>
      </c>
      <c r="N743" s="28" t="inlineStr">
        <is>
          <t>W18</t>
        </is>
      </c>
      <c r="O743" s="36" t="n">
        <v>46382</v>
      </c>
      <c r="P743" s="30">
        <f>IF(F743&lt;&gt;"","✅ 완료",IF(O743="","-",IF(TODAY()&gt;O743,"🚨 지연","⏳ 예정")))</f>
        <v/>
      </c>
      <c r="Q743" s="7" t="n"/>
      <c r="R743" s="7" t="n"/>
      <c r="S743" s="7" t="n"/>
      <c r="T743" s="7" t="n"/>
      <c r="U743" s="7" t="n"/>
      <c r="V743" s="7" t="n"/>
      <c r="W743" s="7" t="n"/>
      <c r="X743" s="7" t="n"/>
    </row>
    <row r="744" ht="21.75" customHeight="1" s="209">
      <c r="A744" s="28" t="n">
        <v>741</v>
      </c>
      <c r="B744" s="28" t="inlineStr">
        <is>
          <t>1266</t>
        </is>
      </c>
      <c r="C744" s="30" t="inlineStr">
        <is>
          <t>D6</t>
        </is>
      </c>
      <c r="D744" s="32" t="inlineStr">
        <is>
          <t>[S/W 문제해결 응용] 9일차 - 소수 완제품 확률</t>
        </is>
      </c>
      <c r="E744" s="28" t="inlineStr">
        <is>
          <t>수학 / 정수론</t>
        </is>
      </c>
      <c r="F744" s="28" t="n"/>
      <c r="G744" s="28" t="n"/>
      <c r="H744" s="28" t="n"/>
      <c r="I744" s="28" t="n"/>
      <c r="J744" s="54">
        <f>IF(OR(ISNUMBER(SEARCH("보류",K744)),ISNUMBER(SEARCH("미룸",K744)),ISNUMBER(SEARCH("나중에",K744)),ISNUMBER(SEARCH("보류",L744)),ISNUMBER(SEARCH("미룸",L744)),ISNUMBER(SEARCH("나중에",L744))),"보류(나중에 풀기)",IF(AND(F744="",G744="",H744="",I744=""),"미완료",IF(I744&lt;&gt;"","복습3(마스터)",IF(H744&lt;&gt;"","복습2",IF(G744&lt;&gt;"","복습1",IF(ISNUMBER(SEARCH("제미나이",K744)),"복습대기(AI도움)",IF(ISNUMBER(SEARCH("간당간당",K744)),"복습대기(간당간당)",IF(OR(ISNUMBER(SEARCH("아이디어",K744)),ISNUMBER(SEARCH("시간초과",K744)),ISNUMBER(SEARCH("자료구조",K744)),ISNUMBER(SEARCH("경계값",K744)),ISNUMBER(SEARCH("다른 풀이",K744)),ISNUMBER(SEARCH("또풀기",K744))),"복습대기",IF(OR(ISNUMBER(SEARCH("복습필요없음",K744)),ISNUMBER(SEARCH("자력완벽",K744))),"품(복습불필요)",IF(F744&lt;&gt;"","품","미완료"))))))))))</f>
        <v/>
      </c>
      <c r="K744" s="32" t="inlineStr">
        <is>
          <t>-</t>
        </is>
      </c>
      <c r="L744" s="32" t="n"/>
      <c r="M744" s="28">
        <f>IF(OR(LEFT(J744,2)="보류", LEFT(J744,4)="복습대기", LEFT(J744,3)="복습1", LEFT(J744,3)="복습2"), MAX($M$3:M743)+1, "")</f>
        <v/>
      </c>
      <c r="N744" s="28" t="inlineStr">
        <is>
          <t>W18</t>
        </is>
      </c>
      <c r="O744" s="36" t="n">
        <v>46382</v>
      </c>
      <c r="P744" s="30">
        <f>IF(F744&lt;&gt;"","✅ 완료",IF(O744="","-",IF(TODAY()&gt;O744,"🚨 지연","⏳ 예정")))</f>
        <v/>
      </c>
      <c r="Q744" s="7" t="n"/>
      <c r="R744" s="7" t="n"/>
      <c r="S744" s="7" t="n"/>
      <c r="T744" s="7" t="n"/>
      <c r="U744" s="7" t="n"/>
      <c r="V744" s="7" t="n"/>
      <c r="W744" s="7" t="n"/>
      <c r="X744" s="7" t="n"/>
    </row>
    <row r="745" ht="21.75" customHeight="1" s="209">
      <c r="A745" s="28" t="n">
        <v>742</v>
      </c>
      <c r="B745" s="28" t="inlineStr">
        <is>
          <t>1268</t>
        </is>
      </c>
      <c r="C745" s="30" t="inlineStr">
        <is>
          <t>D6</t>
        </is>
      </c>
      <c r="D745" s="32" t="inlineStr">
        <is>
          <t>[S/W 문제해결 응용] 10일차 - 최종평가</t>
        </is>
      </c>
      <c r="E745" s="28" t="inlineStr">
        <is>
          <t>동적계획법 (DP) / 그래프</t>
        </is>
      </c>
      <c r="F745" s="28" t="n"/>
      <c r="G745" s="28" t="n"/>
      <c r="H745" s="28" t="n"/>
      <c r="I745" s="28" t="n"/>
      <c r="J745" s="54">
        <f>IF(OR(ISNUMBER(SEARCH("보류",K745)),ISNUMBER(SEARCH("미룸",K745)),ISNUMBER(SEARCH("나중에",K745)),ISNUMBER(SEARCH("보류",L745)),ISNUMBER(SEARCH("미룸",L745)),ISNUMBER(SEARCH("나중에",L745))),"보류(나중에 풀기)",IF(AND(F745="",G745="",H745="",I745=""),"미완료",IF(I745&lt;&gt;"","복습3(마스터)",IF(H745&lt;&gt;"","복습2",IF(G745&lt;&gt;"","복습1",IF(ISNUMBER(SEARCH("제미나이",K745)),"복습대기(AI도움)",IF(ISNUMBER(SEARCH("간당간당",K745)),"복습대기(간당간당)",IF(OR(ISNUMBER(SEARCH("아이디어",K745)),ISNUMBER(SEARCH("시간초과",K745)),ISNUMBER(SEARCH("자료구조",K745)),ISNUMBER(SEARCH("경계값",K745)),ISNUMBER(SEARCH("다른 풀이",K745)),ISNUMBER(SEARCH("또풀기",K745))),"복습대기",IF(OR(ISNUMBER(SEARCH("복습필요없음",K745)),ISNUMBER(SEARCH("자력완벽",K745))),"품(복습불필요)",IF(F745&lt;&gt;"","품","미완료"))))))))))</f>
        <v/>
      </c>
      <c r="K745" s="32" t="inlineStr">
        <is>
          <t>-</t>
        </is>
      </c>
      <c r="L745" s="32" t="n"/>
      <c r="M745" s="28">
        <f>IF(OR(LEFT(J745,2)="보류", LEFT(J745,4)="복습대기", LEFT(J745,3)="복습1", LEFT(J745,3)="복습2"), MAX($M$3:M744)+1, "")</f>
        <v/>
      </c>
      <c r="N745" s="28" t="inlineStr">
        <is>
          <t>W18</t>
        </is>
      </c>
      <c r="O745" s="36" t="n">
        <v>46382</v>
      </c>
      <c r="P745" s="30">
        <f>IF(F745&lt;&gt;"","✅ 완료",IF(O745="","-",IF(TODAY()&gt;O745,"🚨 지연","⏳ 예정")))</f>
        <v/>
      </c>
      <c r="Q745" s="7" t="n"/>
      <c r="R745" s="7" t="n"/>
      <c r="S745" s="7" t="n"/>
      <c r="T745" s="7" t="n"/>
      <c r="U745" s="7" t="n"/>
      <c r="V745" s="7" t="n"/>
      <c r="W745" s="7" t="n"/>
      <c r="X745" s="7" t="n"/>
    </row>
    <row r="746" ht="21.75" customHeight="1" s="209">
      <c r="A746" s="28" t="n">
        <v>743</v>
      </c>
      <c r="B746" s="28" t="inlineStr">
        <is>
          <t>1793</t>
        </is>
      </c>
      <c r="C746" s="30" t="inlineStr">
        <is>
          <t>D6</t>
        </is>
      </c>
      <c r="D746" s="32" t="inlineStr">
        <is>
          <t>사용자 선호도</t>
        </is>
      </c>
      <c r="E746" s="28" t="inlineStr">
        <is>
          <t>동적계획법 (DP) / 그래프</t>
        </is>
      </c>
      <c r="F746" s="28" t="n"/>
      <c r="G746" s="28" t="n"/>
      <c r="H746" s="28" t="n"/>
      <c r="I746" s="28" t="n"/>
      <c r="J746" s="54">
        <f>IF(OR(ISNUMBER(SEARCH("보류",K746)),ISNUMBER(SEARCH("미룸",K746)),ISNUMBER(SEARCH("나중에",K746)),ISNUMBER(SEARCH("보류",L746)),ISNUMBER(SEARCH("미룸",L746)),ISNUMBER(SEARCH("나중에",L746))),"보류(나중에 풀기)",IF(AND(F746="",G746="",H746="",I746=""),"미완료",IF(I746&lt;&gt;"","복습3(마스터)",IF(H746&lt;&gt;"","복습2",IF(G746&lt;&gt;"","복습1",IF(ISNUMBER(SEARCH("제미나이",K746)),"복습대기(AI도움)",IF(ISNUMBER(SEARCH("간당간당",K746)),"복습대기(간당간당)",IF(OR(ISNUMBER(SEARCH("아이디어",K746)),ISNUMBER(SEARCH("시간초과",K746)),ISNUMBER(SEARCH("자료구조",K746)),ISNUMBER(SEARCH("경계값",K746)),ISNUMBER(SEARCH("다른 풀이",K746)),ISNUMBER(SEARCH("또풀기",K746))),"복습대기",IF(OR(ISNUMBER(SEARCH("복습필요없음",K746)),ISNUMBER(SEARCH("자력완벽",K746))),"품(복습불필요)",IF(F746&lt;&gt;"","품","미완료"))))))))))</f>
        <v/>
      </c>
      <c r="K746" s="32" t="inlineStr">
        <is>
          <t>-</t>
        </is>
      </c>
      <c r="L746" s="32" t="n"/>
      <c r="M746" s="28">
        <f>IF(OR(LEFT(J746,2)="보류", LEFT(J746,4)="복습대기", LEFT(J746,3)="복습1", LEFT(J746,3)="복습2"), MAX($M$3:M745)+1, "")</f>
        <v/>
      </c>
      <c r="N746" s="28" t="inlineStr">
        <is>
          <t>W18</t>
        </is>
      </c>
      <c r="O746" s="36" t="n">
        <v>46383</v>
      </c>
      <c r="P746" s="30">
        <f>IF(F746&lt;&gt;"","✅ 완료",IF(O746="","-",IF(TODAY()&gt;O746,"🚨 지연","⏳ 예정")))</f>
        <v/>
      </c>
      <c r="Q746" s="7" t="n"/>
      <c r="R746" s="7" t="n"/>
      <c r="S746" s="7" t="n"/>
      <c r="T746" s="7" t="n"/>
      <c r="U746" s="7" t="n"/>
      <c r="V746" s="7" t="n"/>
      <c r="W746" s="7" t="n"/>
      <c r="X746" s="7" t="n"/>
    </row>
    <row r="747" ht="21.75" customHeight="1" s="209">
      <c r="A747" s="28" t="n">
        <v>744</v>
      </c>
      <c r="B747" s="28" t="inlineStr">
        <is>
          <t>1794</t>
        </is>
      </c>
      <c r="C747" s="30" t="inlineStr">
        <is>
          <t>D6</t>
        </is>
      </c>
      <c r="D747" s="32" t="inlineStr">
        <is>
          <t>우주신의 N Rooks</t>
        </is>
      </c>
      <c r="E747" s="28" t="inlineStr">
        <is>
          <t>동적계획법 (DP) / 그래프</t>
        </is>
      </c>
      <c r="F747" s="28" t="n"/>
      <c r="G747" s="28" t="n"/>
      <c r="H747" s="28" t="n"/>
      <c r="I747" s="28" t="n"/>
      <c r="J747" s="54">
        <f>IF(OR(ISNUMBER(SEARCH("보류",K747)),ISNUMBER(SEARCH("미룸",K747)),ISNUMBER(SEARCH("나중에",K747)),ISNUMBER(SEARCH("보류",L747)),ISNUMBER(SEARCH("미룸",L747)),ISNUMBER(SEARCH("나중에",L747))),"보류(나중에 풀기)",IF(AND(F747="",G747="",H747="",I747=""),"미완료",IF(I747&lt;&gt;"","복습3(마스터)",IF(H747&lt;&gt;"","복습2",IF(G747&lt;&gt;"","복습1",IF(ISNUMBER(SEARCH("제미나이",K747)),"복습대기(AI도움)",IF(ISNUMBER(SEARCH("간당간당",K747)),"복습대기(간당간당)",IF(OR(ISNUMBER(SEARCH("아이디어",K747)),ISNUMBER(SEARCH("시간초과",K747)),ISNUMBER(SEARCH("자료구조",K747)),ISNUMBER(SEARCH("경계값",K747)),ISNUMBER(SEARCH("다른 풀이",K747)),ISNUMBER(SEARCH("또풀기",K747))),"복습대기",IF(OR(ISNUMBER(SEARCH("복습필요없음",K747)),ISNUMBER(SEARCH("자력완벽",K747))),"품(복습불필요)",IF(F747&lt;&gt;"","품","미완료"))))))))))</f>
        <v/>
      </c>
      <c r="K747" s="32" t="inlineStr">
        <is>
          <t>-</t>
        </is>
      </c>
      <c r="L747" s="32" t="n"/>
      <c r="M747" s="28">
        <f>IF(OR(LEFT(J747,2)="보류", LEFT(J747,4)="복습대기", LEFT(J747,3)="복습1", LEFT(J747,3)="복습2"), MAX($M$3:M746)+1, "")</f>
        <v/>
      </c>
      <c r="N747" s="28" t="inlineStr">
        <is>
          <t>W18</t>
        </is>
      </c>
      <c r="O747" s="36" t="n">
        <v>46383</v>
      </c>
      <c r="P747" s="30">
        <f>IF(F747&lt;&gt;"","✅ 완료",IF(O747="","-",IF(TODAY()&gt;O747,"🚨 지연","⏳ 예정")))</f>
        <v/>
      </c>
      <c r="Q747" s="7" t="n"/>
      <c r="R747" s="7" t="n"/>
      <c r="S747" s="7" t="n"/>
      <c r="T747" s="7" t="n"/>
      <c r="U747" s="7" t="n"/>
      <c r="V747" s="7" t="n"/>
      <c r="W747" s="7" t="n"/>
      <c r="X747" s="7" t="n"/>
    </row>
    <row r="748" ht="21.75" customHeight="1" s="209">
      <c r="A748" s="28" t="n">
        <v>745</v>
      </c>
      <c r="B748" s="28" t="inlineStr">
        <is>
          <t>1795</t>
        </is>
      </c>
      <c r="C748" s="30" t="inlineStr">
        <is>
          <t>D6</t>
        </is>
      </c>
      <c r="D748" s="32" t="inlineStr">
        <is>
          <t>인수의 생일 파티</t>
        </is>
      </c>
      <c r="E748" s="28" t="inlineStr">
        <is>
          <t>동적계획법 (DP) / 그래프</t>
        </is>
      </c>
      <c r="F748" s="28" t="n"/>
      <c r="G748" s="28" t="n"/>
      <c r="H748" s="28" t="n"/>
      <c r="I748" s="28" t="n"/>
      <c r="J748" s="54">
        <f>IF(OR(ISNUMBER(SEARCH("보류",K748)),ISNUMBER(SEARCH("미룸",K748)),ISNUMBER(SEARCH("나중에",K748)),ISNUMBER(SEARCH("보류",L748)),ISNUMBER(SEARCH("미룸",L748)),ISNUMBER(SEARCH("나중에",L748))),"보류(나중에 풀기)",IF(AND(F748="",G748="",H748="",I748=""),"미완료",IF(I748&lt;&gt;"","복습3(마스터)",IF(H748&lt;&gt;"","복습2",IF(G748&lt;&gt;"","복습1",IF(ISNUMBER(SEARCH("제미나이",K748)),"복습대기(AI도움)",IF(ISNUMBER(SEARCH("간당간당",K748)),"복습대기(간당간당)",IF(OR(ISNUMBER(SEARCH("아이디어",K748)),ISNUMBER(SEARCH("시간초과",K748)),ISNUMBER(SEARCH("자료구조",K748)),ISNUMBER(SEARCH("경계값",K748)),ISNUMBER(SEARCH("다른 풀이",K748)),ISNUMBER(SEARCH("또풀기",K748))),"복습대기",IF(OR(ISNUMBER(SEARCH("복습필요없음",K748)),ISNUMBER(SEARCH("자력완벽",K748))),"품(복습불필요)",IF(F748&lt;&gt;"","품","미완료"))))))))))</f>
        <v/>
      </c>
      <c r="K748" s="32" t="inlineStr">
        <is>
          <t>-</t>
        </is>
      </c>
      <c r="L748" s="32" t="n"/>
      <c r="M748" s="28">
        <f>IF(OR(LEFT(J748,2)="보류", LEFT(J748,4)="복습대기", LEFT(J748,3)="복습1", LEFT(J748,3)="복습2"), MAX($M$3:M747)+1, "")</f>
        <v/>
      </c>
      <c r="N748" s="28" t="inlineStr">
        <is>
          <t>W18</t>
        </is>
      </c>
      <c r="O748" s="36" t="n">
        <v>46383</v>
      </c>
      <c r="P748" s="30">
        <f>IF(F748&lt;&gt;"","✅ 완료",IF(O748="","-",IF(TODAY()&gt;O748,"🚨 지연","⏳ 예정")))</f>
        <v/>
      </c>
      <c r="Q748" s="7" t="n"/>
      <c r="R748" s="7" t="n"/>
      <c r="S748" s="7" t="n"/>
      <c r="T748" s="7" t="n"/>
      <c r="U748" s="7" t="n"/>
      <c r="V748" s="7" t="n"/>
      <c r="W748" s="7" t="n"/>
      <c r="X748" s="7" t="n"/>
    </row>
    <row r="749" ht="21.75" customHeight="1" s="209">
      <c r="A749" s="28" t="n">
        <v>746</v>
      </c>
      <c r="B749" s="28" t="inlineStr">
        <is>
          <t>1843</t>
        </is>
      </c>
      <c r="C749" s="30" t="inlineStr">
        <is>
          <t>D6</t>
        </is>
      </c>
      <c r="D749" s="32" t="inlineStr">
        <is>
          <t>영준이의 숫자 고르기</t>
        </is>
      </c>
      <c r="E749" s="28" t="inlineStr">
        <is>
          <t>동적계획법 (DP) / 그래프</t>
        </is>
      </c>
      <c r="F749" s="28" t="n"/>
      <c r="G749" s="28" t="n"/>
      <c r="H749" s="28" t="n"/>
      <c r="I749" s="28" t="n"/>
      <c r="J749" s="54">
        <f>IF(OR(ISNUMBER(SEARCH("보류",K749)),ISNUMBER(SEARCH("미룸",K749)),ISNUMBER(SEARCH("나중에",K749)),ISNUMBER(SEARCH("보류",L749)),ISNUMBER(SEARCH("미룸",L749)),ISNUMBER(SEARCH("나중에",L749))),"보류(나중에 풀기)",IF(AND(F749="",G749="",H749="",I749=""),"미완료",IF(I749&lt;&gt;"","복습3(마스터)",IF(H749&lt;&gt;"","복습2",IF(G749&lt;&gt;"","복습1",IF(ISNUMBER(SEARCH("제미나이",K749)),"복습대기(AI도움)",IF(ISNUMBER(SEARCH("간당간당",K749)),"복습대기(간당간당)",IF(OR(ISNUMBER(SEARCH("아이디어",K749)),ISNUMBER(SEARCH("시간초과",K749)),ISNUMBER(SEARCH("자료구조",K749)),ISNUMBER(SEARCH("경계값",K749)),ISNUMBER(SEARCH("다른 풀이",K749)),ISNUMBER(SEARCH("또풀기",K749))),"복습대기",IF(OR(ISNUMBER(SEARCH("복습필요없음",K749)),ISNUMBER(SEARCH("자력완벽",K749))),"품(복습불필요)",IF(F749&lt;&gt;"","품","미완료"))))))))))</f>
        <v/>
      </c>
      <c r="K749" s="32" t="inlineStr">
        <is>
          <t>-</t>
        </is>
      </c>
      <c r="L749" s="32" t="n"/>
      <c r="M749" s="28">
        <f>IF(OR(LEFT(J749,2)="보류", LEFT(J749,4)="복습대기", LEFT(J749,3)="복습1", LEFT(J749,3)="복습2"), MAX($M$3:M748)+1, "")</f>
        <v/>
      </c>
      <c r="N749" s="28" t="inlineStr">
        <is>
          <t>W18</t>
        </is>
      </c>
      <c r="O749" s="36" t="n">
        <v>46383</v>
      </c>
      <c r="P749" s="30">
        <f>IF(F749&lt;&gt;"","✅ 완료",IF(O749="","-",IF(TODAY()&gt;O749,"🚨 지연","⏳ 예정")))</f>
        <v/>
      </c>
      <c r="Q749" s="7" t="n"/>
      <c r="R749" s="7" t="n"/>
      <c r="S749" s="7" t="n"/>
      <c r="T749" s="7" t="n"/>
      <c r="U749" s="7" t="n"/>
      <c r="V749" s="7" t="n"/>
      <c r="W749" s="7" t="n"/>
      <c r="X749" s="7" t="n"/>
    </row>
    <row r="750" ht="21.75" customHeight="1" s="209">
      <c r="A750" s="28" t="n">
        <v>747</v>
      </c>
      <c r="B750" s="28" t="inlineStr">
        <is>
          <t>1849</t>
        </is>
      </c>
      <c r="C750" s="30" t="inlineStr">
        <is>
          <t>D6</t>
        </is>
      </c>
      <c r="D750" s="32" t="inlineStr">
        <is>
          <t>영준이의 무게측정</t>
        </is>
      </c>
      <c r="E750" s="28" t="inlineStr">
        <is>
          <t>동적계획법 (DP) / 그래프</t>
        </is>
      </c>
      <c r="F750" s="28" t="n"/>
      <c r="G750" s="28" t="n"/>
      <c r="H750" s="28" t="n"/>
      <c r="I750" s="28" t="n"/>
      <c r="J750" s="54">
        <f>IF(OR(ISNUMBER(SEARCH("보류",K750)),ISNUMBER(SEARCH("미룸",K750)),ISNUMBER(SEARCH("나중에",K750)),ISNUMBER(SEARCH("보류",L750)),ISNUMBER(SEARCH("미룸",L750)),ISNUMBER(SEARCH("나중에",L750))),"보류(나중에 풀기)",IF(AND(F750="",G750="",H750="",I750=""),"미완료",IF(I750&lt;&gt;"","복습3(마스터)",IF(H750&lt;&gt;"","복습2",IF(G750&lt;&gt;"","복습1",IF(ISNUMBER(SEARCH("제미나이",K750)),"복습대기(AI도움)",IF(ISNUMBER(SEARCH("간당간당",K750)),"복습대기(간당간당)",IF(OR(ISNUMBER(SEARCH("아이디어",K750)),ISNUMBER(SEARCH("시간초과",K750)),ISNUMBER(SEARCH("자료구조",K750)),ISNUMBER(SEARCH("경계값",K750)),ISNUMBER(SEARCH("다른 풀이",K750)),ISNUMBER(SEARCH("또풀기",K750))),"복습대기",IF(OR(ISNUMBER(SEARCH("복습필요없음",K750)),ISNUMBER(SEARCH("자력완벽",K750))),"품(복습불필요)",IF(F750&lt;&gt;"","품","미완료"))))))))))</f>
        <v/>
      </c>
      <c r="K750" s="32" t="inlineStr">
        <is>
          <t>-</t>
        </is>
      </c>
      <c r="L750" s="32" t="n"/>
      <c r="M750" s="28">
        <f>IF(OR(LEFT(J750,2)="보류", LEFT(J750,4)="복습대기", LEFT(J750,3)="복습1", LEFT(J750,3)="복습2"), MAX($M$3:M749)+1, "")</f>
        <v/>
      </c>
      <c r="N750" s="28" t="inlineStr">
        <is>
          <t>W18</t>
        </is>
      </c>
      <c r="O750" s="36" t="n">
        <v>46383</v>
      </c>
      <c r="P750" s="30">
        <f>IF(F750&lt;&gt;"","✅ 완료",IF(O750="","-",IF(TODAY()&gt;O750,"🚨 지연","⏳ 예정")))</f>
        <v/>
      </c>
      <c r="Q750" s="7" t="n"/>
      <c r="R750" s="7" t="n"/>
      <c r="S750" s="7" t="n"/>
      <c r="T750" s="7" t="n"/>
      <c r="U750" s="7" t="n"/>
      <c r="V750" s="7" t="n"/>
      <c r="W750" s="7" t="n"/>
      <c r="X750" s="7" t="n"/>
    </row>
    <row r="751" ht="21.75" customHeight="1" s="209">
      <c r="A751" s="28" t="n">
        <v>748</v>
      </c>
      <c r="B751" s="28" t="inlineStr">
        <is>
          <t>1852</t>
        </is>
      </c>
      <c r="C751" s="30" t="inlineStr">
        <is>
          <t>D6</t>
        </is>
      </c>
      <c r="D751" s="32" t="inlineStr">
        <is>
          <t>왕의 자리 찾기</t>
        </is>
      </c>
      <c r="E751" s="28" t="inlineStr">
        <is>
          <t>동적계획법 (DP) / 그래프</t>
        </is>
      </c>
      <c r="F751" s="28" t="n"/>
      <c r="G751" s="28" t="n"/>
      <c r="H751" s="28" t="n"/>
      <c r="I751" s="28" t="n"/>
      <c r="J751" s="54">
        <f>IF(OR(ISNUMBER(SEARCH("보류",K751)),ISNUMBER(SEARCH("미룸",K751)),ISNUMBER(SEARCH("나중에",K751)),ISNUMBER(SEARCH("보류",L751)),ISNUMBER(SEARCH("미룸",L751)),ISNUMBER(SEARCH("나중에",L751))),"보류(나중에 풀기)",IF(AND(F751="",G751="",H751="",I751=""),"미완료",IF(I751&lt;&gt;"","복습3(마스터)",IF(H751&lt;&gt;"","복습2",IF(G751&lt;&gt;"","복습1",IF(ISNUMBER(SEARCH("제미나이",K751)),"복습대기(AI도움)",IF(ISNUMBER(SEARCH("간당간당",K751)),"복습대기(간당간당)",IF(OR(ISNUMBER(SEARCH("아이디어",K751)),ISNUMBER(SEARCH("시간초과",K751)),ISNUMBER(SEARCH("자료구조",K751)),ISNUMBER(SEARCH("경계값",K751)),ISNUMBER(SEARCH("다른 풀이",K751)),ISNUMBER(SEARCH("또풀기",K751))),"복습대기",IF(OR(ISNUMBER(SEARCH("복습필요없음",K751)),ISNUMBER(SEARCH("자력완벽",K751))),"품(복습불필요)",IF(F751&lt;&gt;"","품","미완료"))))))))))</f>
        <v/>
      </c>
      <c r="K751" s="32" t="inlineStr">
        <is>
          <t>-</t>
        </is>
      </c>
      <c r="L751" s="32" t="n"/>
      <c r="M751" s="28">
        <f>IF(OR(LEFT(J751,2)="보류", LEFT(J751,4)="복습대기", LEFT(J751,3)="복습1", LEFT(J751,3)="복습2"), MAX($M$3:M750)+1, "")</f>
        <v/>
      </c>
      <c r="N751" s="28" t="inlineStr">
        <is>
          <t>W18</t>
        </is>
      </c>
      <c r="O751" s="36" t="n">
        <v>46383</v>
      </c>
      <c r="P751" s="30">
        <f>IF(F751&lt;&gt;"","✅ 완료",IF(O751="","-",IF(TODAY()&gt;O751,"🚨 지연","⏳ 예정")))</f>
        <v/>
      </c>
      <c r="Q751" s="7" t="n"/>
      <c r="R751" s="7" t="n"/>
      <c r="S751" s="7" t="n"/>
      <c r="T751" s="7" t="n"/>
      <c r="U751" s="7" t="n"/>
      <c r="V751" s="7" t="n"/>
      <c r="W751" s="7" t="n"/>
      <c r="X751" s="7" t="n"/>
    </row>
    <row r="752" ht="21.75" customHeight="1" s="209">
      <c r="A752" s="28" t="n">
        <v>749</v>
      </c>
      <c r="B752" s="28" t="inlineStr">
        <is>
          <t>1853</t>
        </is>
      </c>
      <c r="C752" s="30" t="inlineStr">
        <is>
          <t>D6</t>
        </is>
      </c>
      <c r="D752" s="32" t="inlineStr">
        <is>
          <t>놀부 사장의 월급 감축</t>
        </is>
      </c>
      <c r="E752" s="28" t="inlineStr">
        <is>
          <t>동적계획법 (DP) / 그래프</t>
        </is>
      </c>
      <c r="F752" s="28" t="n"/>
      <c r="G752" s="28" t="n"/>
      <c r="H752" s="28" t="n"/>
      <c r="I752" s="28" t="n"/>
      <c r="J752" s="54">
        <f>IF(OR(ISNUMBER(SEARCH("보류",K752)),ISNUMBER(SEARCH("미룸",K752)),ISNUMBER(SEARCH("나중에",K752)),ISNUMBER(SEARCH("보류",L752)),ISNUMBER(SEARCH("미룸",L752)),ISNUMBER(SEARCH("나중에",L752))),"보류(나중에 풀기)",IF(AND(F752="",G752="",H752="",I752=""),"미완료",IF(I752&lt;&gt;"","복습3(마스터)",IF(H752&lt;&gt;"","복습2",IF(G752&lt;&gt;"","복습1",IF(ISNUMBER(SEARCH("제미나이",K752)),"복습대기(AI도움)",IF(ISNUMBER(SEARCH("간당간당",K752)),"복습대기(간당간당)",IF(OR(ISNUMBER(SEARCH("아이디어",K752)),ISNUMBER(SEARCH("시간초과",K752)),ISNUMBER(SEARCH("자료구조",K752)),ISNUMBER(SEARCH("경계값",K752)),ISNUMBER(SEARCH("다른 풀이",K752)),ISNUMBER(SEARCH("또풀기",K752))),"복습대기",IF(OR(ISNUMBER(SEARCH("복습필요없음",K752)),ISNUMBER(SEARCH("자력완벽",K752))),"품(복습불필요)",IF(F752&lt;&gt;"","품","미완료"))))))))))</f>
        <v/>
      </c>
      <c r="K752" s="32" t="inlineStr">
        <is>
          <t>-</t>
        </is>
      </c>
      <c r="L752" s="32" t="n"/>
      <c r="M752" s="28">
        <f>IF(OR(LEFT(J752,2)="보류", LEFT(J752,4)="복습대기", LEFT(J752,3)="복습1", LEFT(J752,3)="복습2"), MAX($M$3:M751)+1, "")</f>
        <v/>
      </c>
      <c r="N752" s="28" t="inlineStr">
        <is>
          <t>W18</t>
        </is>
      </c>
      <c r="O752" s="36" t="n">
        <v>46383</v>
      </c>
      <c r="P752" s="30">
        <f>IF(F752&lt;&gt;"","✅ 완료",IF(O752="","-",IF(TODAY()&gt;O752,"🚨 지연","⏳ 예정")))</f>
        <v/>
      </c>
      <c r="Q752" s="7" t="n"/>
      <c r="R752" s="7" t="n"/>
      <c r="S752" s="7" t="n"/>
      <c r="T752" s="7" t="n"/>
      <c r="U752" s="7" t="n"/>
      <c r="V752" s="7" t="n"/>
      <c r="W752" s="7" t="n"/>
      <c r="X752" s="7" t="n"/>
    </row>
    <row r="753" ht="21.75" customHeight="1" s="209">
      <c r="A753" s="28" t="n">
        <v>750</v>
      </c>
      <c r="B753" s="28" t="inlineStr">
        <is>
          <t>1855</t>
        </is>
      </c>
      <c r="C753" s="30" t="inlineStr">
        <is>
          <t>D6</t>
        </is>
      </c>
      <c r="D753" s="32" t="inlineStr">
        <is>
          <t>영준이의 진짜 BFS</t>
        </is>
      </c>
      <c r="E753" s="28" t="inlineStr">
        <is>
          <t>BFS (너비우선탐색)</t>
        </is>
      </c>
      <c r="F753" s="28" t="n"/>
      <c r="G753" s="28" t="n"/>
      <c r="H753" s="28" t="n"/>
      <c r="I753" s="28" t="n"/>
      <c r="J753" s="54">
        <f>IF(OR(ISNUMBER(SEARCH("보류",K753)),ISNUMBER(SEARCH("미룸",K753)),ISNUMBER(SEARCH("나중에",K753)),ISNUMBER(SEARCH("보류",L753)),ISNUMBER(SEARCH("미룸",L753)),ISNUMBER(SEARCH("나중에",L753))),"보류(나중에 풀기)",IF(AND(F753="",G753="",H753="",I753=""),"미완료",IF(I753&lt;&gt;"","복습3(마스터)",IF(H753&lt;&gt;"","복습2",IF(G753&lt;&gt;"","복습1",IF(ISNUMBER(SEARCH("제미나이",K753)),"복습대기(AI도움)",IF(ISNUMBER(SEARCH("간당간당",K753)),"복습대기(간당간당)",IF(OR(ISNUMBER(SEARCH("아이디어",K753)),ISNUMBER(SEARCH("시간초과",K753)),ISNUMBER(SEARCH("자료구조",K753)),ISNUMBER(SEARCH("경계값",K753)),ISNUMBER(SEARCH("다른 풀이",K753)),ISNUMBER(SEARCH("또풀기",K753))),"복습대기",IF(OR(ISNUMBER(SEARCH("복습필요없음",K753)),ISNUMBER(SEARCH("자력완벽",K753))),"품(복습불필요)",IF(F753&lt;&gt;"","품","미완료"))))))))))</f>
        <v/>
      </c>
      <c r="K753" s="32" t="inlineStr">
        <is>
          <t>-</t>
        </is>
      </c>
      <c r="L753" s="32" t="n"/>
      <c r="M753" s="28">
        <f>IF(OR(LEFT(J753,2)="보류", LEFT(J753,4)="복습대기", LEFT(J753,3)="복습1", LEFT(J753,3)="복습2"), MAX($M$3:M752)+1, "")</f>
        <v/>
      </c>
      <c r="N753" s="28" t="inlineStr">
        <is>
          <t>W19</t>
        </is>
      </c>
      <c r="O753" s="36" t="n">
        <v>46384</v>
      </c>
      <c r="P753" s="30">
        <f>IF(F753&lt;&gt;"","✅ 완료",IF(O753="","-",IF(TODAY()&gt;O753,"🚨 지연","⏳ 예정")))</f>
        <v/>
      </c>
      <c r="Q753" s="7" t="n"/>
      <c r="R753" s="7" t="n"/>
      <c r="S753" s="7" t="n"/>
      <c r="T753" s="7" t="n"/>
      <c r="U753" s="7" t="n"/>
      <c r="V753" s="7" t="n"/>
      <c r="W753" s="7" t="n"/>
      <c r="X753" s="7" t="n"/>
    </row>
    <row r="754" ht="21.75" customHeight="1" s="209">
      <c r="A754" s="28" t="n">
        <v>751</v>
      </c>
      <c r="B754" s="28" t="inlineStr">
        <is>
          <t>1858</t>
        </is>
      </c>
      <c r="C754" s="30" t="inlineStr">
        <is>
          <t>D6</t>
        </is>
      </c>
      <c r="D754" s="32" t="inlineStr">
        <is>
          <t>모범 택시 드라이버</t>
        </is>
      </c>
      <c r="E754" s="28" t="inlineStr">
        <is>
          <t>동적계획법 (DP) / 그래프</t>
        </is>
      </c>
      <c r="F754" s="28" t="n"/>
      <c r="G754" s="28" t="n"/>
      <c r="H754" s="28" t="n"/>
      <c r="I754" s="28" t="n"/>
      <c r="J754" s="54">
        <f>IF(OR(ISNUMBER(SEARCH("보류",K754)),ISNUMBER(SEARCH("미룸",K754)),ISNUMBER(SEARCH("나중에",K754)),ISNUMBER(SEARCH("보류",L754)),ISNUMBER(SEARCH("미룸",L754)),ISNUMBER(SEARCH("나중에",L754))),"보류(나중에 풀기)",IF(AND(F754="",G754="",H754="",I754=""),"미완료",IF(I754&lt;&gt;"","복습3(마스터)",IF(H754&lt;&gt;"","복습2",IF(G754&lt;&gt;"","복습1",IF(ISNUMBER(SEARCH("제미나이",K754)),"복습대기(AI도움)",IF(ISNUMBER(SEARCH("간당간당",K754)),"복습대기(간당간당)",IF(OR(ISNUMBER(SEARCH("아이디어",K754)),ISNUMBER(SEARCH("시간초과",K754)),ISNUMBER(SEARCH("자료구조",K754)),ISNUMBER(SEARCH("경계값",K754)),ISNUMBER(SEARCH("다른 풀이",K754)),ISNUMBER(SEARCH("또풀기",K754))),"복습대기",IF(OR(ISNUMBER(SEARCH("복습필요없음",K754)),ISNUMBER(SEARCH("자력완벽",K754))),"품(복습불필요)",IF(F754&lt;&gt;"","품","미완료"))))))))))</f>
        <v/>
      </c>
      <c r="K754" s="32" t="inlineStr">
        <is>
          <t>-</t>
        </is>
      </c>
      <c r="L754" s="32" t="n"/>
      <c r="M754" s="28">
        <f>IF(OR(LEFT(J754,2)="보류", LEFT(J754,4)="복습대기", LEFT(J754,3)="복습1", LEFT(J754,3)="복습2"), MAX($M$3:M753)+1, "")</f>
        <v/>
      </c>
      <c r="N754" s="28" t="inlineStr">
        <is>
          <t>W19</t>
        </is>
      </c>
      <c r="O754" s="36" t="n">
        <v>46384</v>
      </c>
      <c r="P754" s="30">
        <f>IF(F754&lt;&gt;"","✅ 완료",IF(O754="","-",IF(TODAY()&gt;O754,"🚨 지연","⏳ 예정")))</f>
        <v/>
      </c>
      <c r="Q754" s="7" t="n"/>
      <c r="R754" s="7" t="n"/>
      <c r="S754" s="7" t="n"/>
      <c r="T754" s="7" t="n"/>
      <c r="U754" s="7" t="n"/>
      <c r="V754" s="7" t="n"/>
      <c r="W754" s="7" t="n"/>
      <c r="X754" s="7" t="n"/>
    </row>
    <row r="755" ht="21.75" customHeight="1" s="209">
      <c r="A755" s="28" t="n">
        <v>752</v>
      </c>
      <c r="B755" s="28" t="inlineStr">
        <is>
          <t>1906</t>
        </is>
      </c>
      <c r="C755" s="30" t="inlineStr">
        <is>
          <t>D6</t>
        </is>
      </c>
      <c r="D755" s="32" t="inlineStr">
        <is>
          <t>도시 공원 정비</t>
        </is>
      </c>
      <c r="E755" s="28" t="inlineStr">
        <is>
          <t>동적계획법 (DP) / 그래프</t>
        </is>
      </c>
      <c r="F755" s="28" t="n"/>
      <c r="G755" s="28" t="n"/>
      <c r="H755" s="28" t="n"/>
      <c r="I755" s="28" t="n"/>
      <c r="J755" s="54">
        <f>IF(OR(ISNUMBER(SEARCH("보류",K755)),ISNUMBER(SEARCH("미룸",K755)),ISNUMBER(SEARCH("나중에",K755)),ISNUMBER(SEARCH("보류",L755)),ISNUMBER(SEARCH("미룸",L755)),ISNUMBER(SEARCH("나중에",L755))),"보류(나중에 풀기)",IF(AND(F755="",G755="",H755="",I755=""),"미완료",IF(I755&lt;&gt;"","복습3(마스터)",IF(H755&lt;&gt;"","복습2",IF(G755&lt;&gt;"","복습1",IF(ISNUMBER(SEARCH("제미나이",K755)),"복습대기(AI도움)",IF(ISNUMBER(SEARCH("간당간당",K755)),"복습대기(간당간당)",IF(OR(ISNUMBER(SEARCH("아이디어",K755)),ISNUMBER(SEARCH("시간초과",K755)),ISNUMBER(SEARCH("자료구조",K755)),ISNUMBER(SEARCH("경계값",K755)),ISNUMBER(SEARCH("다른 풀이",K755)),ISNUMBER(SEARCH("또풀기",K755))),"복습대기",IF(OR(ISNUMBER(SEARCH("복습필요없음",K755)),ISNUMBER(SEARCH("자력완벽",K755))),"품(복습불필요)",IF(F755&lt;&gt;"","품","미완료"))))))))))</f>
        <v/>
      </c>
      <c r="K755" s="32" t="inlineStr">
        <is>
          <t>-</t>
        </is>
      </c>
      <c r="L755" s="32" t="n"/>
      <c r="M755" s="28">
        <f>IF(OR(LEFT(J755,2)="보류", LEFT(J755,4)="복습대기", LEFT(J755,3)="복습1", LEFT(J755,3)="복습2"), MAX($M$3:M754)+1, "")</f>
        <v/>
      </c>
      <c r="N755" s="28" t="inlineStr">
        <is>
          <t>W19</t>
        </is>
      </c>
      <c r="O755" s="36" t="n">
        <v>46384</v>
      </c>
      <c r="P755" s="30">
        <f>IF(F755&lt;&gt;"","✅ 완료",IF(O755="","-",IF(TODAY()&gt;O755,"🚨 지연","⏳ 예정")))</f>
        <v/>
      </c>
      <c r="Q755" s="7" t="n"/>
      <c r="R755" s="7" t="n"/>
      <c r="S755" s="7" t="n"/>
      <c r="T755" s="7" t="n"/>
      <c r="U755" s="7" t="n"/>
      <c r="V755" s="7" t="n"/>
      <c r="W755" s="7" t="n"/>
      <c r="X755" s="7" t="n"/>
    </row>
    <row r="756" ht="21.75" customHeight="1" s="209">
      <c r="A756" s="28" t="n">
        <v>753</v>
      </c>
      <c r="B756" s="28" t="inlineStr">
        <is>
          <t>1908</t>
        </is>
      </c>
      <c r="C756" s="30" t="inlineStr">
        <is>
          <t>D6</t>
        </is>
      </c>
      <c r="D756" s="32" t="inlineStr">
        <is>
          <t>빌라봉 이야기</t>
        </is>
      </c>
      <c r="E756" s="28" t="inlineStr">
        <is>
          <t>동적계획법 (DP) / 그래프</t>
        </is>
      </c>
      <c r="F756" s="28" t="n"/>
      <c r="G756" s="28" t="n"/>
      <c r="H756" s="28" t="n"/>
      <c r="I756" s="28" t="n"/>
      <c r="J756" s="54">
        <f>IF(OR(ISNUMBER(SEARCH("보류",K756)),ISNUMBER(SEARCH("미룸",K756)),ISNUMBER(SEARCH("나중에",K756)),ISNUMBER(SEARCH("보류",L756)),ISNUMBER(SEARCH("미룸",L756)),ISNUMBER(SEARCH("나중에",L756))),"보류(나중에 풀기)",IF(AND(F756="",G756="",H756="",I756=""),"미완료",IF(I756&lt;&gt;"","복습3(마스터)",IF(H756&lt;&gt;"","복습2",IF(G756&lt;&gt;"","복습1",IF(ISNUMBER(SEARCH("제미나이",K756)),"복습대기(AI도움)",IF(ISNUMBER(SEARCH("간당간당",K756)),"복습대기(간당간당)",IF(OR(ISNUMBER(SEARCH("아이디어",K756)),ISNUMBER(SEARCH("시간초과",K756)),ISNUMBER(SEARCH("자료구조",K756)),ISNUMBER(SEARCH("경계값",K756)),ISNUMBER(SEARCH("다른 풀이",K756)),ISNUMBER(SEARCH("또풀기",K756))),"복습대기",IF(OR(ISNUMBER(SEARCH("복습필요없음",K756)),ISNUMBER(SEARCH("자력완벽",K756))),"품(복습불필요)",IF(F756&lt;&gt;"","품","미완료"))))))))))</f>
        <v/>
      </c>
      <c r="K756" s="32" t="inlineStr">
        <is>
          <t>-</t>
        </is>
      </c>
      <c r="L756" s="32" t="n"/>
      <c r="M756" s="28">
        <f>IF(OR(LEFT(J756,2)="보류", LEFT(J756,4)="복습대기", LEFT(J756,3)="복습1", LEFT(J756,3)="복습2"), MAX($M$3:M755)+1, "")</f>
        <v/>
      </c>
      <c r="N756" s="28" t="inlineStr">
        <is>
          <t>W19</t>
        </is>
      </c>
      <c r="O756" s="36" t="n">
        <v>46384</v>
      </c>
      <c r="P756" s="30">
        <f>IF(F756&lt;&gt;"","✅ 완료",IF(O756="","-",IF(TODAY()&gt;O756,"🚨 지연","⏳ 예정")))</f>
        <v/>
      </c>
      <c r="Q756" s="7" t="n"/>
      <c r="R756" s="7" t="n"/>
      <c r="S756" s="7" t="n"/>
      <c r="T756" s="7" t="n"/>
      <c r="U756" s="7" t="n"/>
      <c r="V756" s="7" t="n"/>
      <c r="W756" s="7" t="n"/>
      <c r="X756" s="7" t="n"/>
    </row>
    <row r="757" ht="21.75" customHeight="1" s="209">
      <c r="A757" s="28" t="n">
        <v>754</v>
      </c>
      <c r="B757" s="28" t="inlineStr">
        <is>
          <t>1910</t>
        </is>
      </c>
      <c r="C757" s="30" t="inlineStr">
        <is>
          <t>D6</t>
        </is>
      </c>
      <c r="D757" s="32" t="inlineStr">
        <is>
          <t>종민이 햄버거 공장</t>
        </is>
      </c>
      <c r="E757" s="28" t="inlineStr">
        <is>
          <t>동적계획법 (DP) / 그래프</t>
        </is>
      </c>
      <c r="F757" s="28" t="n"/>
      <c r="G757" s="28" t="n"/>
      <c r="H757" s="28" t="n"/>
      <c r="I757" s="28" t="n"/>
      <c r="J757" s="54">
        <f>IF(OR(ISNUMBER(SEARCH("보류",K757)),ISNUMBER(SEARCH("미룸",K757)),ISNUMBER(SEARCH("나중에",K757)),ISNUMBER(SEARCH("보류",L757)),ISNUMBER(SEARCH("미룸",L757)),ISNUMBER(SEARCH("나중에",L757))),"보류(나중에 풀기)",IF(AND(F757="",G757="",H757="",I757=""),"미완료",IF(I757&lt;&gt;"","복습3(마스터)",IF(H757&lt;&gt;"","복습2",IF(G757&lt;&gt;"","복습1",IF(ISNUMBER(SEARCH("제미나이",K757)),"복습대기(AI도움)",IF(ISNUMBER(SEARCH("간당간당",K757)),"복습대기(간당간당)",IF(OR(ISNUMBER(SEARCH("아이디어",K757)),ISNUMBER(SEARCH("시간초과",K757)),ISNUMBER(SEARCH("자료구조",K757)),ISNUMBER(SEARCH("경계값",K757)),ISNUMBER(SEARCH("다른 풀이",K757)),ISNUMBER(SEARCH("또풀기",K757))),"복습대기",IF(OR(ISNUMBER(SEARCH("복습필요없음",K757)),ISNUMBER(SEARCH("자력완벽",K757))),"품(복습불필요)",IF(F757&lt;&gt;"","품","미완료"))))))))))</f>
        <v/>
      </c>
      <c r="K757" s="32" t="inlineStr">
        <is>
          <t>-</t>
        </is>
      </c>
      <c r="L757" s="32" t="n"/>
      <c r="M757" s="28">
        <f>IF(OR(LEFT(J757,2)="보류", LEFT(J757,4)="복습대기", LEFT(J757,3)="복습1", LEFT(J757,3)="복습2"), MAX($M$3:M756)+1, "")</f>
        <v/>
      </c>
      <c r="N757" s="28" t="inlineStr">
        <is>
          <t>W19</t>
        </is>
      </c>
      <c r="O757" s="36" t="n">
        <v>46384</v>
      </c>
      <c r="P757" s="30">
        <f>IF(F757&lt;&gt;"","✅ 완료",IF(O757="","-",IF(TODAY()&gt;O757,"🚨 지연","⏳ 예정")))</f>
        <v/>
      </c>
      <c r="Q757" s="7" t="n"/>
      <c r="R757" s="7" t="n"/>
      <c r="S757" s="7" t="n"/>
      <c r="T757" s="7" t="n"/>
      <c r="U757" s="7" t="n"/>
      <c r="V757" s="7" t="n"/>
      <c r="W757" s="7" t="n"/>
      <c r="X757" s="7" t="n"/>
    </row>
    <row r="758" ht="21.75" customHeight="1" s="209">
      <c r="A758" s="28" t="n">
        <v>755</v>
      </c>
      <c r="B758" s="28" t="inlineStr">
        <is>
          <t>1911</t>
        </is>
      </c>
      <c r="C758" s="30" t="inlineStr">
        <is>
          <t>D6</t>
        </is>
      </c>
      <c r="D758" s="32" t="inlineStr">
        <is>
          <t>닌자 주식회사</t>
        </is>
      </c>
      <c r="E758" s="28" t="inlineStr">
        <is>
          <t>동적계획법 (DP) / 그래프</t>
        </is>
      </c>
      <c r="F758" s="28" t="n"/>
      <c r="G758" s="28" t="n"/>
      <c r="H758" s="28" t="n"/>
      <c r="I758" s="28" t="n"/>
      <c r="J758" s="54">
        <f>IF(OR(ISNUMBER(SEARCH("보류",K758)),ISNUMBER(SEARCH("미룸",K758)),ISNUMBER(SEARCH("나중에",K758)),ISNUMBER(SEARCH("보류",L758)),ISNUMBER(SEARCH("미룸",L758)),ISNUMBER(SEARCH("나중에",L758))),"보류(나중에 풀기)",IF(AND(F758="",G758="",H758="",I758=""),"미완료",IF(I758&lt;&gt;"","복습3(마스터)",IF(H758&lt;&gt;"","복습2",IF(G758&lt;&gt;"","복습1",IF(ISNUMBER(SEARCH("제미나이",K758)),"복습대기(AI도움)",IF(ISNUMBER(SEARCH("간당간당",K758)),"복습대기(간당간당)",IF(OR(ISNUMBER(SEARCH("아이디어",K758)),ISNUMBER(SEARCH("시간초과",K758)),ISNUMBER(SEARCH("자료구조",K758)),ISNUMBER(SEARCH("경계값",K758)),ISNUMBER(SEARCH("다른 풀이",K758)),ISNUMBER(SEARCH("또풀기",K758))),"복습대기",IF(OR(ISNUMBER(SEARCH("복습필요없음",K758)),ISNUMBER(SEARCH("자력완벽",K758))),"품(복습불필요)",IF(F758&lt;&gt;"","품","미완료"))))))))))</f>
        <v/>
      </c>
      <c r="K758" s="32" t="inlineStr">
        <is>
          <t>-</t>
        </is>
      </c>
      <c r="L758" s="32" t="n"/>
      <c r="M758" s="28">
        <f>IF(OR(LEFT(J758,2)="보류", LEFT(J758,4)="복습대기", LEFT(J758,3)="복습1", LEFT(J758,3)="복습2"), MAX($M$3:M757)+1, "")</f>
        <v/>
      </c>
      <c r="N758" s="28" t="inlineStr">
        <is>
          <t>W19</t>
        </is>
      </c>
      <c r="O758" s="36" t="n">
        <v>46384</v>
      </c>
      <c r="P758" s="30">
        <f>IF(F758&lt;&gt;"","✅ 완료",IF(O758="","-",IF(TODAY()&gt;O758,"🚨 지연","⏳ 예정")))</f>
        <v/>
      </c>
      <c r="Q758" s="7" t="n"/>
      <c r="R758" s="7" t="n"/>
      <c r="S758" s="7" t="n"/>
      <c r="T758" s="7" t="n"/>
      <c r="U758" s="7" t="n"/>
      <c r="V758" s="7" t="n"/>
      <c r="W758" s="7" t="n"/>
      <c r="X758" s="7" t="n"/>
    </row>
    <row r="759" ht="21.75" customHeight="1" s="209">
      <c r="A759" s="28" t="n">
        <v>756</v>
      </c>
      <c r="B759" s="28" t="inlineStr">
        <is>
          <t>1914</t>
        </is>
      </c>
      <c r="C759" s="30" t="inlineStr">
        <is>
          <t>D6</t>
        </is>
      </c>
      <c r="D759" s="32" t="inlineStr">
        <is>
          <t>삼성 마을의 마라톤 경주</t>
        </is>
      </c>
      <c r="E759" s="28" t="inlineStr">
        <is>
          <t>동적계획법 (DP) / 그래프</t>
        </is>
      </c>
      <c r="F759" s="28" t="n"/>
      <c r="G759" s="28" t="n"/>
      <c r="H759" s="28" t="n"/>
      <c r="I759" s="28" t="n"/>
      <c r="J759" s="54">
        <f>IF(OR(ISNUMBER(SEARCH("보류",K759)),ISNUMBER(SEARCH("미룸",K759)),ISNUMBER(SEARCH("나중에",K759)),ISNUMBER(SEARCH("보류",L759)),ISNUMBER(SEARCH("미룸",L759)),ISNUMBER(SEARCH("나중에",L759))),"보류(나중에 풀기)",IF(AND(F759="",G759="",H759="",I759=""),"미완료",IF(I759&lt;&gt;"","복습3(마스터)",IF(H759&lt;&gt;"","복습2",IF(G759&lt;&gt;"","복습1",IF(ISNUMBER(SEARCH("제미나이",K759)),"복습대기(AI도움)",IF(ISNUMBER(SEARCH("간당간당",K759)),"복습대기(간당간당)",IF(OR(ISNUMBER(SEARCH("아이디어",K759)),ISNUMBER(SEARCH("시간초과",K759)),ISNUMBER(SEARCH("자료구조",K759)),ISNUMBER(SEARCH("경계값",K759)),ISNUMBER(SEARCH("다른 풀이",K759)),ISNUMBER(SEARCH("또풀기",K759))),"복습대기",IF(OR(ISNUMBER(SEARCH("복습필요없음",K759)),ISNUMBER(SEARCH("자력완벽",K759))),"품(복습불필요)",IF(F759&lt;&gt;"","품","미완료"))))))))))</f>
        <v/>
      </c>
      <c r="K759" s="32" t="inlineStr">
        <is>
          <t>-</t>
        </is>
      </c>
      <c r="L759" s="32" t="n"/>
      <c r="M759" s="28">
        <f>IF(OR(LEFT(J759,2)="보류", LEFT(J759,4)="복습대기", LEFT(J759,3)="복습1", LEFT(J759,3)="복습2"), MAX($M$3:M758)+1, "")</f>
        <v/>
      </c>
      <c r="N759" s="28" t="inlineStr">
        <is>
          <t>W19</t>
        </is>
      </c>
      <c r="O759" s="36" t="n">
        <v>46384</v>
      </c>
      <c r="P759" s="30">
        <f>IF(F759&lt;&gt;"","✅ 완료",IF(O759="","-",IF(TODAY()&gt;O759,"🚨 지연","⏳ 예정")))</f>
        <v/>
      </c>
      <c r="Q759" s="7" t="n"/>
      <c r="R759" s="7" t="n"/>
      <c r="S759" s="7" t="n"/>
      <c r="T759" s="7" t="n"/>
      <c r="U759" s="7" t="n"/>
      <c r="V759" s="7" t="n"/>
      <c r="W759" s="7" t="n"/>
      <c r="X759" s="7" t="n"/>
    </row>
    <row r="760" ht="21.75" customHeight="1" s="209">
      <c r="A760" s="28" t="n">
        <v>757</v>
      </c>
      <c r="B760" s="28" t="inlineStr">
        <is>
          <t>2862</t>
        </is>
      </c>
      <c r="C760" s="30" t="inlineStr">
        <is>
          <t>D6</t>
        </is>
      </c>
      <c r="D760" s="32" t="inlineStr">
        <is>
          <t>꼬마 자동차 로봇</t>
        </is>
      </c>
      <c r="E760" s="28" t="inlineStr">
        <is>
          <t>시뮬레이션 / 구현</t>
        </is>
      </c>
      <c r="F760" s="28" t="n"/>
      <c r="G760" s="28" t="n"/>
      <c r="H760" s="28" t="n"/>
      <c r="I760" s="28" t="n"/>
      <c r="J760" s="54">
        <f>IF(OR(ISNUMBER(SEARCH("보류",K760)),ISNUMBER(SEARCH("미룸",K760)),ISNUMBER(SEARCH("나중에",K760)),ISNUMBER(SEARCH("보류",L760)),ISNUMBER(SEARCH("미룸",L760)),ISNUMBER(SEARCH("나중에",L760))),"보류(나중에 풀기)",IF(AND(F760="",G760="",H760="",I760=""),"미완료",IF(I760&lt;&gt;"","복습3(마스터)",IF(H760&lt;&gt;"","복습2",IF(G760&lt;&gt;"","복습1",IF(ISNUMBER(SEARCH("제미나이",K760)),"복습대기(AI도움)",IF(ISNUMBER(SEARCH("간당간당",K760)),"복습대기(간당간당)",IF(OR(ISNUMBER(SEARCH("아이디어",K760)),ISNUMBER(SEARCH("시간초과",K760)),ISNUMBER(SEARCH("자료구조",K760)),ISNUMBER(SEARCH("경계값",K760)),ISNUMBER(SEARCH("다른 풀이",K760)),ISNUMBER(SEARCH("또풀기",K760))),"복습대기",IF(OR(ISNUMBER(SEARCH("복습필요없음",K760)),ISNUMBER(SEARCH("자력완벽",K760))),"품(복습불필요)",IF(F760&lt;&gt;"","품","미완료"))))))))))</f>
        <v/>
      </c>
      <c r="K760" s="32" t="inlineStr">
        <is>
          <t>-</t>
        </is>
      </c>
      <c r="L760" s="32" t="n"/>
      <c r="M760" s="28">
        <f>IF(OR(LEFT(J760,2)="보류", LEFT(J760,4)="복습대기", LEFT(J760,3)="복습1", LEFT(J760,3)="복습2"), MAX($M$3:M759)+1, "")</f>
        <v/>
      </c>
      <c r="N760" s="28" t="inlineStr">
        <is>
          <t>W19</t>
        </is>
      </c>
      <c r="O760" s="36" t="n">
        <v>46385</v>
      </c>
      <c r="P760" s="30">
        <f>IF(F760&lt;&gt;"","✅ 완료",IF(O760="","-",IF(TODAY()&gt;O760,"🚨 지연","⏳ 예정")))</f>
        <v/>
      </c>
      <c r="Q760" s="7" t="n"/>
      <c r="R760" s="7" t="n"/>
      <c r="S760" s="7" t="n"/>
      <c r="T760" s="7" t="n"/>
      <c r="U760" s="7" t="n"/>
      <c r="V760" s="7" t="n"/>
      <c r="W760" s="7" t="n"/>
      <c r="X760" s="7" t="n"/>
    </row>
    <row r="761" ht="21.75" customHeight="1" s="209">
      <c r="A761" s="28" t="n">
        <v>758</v>
      </c>
      <c r="B761" s="28" t="inlineStr">
        <is>
          <t>2987</t>
        </is>
      </c>
      <c r="C761" s="30" t="inlineStr">
        <is>
          <t>D6</t>
        </is>
      </c>
      <c r="D761" s="32" t="inlineStr">
        <is>
          <t>람세스 정원</t>
        </is>
      </c>
      <c r="E761" s="28" t="inlineStr">
        <is>
          <t>동적계획법 (DP) / 그래프</t>
        </is>
      </c>
      <c r="F761" s="28" t="n"/>
      <c r="G761" s="28" t="n"/>
      <c r="H761" s="28" t="n"/>
      <c r="I761" s="28" t="n"/>
      <c r="J761" s="54">
        <f>IF(OR(ISNUMBER(SEARCH("보류",K761)),ISNUMBER(SEARCH("미룸",K761)),ISNUMBER(SEARCH("나중에",K761)),ISNUMBER(SEARCH("보류",L761)),ISNUMBER(SEARCH("미룸",L761)),ISNUMBER(SEARCH("나중에",L761))),"보류(나중에 풀기)",IF(AND(F761="",G761="",H761="",I761=""),"미완료",IF(I761&lt;&gt;"","복습3(마스터)",IF(H761&lt;&gt;"","복습2",IF(G761&lt;&gt;"","복습1",IF(ISNUMBER(SEARCH("제미나이",K761)),"복습대기(AI도움)",IF(ISNUMBER(SEARCH("간당간당",K761)),"복습대기(간당간당)",IF(OR(ISNUMBER(SEARCH("아이디어",K761)),ISNUMBER(SEARCH("시간초과",K761)),ISNUMBER(SEARCH("자료구조",K761)),ISNUMBER(SEARCH("경계값",K761)),ISNUMBER(SEARCH("다른 풀이",K761)),ISNUMBER(SEARCH("또풀기",K761))),"복습대기",IF(OR(ISNUMBER(SEARCH("복습필요없음",K761)),ISNUMBER(SEARCH("자력완벽",K761))),"품(복습불필요)",IF(F761&lt;&gt;"","품","미완료"))))))))))</f>
        <v/>
      </c>
      <c r="K761" s="32" t="inlineStr">
        <is>
          <t>-</t>
        </is>
      </c>
      <c r="L761" s="32" t="n"/>
      <c r="M761" s="28">
        <f>IF(OR(LEFT(J761,2)="보류", LEFT(J761,4)="복습대기", LEFT(J761,3)="복습1", LEFT(J761,3)="복습2"), MAX($M$3:M760)+1, "")</f>
        <v/>
      </c>
      <c r="N761" s="28" t="inlineStr">
        <is>
          <t>W19</t>
        </is>
      </c>
      <c r="O761" s="36" t="n">
        <v>46385</v>
      </c>
      <c r="P761" s="30">
        <f>IF(F761&lt;&gt;"","✅ 완료",IF(O761="","-",IF(TODAY()&gt;O761,"🚨 지연","⏳ 예정")))</f>
        <v/>
      </c>
      <c r="Q761" s="7" t="n"/>
      <c r="R761" s="7" t="n"/>
      <c r="S761" s="7" t="n"/>
      <c r="T761" s="7" t="n"/>
      <c r="U761" s="7" t="n"/>
      <c r="V761" s="7" t="n"/>
      <c r="W761" s="7" t="n"/>
      <c r="X761" s="7" t="n"/>
    </row>
    <row r="762" ht="21.75" customHeight="1" s="209">
      <c r="A762" s="28" t="n">
        <v>759</v>
      </c>
      <c r="B762" s="28" t="inlineStr">
        <is>
          <t>3026</t>
        </is>
      </c>
      <c r="C762" s="30" t="inlineStr">
        <is>
          <t>D6</t>
        </is>
      </c>
      <c r="D762" s="32" t="inlineStr">
        <is>
          <t>긴 자리 곱셈</t>
        </is>
      </c>
      <c r="E762" s="28" t="inlineStr">
        <is>
          <t>수학 / 정수론</t>
        </is>
      </c>
      <c r="F762" s="28" t="n"/>
      <c r="G762" s="28" t="n"/>
      <c r="H762" s="28" t="n"/>
      <c r="I762" s="28" t="n"/>
      <c r="J762" s="54">
        <f>IF(OR(ISNUMBER(SEARCH("보류",K762)),ISNUMBER(SEARCH("미룸",K762)),ISNUMBER(SEARCH("나중에",K762)),ISNUMBER(SEARCH("보류",L762)),ISNUMBER(SEARCH("미룸",L762)),ISNUMBER(SEARCH("나중에",L762))),"보류(나중에 풀기)",IF(AND(F762="",G762="",H762="",I762=""),"미완료",IF(I762&lt;&gt;"","복습3(마스터)",IF(H762&lt;&gt;"","복습2",IF(G762&lt;&gt;"","복습1",IF(ISNUMBER(SEARCH("제미나이",K762)),"복습대기(AI도움)",IF(ISNUMBER(SEARCH("간당간당",K762)),"복습대기(간당간당)",IF(OR(ISNUMBER(SEARCH("아이디어",K762)),ISNUMBER(SEARCH("시간초과",K762)),ISNUMBER(SEARCH("자료구조",K762)),ISNUMBER(SEARCH("경계값",K762)),ISNUMBER(SEARCH("다른 풀이",K762)),ISNUMBER(SEARCH("또풀기",K762))),"복습대기",IF(OR(ISNUMBER(SEARCH("복습필요없음",K762)),ISNUMBER(SEARCH("자력완벽",K762))),"품(복습불필요)",IF(F762&lt;&gt;"","품","미완료"))))))))))</f>
        <v/>
      </c>
      <c r="K762" s="32" t="inlineStr">
        <is>
          <t>-</t>
        </is>
      </c>
      <c r="L762" s="32" t="n"/>
      <c r="M762" s="28">
        <f>IF(OR(LEFT(J762,2)="보류", LEFT(J762,4)="복습대기", LEFT(J762,3)="복습1", LEFT(J762,3)="복습2"), MAX($M$3:M761)+1, "")</f>
        <v/>
      </c>
      <c r="N762" s="28" t="inlineStr">
        <is>
          <t>W19</t>
        </is>
      </c>
      <c r="O762" s="36" t="n">
        <v>46385</v>
      </c>
      <c r="P762" s="30">
        <f>IF(F762&lt;&gt;"","✅ 완료",IF(O762="","-",IF(TODAY()&gt;O762,"🚨 지연","⏳ 예정")))</f>
        <v/>
      </c>
      <c r="Q762" s="7" t="n"/>
      <c r="R762" s="7" t="n"/>
      <c r="S762" s="7" t="n"/>
      <c r="T762" s="7" t="n"/>
      <c r="U762" s="7" t="n"/>
      <c r="V762" s="7" t="n"/>
      <c r="W762" s="7" t="n"/>
      <c r="X762" s="7" t="n"/>
    </row>
    <row r="763" ht="21.75" customHeight="1" s="209">
      <c r="A763" s="28" t="n">
        <v>760</v>
      </c>
      <c r="B763" s="28" t="inlineStr">
        <is>
          <t>3244</t>
        </is>
      </c>
      <c r="C763" s="30" t="inlineStr">
        <is>
          <t>D6</t>
        </is>
      </c>
      <c r="D763" s="32" t="inlineStr">
        <is>
          <t>균형 잡힌 경로</t>
        </is>
      </c>
      <c r="E763" s="28" t="inlineStr">
        <is>
          <t>DFS / 백트래킹</t>
        </is>
      </c>
      <c r="F763" s="28" t="n"/>
      <c r="G763" s="28" t="n"/>
      <c r="H763" s="28" t="n"/>
      <c r="I763" s="28" t="n"/>
      <c r="J763" s="54">
        <f>IF(OR(ISNUMBER(SEARCH("보류",K763)),ISNUMBER(SEARCH("미룸",K763)),ISNUMBER(SEARCH("나중에",K763)),ISNUMBER(SEARCH("보류",L763)),ISNUMBER(SEARCH("미룸",L763)),ISNUMBER(SEARCH("나중에",L763))),"보류(나중에 풀기)",IF(AND(F763="",G763="",H763="",I763=""),"미완료",IF(I763&lt;&gt;"","복습3(마스터)",IF(H763&lt;&gt;"","복습2",IF(G763&lt;&gt;"","복습1",IF(ISNUMBER(SEARCH("제미나이",K763)),"복습대기(AI도움)",IF(ISNUMBER(SEARCH("간당간당",K763)),"복습대기(간당간당)",IF(OR(ISNUMBER(SEARCH("아이디어",K763)),ISNUMBER(SEARCH("시간초과",K763)),ISNUMBER(SEARCH("자료구조",K763)),ISNUMBER(SEARCH("경계값",K763)),ISNUMBER(SEARCH("다른 풀이",K763)),ISNUMBER(SEARCH("또풀기",K763))),"복습대기",IF(OR(ISNUMBER(SEARCH("복습필요없음",K763)),ISNUMBER(SEARCH("자력완벽",K763))),"품(복습불필요)",IF(F763&lt;&gt;"","품","미완료"))))))))))</f>
        <v/>
      </c>
      <c r="K763" s="32" t="inlineStr">
        <is>
          <t>-</t>
        </is>
      </c>
      <c r="L763" s="32" t="n"/>
      <c r="M763" s="28">
        <f>IF(OR(LEFT(J763,2)="보류", LEFT(J763,4)="복습대기", LEFT(J763,3)="복습1", LEFT(J763,3)="복습2"), MAX($M$3:M762)+1, "")</f>
        <v/>
      </c>
      <c r="N763" s="28" t="inlineStr">
        <is>
          <t>W19</t>
        </is>
      </c>
      <c r="O763" s="36" t="n">
        <v>46385</v>
      </c>
      <c r="P763" s="30">
        <f>IF(F763&lt;&gt;"","✅ 완료",IF(O763="","-",IF(TODAY()&gt;O763,"🚨 지연","⏳ 예정")))</f>
        <v/>
      </c>
      <c r="Q763" s="7" t="n"/>
      <c r="R763" s="7" t="n"/>
      <c r="S763" s="7" t="n"/>
      <c r="T763" s="7" t="n"/>
      <c r="U763" s="7" t="n"/>
      <c r="V763" s="7" t="n"/>
      <c r="W763" s="7" t="n"/>
      <c r="X763" s="7" t="n"/>
    </row>
    <row r="764" ht="21.75" customHeight="1" s="209">
      <c r="A764" s="28" t="n">
        <v>761</v>
      </c>
      <c r="B764" s="28" t="inlineStr">
        <is>
          <t>3258</t>
        </is>
      </c>
      <c r="C764" s="30" t="inlineStr">
        <is>
          <t>D6</t>
        </is>
      </c>
      <c r="D764" s="32" t="inlineStr">
        <is>
          <t>트리와 K번째 수</t>
        </is>
      </c>
      <c r="E764" s="28" t="inlineStr">
        <is>
          <t>트리 / 힙 / 세그먼트트리</t>
        </is>
      </c>
      <c r="F764" s="28" t="n"/>
      <c r="G764" s="28" t="n"/>
      <c r="H764" s="28" t="n"/>
      <c r="I764" s="28" t="n"/>
      <c r="J764" s="54">
        <f>IF(OR(ISNUMBER(SEARCH("보류",K764)),ISNUMBER(SEARCH("미룸",K764)),ISNUMBER(SEARCH("나중에",K764)),ISNUMBER(SEARCH("보류",L764)),ISNUMBER(SEARCH("미룸",L764)),ISNUMBER(SEARCH("나중에",L764))),"보류(나중에 풀기)",IF(AND(F764="",G764="",H764="",I764=""),"미완료",IF(I764&lt;&gt;"","복습3(마스터)",IF(H764&lt;&gt;"","복습2",IF(G764&lt;&gt;"","복습1",IF(ISNUMBER(SEARCH("제미나이",K764)),"복습대기(AI도움)",IF(ISNUMBER(SEARCH("간당간당",K764)),"복습대기(간당간당)",IF(OR(ISNUMBER(SEARCH("아이디어",K764)),ISNUMBER(SEARCH("시간초과",K764)),ISNUMBER(SEARCH("자료구조",K764)),ISNUMBER(SEARCH("경계값",K764)),ISNUMBER(SEARCH("다른 풀이",K764)),ISNUMBER(SEARCH("또풀기",K764))),"복습대기",IF(OR(ISNUMBER(SEARCH("복습필요없음",K764)),ISNUMBER(SEARCH("자력완벽",K764))),"품(복습불필요)",IF(F764&lt;&gt;"","품","미완료"))))))))))</f>
        <v/>
      </c>
      <c r="K764" s="32" t="inlineStr">
        <is>
          <t>-</t>
        </is>
      </c>
      <c r="L764" s="32" t="n"/>
      <c r="M764" s="28">
        <f>IF(OR(LEFT(J764,2)="보류", LEFT(J764,4)="복습대기", LEFT(J764,3)="복습1", LEFT(J764,3)="복습2"), MAX($M$3:M763)+1, "")</f>
        <v/>
      </c>
      <c r="N764" s="28" t="inlineStr">
        <is>
          <t>W19</t>
        </is>
      </c>
      <c r="O764" s="36" t="n">
        <v>46385</v>
      </c>
      <c r="P764" s="30">
        <f>IF(F764&lt;&gt;"","✅ 완료",IF(O764="","-",IF(TODAY()&gt;O764,"🚨 지연","⏳ 예정")))</f>
        <v/>
      </c>
      <c r="Q764" s="7" t="n"/>
      <c r="R764" s="7" t="n"/>
      <c r="S764" s="7" t="n"/>
      <c r="T764" s="7" t="n"/>
      <c r="U764" s="7" t="n"/>
      <c r="V764" s="7" t="n"/>
      <c r="W764" s="7" t="n"/>
      <c r="X764" s="7" t="n"/>
    </row>
    <row r="765" ht="21.75" customHeight="1" s="209">
      <c r="A765" s="28" t="n">
        <v>762</v>
      </c>
      <c r="B765" s="28" t="inlineStr">
        <is>
          <t>3259</t>
        </is>
      </c>
      <c r="C765" s="30" t="inlineStr">
        <is>
          <t>D6</t>
        </is>
      </c>
      <c r="D765" s="32" t="inlineStr">
        <is>
          <t>더 복잡해진 팀 정하기</t>
        </is>
      </c>
      <c r="E765" s="28" t="inlineStr">
        <is>
          <t>동적계획법 (DP) / 그래프</t>
        </is>
      </c>
      <c r="F765" s="28" t="n"/>
      <c r="G765" s="28" t="n"/>
      <c r="H765" s="28" t="n"/>
      <c r="I765" s="28" t="n"/>
      <c r="J765" s="54">
        <f>IF(OR(ISNUMBER(SEARCH("보류",K765)),ISNUMBER(SEARCH("미룸",K765)),ISNUMBER(SEARCH("나중에",K765)),ISNUMBER(SEARCH("보류",L765)),ISNUMBER(SEARCH("미룸",L765)),ISNUMBER(SEARCH("나중에",L765))),"보류(나중에 풀기)",IF(AND(F765="",G765="",H765="",I765=""),"미완료",IF(I765&lt;&gt;"","복습3(마스터)",IF(H765&lt;&gt;"","복습2",IF(G765&lt;&gt;"","복습1",IF(ISNUMBER(SEARCH("제미나이",K765)),"복습대기(AI도움)",IF(ISNUMBER(SEARCH("간당간당",K765)),"복습대기(간당간당)",IF(OR(ISNUMBER(SEARCH("아이디어",K765)),ISNUMBER(SEARCH("시간초과",K765)),ISNUMBER(SEARCH("자료구조",K765)),ISNUMBER(SEARCH("경계값",K765)),ISNUMBER(SEARCH("다른 풀이",K765)),ISNUMBER(SEARCH("또풀기",K765))),"복습대기",IF(OR(ISNUMBER(SEARCH("복습필요없음",K765)),ISNUMBER(SEARCH("자력완벽",K765))),"품(복습불필요)",IF(F765&lt;&gt;"","품","미완료"))))))))))</f>
        <v/>
      </c>
      <c r="K765" s="32" t="inlineStr">
        <is>
          <t>-</t>
        </is>
      </c>
      <c r="L765" s="32" t="n"/>
      <c r="M765" s="28">
        <f>IF(OR(LEFT(J765,2)="보류", LEFT(J765,4)="복습대기", LEFT(J765,3)="복습1", LEFT(J765,3)="복습2"), MAX($M$3:M764)+1, "")</f>
        <v/>
      </c>
      <c r="N765" s="28" t="inlineStr">
        <is>
          <t>W19</t>
        </is>
      </c>
      <c r="O765" s="36" t="n">
        <v>46385</v>
      </c>
      <c r="P765" s="30">
        <f>IF(F765&lt;&gt;"","✅ 완료",IF(O765="","-",IF(TODAY()&gt;O765,"🚨 지연","⏳ 예정")))</f>
        <v/>
      </c>
      <c r="Q765" s="7" t="n"/>
      <c r="R765" s="7" t="n"/>
      <c r="S765" s="7" t="n"/>
      <c r="T765" s="7" t="n"/>
      <c r="U765" s="7" t="n"/>
      <c r="V765" s="7" t="n"/>
      <c r="W765" s="7" t="n"/>
      <c r="X765" s="7" t="n"/>
    </row>
    <row r="766" ht="21.75" customHeight="1" s="209">
      <c r="A766" s="28" t="n">
        <v>763</v>
      </c>
      <c r="B766" s="28" t="inlineStr">
        <is>
          <t>3311</t>
        </is>
      </c>
      <c r="C766" s="30" t="inlineStr">
        <is>
          <t>D6</t>
        </is>
      </c>
      <c r="D766" s="32" t="inlineStr">
        <is>
          <t>K보다 큰 부분 수열</t>
        </is>
      </c>
      <c r="E766" s="28" t="inlineStr">
        <is>
          <t>동적계획법 (DP)</t>
        </is>
      </c>
      <c r="F766" s="28" t="n"/>
      <c r="G766" s="28" t="n"/>
      <c r="H766" s="28" t="n"/>
      <c r="I766" s="28" t="n"/>
      <c r="J766" s="54">
        <f>IF(OR(ISNUMBER(SEARCH("보류",K766)),ISNUMBER(SEARCH("미룸",K766)),ISNUMBER(SEARCH("나중에",K766)),ISNUMBER(SEARCH("보류",L766)),ISNUMBER(SEARCH("미룸",L766)),ISNUMBER(SEARCH("나중에",L766))),"보류(나중에 풀기)",IF(AND(F766="",G766="",H766="",I766=""),"미완료",IF(I766&lt;&gt;"","복습3(마스터)",IF(H766&lt;&gt;"","복습2",IF(G766&lt;&gt;"","복습1",IF(ISNUMBER(SEARCH("제미나이",K766)),"복습대기(AI도움)",IF(ISNUMBER(SEARCH("간당간당",K766)),"복습대기(간당간당)",IF(OR(ISNUMBER(SEARCH("아이디어",K766)),ISNUMBER(SEARCH("시간초과",K766)),ISNUMBER(SEARCH("자료구조",K766)),ISNUMBER(SEARCH("경계값",K766)),ISNUMBER(SEARCH("다른 풀이",K766)),ISNUMBER(SEARCH("또풀기",K766))),"복습대기",IF(OR(ISNUMBER(SEARCH("복습필요없음",K766)),ISNUMBER(SEARCH("자력완벽",K766))),"품(복습불필요)",IF(F766&lt;&gt;"","품","미완료"))))))))))</f>
        <v/>
      </c>
      <c r="K766" s="32" t="inlineStr">
        <is>
          <t>-</t>
        </is>
      </c>
      <c r="L766" s="32" t="n"/>
      <c r="M766" s="28">
        <f>IF(OR(LEFT(J766,2)="보류", LEFT(J766,4)="복습대기", LEFT(J766,3)="복습1", LEFT(J766,3)="복습2"), MAX($M$3:M765)+1, "")</f>
        <v/>
      </c>
      <c r="N766" s="28" t="inlineStr">
        <is>
          <t>W19</t>
        </is>
      </c>
      <c r="O766" s="36" t="n">
        <v>46385</v>
      </c>
      <c r="P766" s="30">
        <f>IF(F766&lt;&gt;"","✅ 완료",IF(O766="","-",IF(TODAY()&gt;O766,"🚨 지연","⏳ 예정")))</f>
        <v/>
      </c>
      <c r="Q766" s="7" t="n"/>
      <c r="R766" s="7" t="n"/>
      <c r="S766" s="7" t="n"/>
      <c r="T766" s="7" t="n"/>
      <c r="U766" s="7" t="n"/>
      <c r="V766" s="7" t="n"/>
      <c r="W766" s="7" t="n"/>
      <c r="X766" s="7" t="n"/>
    </row>
    <row r="767" ht="21.75" customHeight="1" s="209">
      <c r="A767" s="28" t="n">
        <v>764</v>
      </c>
      <c r="B767" s="28" t="inlineStr">
        <is>
          <t>3367</t>
        </is>
      </c>
      <c r="C767" s="30" t="inlineStr">
        <is>
          <t>D6</t>
        </is>
      </c>
      <c r="D767" s="32" t="inlineStr">
        <is>
          <t>갤럭시 S9 공정개발</t>
        </is>
      </c>
      <c r="E767" s="28" t="inlineStr">
        <is>
          <t>동적계획법 (DP) / 그래프</t>
        </is>
      </c>
      <c r="F767" s="28" t="n"/>
      <c r="G767" s="28" t="n"/>
      <c r="H767" s="28" t="n"/>
      <c r="I767" s="28" t="n"/>
      <c r="J767" s="54">
        <f>IF(OR(ISNUMBER(SEARCH("보류",K767)),ISNUMBER(SEARCH("미룸",K767)),ISNUMBER(SEARCH("나중에",K767)),ISNUMBER(SEARCH("보류",L767)),ISNUMBER(SEARCH("미룸",L767)),ISNUMBER(SEARCH("나중에",L767))),"보류(나중에 풀기)",IF(AND(F767="",G767="",H767="",I767=""),"미완료",IF(I767&lt;&gt;"","복습3(마스터)",IF(H767&lt;&gt;"","복습2",IF(G767&lt;&gt;"","복습1",IF(ISNUMBER(SEARCH("제미나이",K767)),"복습대기(AI도움)",IF(ISNUMBER(SEARCH("간당간당",K767)),"복습대기(간당간당)",IF(OR(ISNUMBER(SEARCH("아이디어",K767)),ISNUMBER(SEARCH("시간초과",K767)),ISNUMBER(SEARCH("자료구조",K767)),ISNUMBER(SEARCH("경계값",K767)),ISNUMBER(SEARCH("다른 풀이",K767)),ISNUMBER(SEARCH("또풀기",K767))),"복습대기",IF(OR(ISNUMBER(SEARCH("복습필요없음",K767)),ISNUMBER(SEARCH("자력완벽",K767))),"품(복습불필요)",IF(F767&lt;&gt;"","품","미완료"))))))))))</f>
        <v/>
      </c>
      <c r="K767" s="32" t="inlineStr">
        <is>
          <t>-</t>
        </is>
      </c>
      <c r="L767" s="32" t="n"/>
      <c r="M767" s="28">
        <f>IF(OR(LEFT(J767,2)="보류", LEFT(J767,4)="복습대기", LEFT(J767,3)="복습1", LEFT(J767,3)="복습2"), MAX($M$3:M766)+1, "")</f>
        <v/>
      </c>
      <c r="N767" s="28" t="inlineStr">
        <is>
          <t>W19</t>
        </is>
      </c>
      <c r="O767" s="36" t="n">
        <v>46385</v>
      </c>
      <c r="P767" s="30">
        <f>IF(F767&lt;&gt;"","✅ 완료",IF(O767="","-",IF(TODAY()&gt;O767,"🚨 지연","⏳ 예정")))</f>
        <v/>
      </c>
      <c r="Q767" s="7" t="n"/>
      <c r="R767" s="7" t="n"/>
      <c r="S767" s="7" t="n"/>
      <c r="T767" s="7" t="n"/>
      <c r="U767" s="7" t="n"/>
      <c r="V767" s="7" t="n"/>
      <c r="W767" s="7" t="n"/>
      <c r="X767" s="7" t="n"/>
    </row>
    <row r="768" ht="21.75" customHeight="1" s="209">
      <c r="A768" s="28" t="n">
        <v>765</v>
      </c>
      <c r="B768" s="28" t="inlineStr">
        <is>
          <t>3398</t>
        </is>
      </c>
      <c r="C768" s="30" t="inlineStr">
        <is>
          <t>D6</t>
        </is>
      </c>
      <c r="D768" s="32" t="inlineStr">
        <is>
          <t>재성이의 비료주기</t>
        </is>
      </c>
      <c r="E768" s="28" t="inlineStr">
        <is>
          <t>동적계획법 (DP) / 그래프</t>
        </is>
      </c>
      <c r="F768" s="28" t="n"/>
      <c r="G768" s="28" t="n"/>
      <c r="H768" s="28" t="n"/>
      <c r="I768" s="28" t="n"/>
      <c r="J768" s="54">
        <f>IF(OR(ISNUMBER(SEARCH("보류",K768)),ISNUMBER(SEARCH("미룸",K768)),ISNUMBER(SEARCH("나중에",K768)),ISNUMBER(SEARCH("보류",L768)),ISNUMBER(SEARCH("미룸",L768)),ISNUMBER(SEARCH("나중에",L768))),"보류(나중에 풀기)",IF(AND(F768="",G768="",H768="",I768=""),"미완료",IF(I768&lt;&gt;"","복습3(마스터)",IF(H768&lt;&gt;"","복습2",IF(G768&lt;&gt;"","복습1",IF(ISNUMBER(SEARCH("제미나이",K768)),"복습대기(AI도움)",IF(ISNUMBER(SEARCH("간당간당",K768)),"복습대기(간당간당)",IF(OR(ISNUMBER(SEARCH("아이디어",K768)),ISNUMBER(SEARCH("시간초과",K768)),ISNUMBER(SEARCH("자료구조",K768)),ISNUMBER(SEARCH("경계값",K768)),ISNUMBER(SEARCH("다른 풀이",K768)),ISNUMBER(SEARCH("또풀기",K768))),"복습대기",IF(OR(ISNUMBER(SEARCH("복습필요없음",K768)),ISNUMBER(SEARCH("자력완벽",K768))),"품(복습불필요)",IF(F768&lt;&gt;"","품","미완료"))))))))))</f>
        <v/>
      </c>
      <c r="K768" s="32" t="inlineStr">
        <is>
          <t>-</t>
        </is>
      </c>
      <c r="L768" s="32" t="n"/>
      <c r="M768" s="28">
        <f>IF(OR(LEFT(J768,2)="보류", LEFT(J768,4)="복습대기", LEFT(J768,3)="복습1", LEFT(J768,3)="복습2"), MAX($M$3:M767)+1, "")</f>
        <v/>
      </c>
      <c r="N768" s="28" t="inlineStr">
        <is>
          <t>W19</t>
        </is>
      </c>
      <c r="O768" s="36" t="n">
        <v>46386</v>
      </c>
      <c r="P768" s="30">
        <f>IF(F768&lt;&gt;"","✅ 완료",IF(O768="","-",IF(TODAY()&gt;O768,"🚨 지연","⏳ 예정")))</f>
        <v/>
      </c>
      <c r="Q768" s="7" t="n"/>
      <c r="R768" s="7" t="n"/>
      <c r="S768" s="7" t="n"/>
      <c r="T768" s="7" t="n"/>
      <c r="U768" s="7" t="n"/>
      <c r="V768" s="7" t="n"/>
      <c r="W768" s="7" t="n"/>
      <c r="X768" s="7" t="n"/>
    </row>
    <row r="769" ht="21.75" customHeight="1" s="209">
      <c r="A769" s="28" t="n">
        <v>766</v>
      </c>
      <c r="B769" s="28" t="inlineStr">
        <is>
          <t>3754</t>
        </is>
      </c>
      <c r="C769" s="30" t="inlineStr">
        <is>
          <t>D6</t>
        </is>
      </c>
      <c r="D769" s="32" t="inlineStr">
        <is>
          <t>태혁이의 색연필 놀이</t>
        </is>
      </c>
      <c r="E769" s="28" t="inlineStr">
        <is>
          <t>동적계획법 (DP) / 그래프</t>
        </is>
      </c>
      <c r="F769" s="28" t="n"/>
      <c r="G769" s="28" t="n"/>
      <c r="H769" s="28" t="n"/>
      <c r="I769" s="28" t="n"/>
      <c r="J769" s="54">
        <f>IF(OR(ISNUMBER(SEARCH("보류",K769)),ISNUMBER(SEARCH("미룸",K769)),ISNUMBER(SEARCH("나중에",K769)),ISNUMBER(SEARCH("보류",L769)),ISNUMBER(SEARCH("미룸",L769)),ISNUMBER(SEARCH("나중에",L769))),"보류(나중에 풀기)",IF(AND(F769="",G769="",H769="",I769=""),"미완료",IF(I769&lt;&gt;"","복습3(마스터)",IF(H769&lt;&gt;"","복습2",IF(G769&lt;&gt;"","복습1",IF(ISNUMBER(SEARCH("제미나이",K769)),"복습대기(AI도움)",IF(ISNUMBER(SEARCH("간당간당",K769)),"복습대기(간당간당)",IF(OR(ISNUMBER(SEARCH("아이디어",K769)),ISNUMBER(SEARCH("시간초과",K769)),ISNUMBER(SEARCH("자료구조",K769)),ISNUMBER(SEARCH("경계값",K769)),ISNUMBER(SEARCH("다른 풀이",K769)),ISNUMBER(SEARCH("또풀기",K769))),"복습대기",IF(OR(ISNUMBER(SEARCH("복습필요없음",K769)),ISNUMBER(SEARCH("자력완벽",K769))),"품(복습불필요)",IF(F769&lt;&gt;"","품","미완료"))))))))))</f>
        <v/>
      </c>
      <c r="K769" s="32" t="inlineStr">
        <is>
          <t>-</t>
        </is>
      </c>
      <c r="L769" s="32" t="n"/>
      <c r="M769" s="28">
        <f>IF(OR(LEFT(J769,2)="보류", LEFT(J769,4)="복습대기", LEFT(J769,3)="복습1", LEFT(J769,3)="복습2"), MAX($M$3:M768)+1, "")</f>
        <v/>
      </c>
      <c r="N769" s="28" t="inlineStr">
        <is>
          <t>W19</t>
        </is>
      </c>
      <c r="O769" s="36" t="n">
        <v>46386</v>
      </c>
      <c r="P769" s="30">
        <f>IF(F769&lt;&gt;"","✅ 완료",IF(O769="","-",IF(TODAY()&gt;O769,"🚨 지연","⏳ 예정")))</f>
        <v/>
      </c>
      <c r="Q769" s="7" t="n"/>
      <c r="R769" s="7" t="n"/>
      <c r="S769" s="7" t="n"/>
      <c r="T769" s="7" t="n"/>
      <c r="U769" s="7" t="n"/>
      <c r="V769" s="7" t="n"/>
      <c r="W769" s="7" t="n"/>
      <c r="X769" s="7" t="n"/>
    </row>
    <row r="770" ht="21.75" customHeight="1" s="209">
      <c r="A770" s="28" t="n">
        <v>767</v>
      </c>
      <c r="B770" s="28" t="inlineStr">
        <is>
          <t>3803</t>
        </is>
      </c>
      <c r="C770" s="30" t="inlineStr">
        <is>
          <t>D6</t>
        </is>
      </c>
      <c r="D770" s="32" t="inlineStr">
        <is>
          <t>혜정이의 색칠공부</t>
        </is>
      </c>
      <c r="E770" s="28" t="inlineStr">
        <is>
          <t>동적계획법 (DP) / 그래프</t>
        </is>
      </c>
      <c r="F770" s="28" t="n"/>
      <c r="G770" s="28" t="n"/>
      <c r="H770" s="28" t="n"/>
      <c r="I770" s="28" t="n"/>
      <c r="J770" s="54">
        <f>IF(OR(ISNUMBER(SEARCH("보류",K770)),ISNUMBER(SEARCH("미룸",K770)),ISNUMBER(SEARCH("나중에",K770)),ISNUMBER(SEARCH("보류",L770)),ISNUMBER(SEARCH("미룸",L770)),ISNUMBER(SEARCH("나중에",L770))),"보류(나중에 풀기)",IF(AND(F770="",G770="",H770="",I770=""),"미완료",IF(I770&lt;&gt;"","복습3(마스터)",IF(H770&lt;&gt;"","복습2",IF(G770&lt;&gt;"","복습1",IF(ISNUMBER(SEARCH("제미나이",K770)),"복습대기(AI도움)",IF(ISNUMBER(SEARCH("간당간당",K770)),"복습대기(간당간당)",IF(OR(ISNUMBER(SEARCH("아이디어",K770)),ISNUMBER(SEARCH("시간초과",K770)),ISNUMBER(SEARCH("자료구조",K770)),ISNUMBER(SEARCH("경계값",K770)),ISNUMBER(SEARCH("다른 풀이",K770)),ISNUMBER(SEARCH("또풀기",K770))),"복습대기",IF(OR(ISNUMBER(SEARCH("복습필요없음",K770)),ISNUMBER(SEARCH("자력완벽",K770))),"품(복습불필요)",IF(F770&lt;&gt;"","품","미완료"))))))))))</f>
        <v/>
      </c>
      <c r="K770" s="32" t="inlineStr">
        <is>
          <t>-</t>
        </is>
      </c>
      <c r="L770" s="32" t="n"/>
      <c r="M770" s="28">
        <f>IF(OR(LEFT(J770,2)="보류", LEFT(J770,4)="복습대기", LEFT(J770,3)="복습1", LEFT(J770,3)="복습2"), MAX($M$3:M769)+1, "")</f>
        <v/>
      </c>
      <c r="N770" s="28" t="inlineStr">
        <is>
          <t>W19</t>
        </is>
      </c>
      <c r="O770" s="36" t="n">
        <v>46386</v>
      </c>
      <c r="P770" s="30">
        <f>IF(F770&lt;&gt;"","✅ 완료",IF(O770="","-",IF(TODAY()&gt;O770,"🚨 지연","⏳ 예정")))</f>
        <v/>
      </c>
      <c r="Q770" s="7" t="n"/>
      <c r="R770" s="7" t="n"/>
      <c r="S770" s="7" t="n"/>
      <c r="T770" s="7" t="n"/>
      <c r="U770" s="7" t="n"/>
      <c r="V770" s="7" t="n"/>
      <c r="W770" s="7" t="n"/>
      <c r="X770" s="7" t="n"/>
    </row>
    <row r="771" ht="21.75" customHeight="1" s="209">
      <c r="A771" s="28" t="n">
        <v>768</v>
      </c>
      <c r="B771" s="28" t="inlineStr">
        <is>
          <t>3805</t>
        </is>
      </c>
      <c r="C771" s="30" t="inlineStr">
        <is>
          <t>D6</t>
        </is>
      </c>
      <c r="D771" s="32" t="inlineStr">
        <is>
          <t>온전한 구획의 공장 가동하기</t>
        </is>
      </c>
      <c r="E771" s="28" t="inlineStr">
        <is>
          <t>동적계획법 (DP) / 그래프</t>
        </is>
      </c>
      <c r="F771" s="28" t="n"/>
      <c r="G771" s="28" t="n"/>
      <c r="H771" s="28" t="n"/>
      <c r="I771" s="28" t="n"/>
      <c r="J771" s="54">
        <f>IF(OR(ISNUMBER(SEARCH("보류",K771)),ISNUMBER(SEARCH("미룸",K771)),ISNUMBER(SEARCH("나중에",K771)),ISNUMBER(SEARCH("보류",L771)),ISNUMBER(SEARCH("미룸",L771)),ISNUMBER(SEARCH("나중에",L771))),"보류(나중에 풀기)",IF(AND(F771="",G771="",H771="",I771=""),"미완료",IF(I771&lt;&gt;"","복습3(마스터)",IF(H771&lt;&gt;"","복습2",IF(G771&lt;&gt;"","복습1",IF(ISNUMBER(SEARCH("제미나이",K771)),"복습대기(AI도움)",IF(ISNUMBER(SEARCH("간당간당",K771)),"복습대기(간당간당)",IF(OR(ISNUMBER(SEARCH("아이디어",K771)),ISNUMBER(SEARCH("시간초과",K771)),ISNUMBER(SEARCH("자료구조",K771)),ISNUMBER(SEARCH("경계값",K771)),ISNUMBER(SEARCH("다른 풀이",K771)),ISNUMBER(SEARCH("또풀기",K771))),"복습대기",IF(OR(ISNUMBER(SEARCH("복습필요없음",K771)),ISNUMBER(SEARCH("자력완벽",K771))),"품(복습불필요)",IF(F771&lt;&gt;"","품","미완료"))))))))))</f>
        <v/>
      </c>
      <c r="K771" s="32" t="inlineStr">
        <is>
          <t>-</t>
        </is>
      </c>
      <c r="L771" s="32" t="n"/>
      <c r="M771" s="28">
        <f>IF(OR(LEFT(J771,2)="보류", LEFT(J771,4)="복습대기", LEFT(J771,3)="복습1", LEFT(J771,3)="복습2"), MAX($M$3:M770)+1, "")</f>
        <v/>
      </c>
      <c r="N771" s="28" t="inlineStr">
        <is>
          <t>W19</t>
        </is>
      </c>
      <c r="O771" s="36" t="n">
        <v>46386</v>
      </c>
      <c r="P771" s="30">
        <f>IF(F771&lt;&gt;"","✅ 완료",IF(O771="","-",IF(TODAY()&gt;O771,"🚨 지연","⏳ 예정")))</f>
        <v/>
      </c>
      <c r="Q771" s="7" t="n"/>
      <c r="R771" s="7" t="n"/>
      <c r="S771" s="7" t="n"/>
      <c r="T771" s="7" t="n"/>
      <c r="U771" s="7" t="n"/>
      <c r="V771" s="7" t="n"/>
      <c r="W771" s="7" t="n"/>
      <c r="X771" s="7" t="n"/>
    </row>
    <row r="772" ht="21.75" customHeight="1" s="209">
      <c r="A772" s="28" t="n">
        <v>769</v>
      </c>
      <c r="B772" s="28" t="inlineStr">
        <is>
          <t>3813</t>
        </is>
      </c>
      <c r="C772" s="30" t="inlineStr">
        <is>
          <t>D6</t>
        </is>
      </c>
      <c r="D772" s="32" t="inlineStr">
        <is>
          <t>[Professional] 그래도 수명이 절반이 되어서는...</t>
        </is>
      </c>
      <c r="E772" s="28" t="inlineStr">
        <is>
          <t>동적계획법 (DP) / 그래프</t>
        </is>
      </c>
      <c r="F772" s="28" t="n"/>
      <c r="G772" s="28" t="n"/>
      <c r="H772" s="28" t="n"/>
      <c r="I772" s="28" t="n"/>
      <c r="J772" s="54">
        <f>IF(OR(ISNUMBER(SEARCH("보류",K772)),ISNUMBER(SEARCH("미룸",K772)),ISNUMBER(SEARCH("나중에",K772)),ISNUMBER(SEARCH("보류",L772)),ISNUMBER(SEARCH("미룸",L772)),ISNUMBER(SEARCH("나중에",L772))),"보류(나중에 풀기)",IF(AND(F772="",G772="",H772="",I772=""),"미완료",IF(I772&lt;&gt;"","복습3(마스터)",IF(H772&lt;&gt;"","복습2",IF(G772&lt;&gt;"","복습1",IF(ISNUMBER(SEARCH("제미나이",K772)),"복습대기(AI도움)",IF(ISNUMBER(SEARCH("간당간당",K772)),"복습대기(간당간당)",IF(OR(ISNUMBER(SEARCH("아이디어",K772)),ISNUMBER(SEARCH("시간초과",K772)),ISNUMBER(SEARCH("자료구조",K772)),ISNUMBER(SEARCH("경계값",K772)),ISNUMBER(SEARCH("다른 풀이",K772)),ISNUMBER(SEARCH("또풀기",K772))),"복습대기",IF(OR(ISNUMBER(SEARCH("복습필요없음",K772)),ISNUMBER(SEARCH("자력완벽",K772))),"품(복습불필요)",IF(F772&lt;&gt;"","품","미완료"))))))))))</f>
        <v/>
      </c>
      <c r="K772" s="32" t="inlineStr">
        <is>
          <t>-</t>
        </is>
      </c>
      <c r="L772" s="32" t="n"/>
      <c r="M772" s="28">
        <f>IF(OR(LEFT(J772,2)="보류", LEFT(J772,4)="복습대기", LEFT(J772,3)="복습1", LEFT(J772,3)="복습2"), MAX($M$3:M771)+1, "")</f>
        <v/>
      </c>
      <c r="N772" s="28" t="inlineStr">
        <is>
          <t>W19</t>
        </is>
      </c>
      <c r="O772" s="36" t="n">
        <v>46386</v>
      </c>
      <c r="P772" s="30">
        <f>IF(F772&lt;&gt;"","✅ 완료",IF(O772="","-",IF(TODAY()&gt;O772,"🚨 지연","⏳ 예정")))</f>
        <v/>
      </c>
      <c r="Q772" s="7" t="n"/>
      <c r="R772" s="7" t="n"/>
      <c r="S772" s="7" t="n"/>
      <c r="T772" s="7" t="n"/>
      <c r="U772" s="7" t="n"/>
      <c r="V772" s="7" t="n"/>
      <c r="W772" s="7" t="n"/>
      <c r="X772" s="7" t="n"/>
    </row>
    <row r="773" ht="21.75" customHeight="1" s="209">
      <c r="A773" s="28" t="n">
        <v>770</v>
      </c>
      <c r="B773" s="28" t="inlineStr">
        <is>
          <t>3950</t>
        </is>
      </c>
      <c r="C773" s="30" t="inlineStr">
        <is>
          <t>D6</t>
        </is>
      </c>
      <c r="D773" s="32" t="inlineStr">
        <is>
          <t>[Professional] 괄호</t>
        </is>
      </c>
      <c r="E773" s="28" t="inlineStr">
        <is>
          <t>자료구조 (스택/큐/리스트)</t>
        </is>
      </c>
      <c r="F773" s="28" t="n"/>
      <c r="G773" s="28" t="n"/>
      <c r="H773" s="28" t="n"/>
      <c r="I773" s="28" t="n"/>
      <c r="J773" s="54">
        <f>IF(OR(ISNUMBER(SEARCH("보류",K773)),ISNUMBER(SEARCH("미룸",K773)),ISNUMBER(SEARCH("나중에",K773)),ISNUMBER(SEARCH("보류",L773)),ISNUMBER(SEARCH("미룸",L773)),ISNUMBER(SEARCH("나중에",L773))),"보류(나중에 풀기)",IF(AND(F773="",G773="",H773="",I773=""),"미완료",IF(I773&lt;&gt;"","복습3(마스터)",IF(H773&lt;&gt;"","복습2",IF(G773&lt;&gt;"","복습1",IF(ISNUMBER(SEARCH("제미나이",K773)),"복습대기(AI도움)",IF(ISNUMBER(SEARCH("간당간당",K773)),"복습대기(간당간당)",IF(OR(ISNUMBER(SEARCH("아이디어",K773)),ISNUMBER(SEARCH("시간초과",K773)),ISNUMBER(SEARCH("자료구조",K773)),ISNUMBER(SEARCH("경계값",K773)),ISNUMBER(SEARCH("다른 풀이",K773)),ISNUMBER(SEARCH("또풀기",K773))),"복습대기",IF(OR(ISNUMBER(SEARCH("복습필요없음",K773)),ISNUMBER(SEARCH("자력완벽",K773))),"품(복습불필요)",IF(F773&lt;&gt;"","품","미완료"))))))))))</f>
        <v/>
      </c>
      <c r="K773" s="32" t="inlineStr">
        <is>
          <t>-</t>
        </is>
      </c>
      <c r="L773" s="32" t="n"/>
      <c r="M773" s="28">
        <f>IF(OR(LEFT(J773,2)="보류", LEFT(J773,4)="복습대기", LEFT(J773,3)="복습1", LEFT(J773,3)="복습2"), MAX($M$3:M772)+1, "")</f>
        <v/>
      </c>
      <c r="N773" s="28" t="inlineStr">
        <is>
          <t>W19</t>
        </is>
      </c>
      <c r="O773" s="36" t="n">
        <v>46386</v>
      </c>
      <c r="P773" s="30">
        <f>IF(F773&lt;&gt;"","✅ 완료",IF(O773="","-",IF(TODAY()&gt;O773,"🚨 지연","⏳ 예정")))</f>
        <v/>
      </c>
      <c r="Q773" s="7" t="n"/>
      <c r="R773" s="7" t="n"/>
      <c r="S773" s="7" t="n"/>
      <c r="T773" s="7" t="n"/>
      <c r="U773" s="7" t="n"/>
      <c r="V773" s="7" t="n"/>
      <c r="W773" s="7" t="n"/>
      <c r="X773" s="7" t="n"/>
    </row>
    <row r="774" ht="21.75" customHeight="1" s="209">
      <c r="A774" s="28" t="n">
        <v>771</v>
      </c>
      <c r="B774" s="28" t="inlineStr">
        <is>
          <t>3968</t>
        </is>
      </c>
      <c r="C774" s="30" t="inlineStr">
        <is>
          <t>D6</t>
        </is>
      </c>
      <c r="D774" s="32" t="inlineStr">
        <is>
          <t>범준이의 돌 옮기기</t>
        </is>
      </c>
      <c r="E774" s="28" t="inlineStr">
        <is>
          <t>동적계획법 (DP) / 그래프</t>
        </is>
      </c>
      <c r="F774" s="28" t="n"/>
      <c r="G774" s="28" t="n"/>
      <c r="H774" s="28" t="n"/>
      <c r="I774" s="28" t="n"/>
      <c r="J774" s="54">
        <f>IF(OR(ISNUMBER(SEARCH("보류",K774)),ISNUMBER(SEARCH("미룸",K774)),ISNUMBER(SEARCH("나중에",K774)),ISNUMBER(SEARCH("보류",L774)),ISNUMBER(SEARCH("미룸",L774)),ISNUMBER(SEARCH("나중에",L774))),"보류(나중에 풀기)",IF(AND(F774="",G774="",H774="",I774=""),"미완료",IF(I774&lt;&gt;"","복습3(마스터)",IF(H774&lt;&gt;"","복습2",IF(G774&lt;&gt;"","복습1",IF(ISNUMBER(SEARCH("제미나이",K774)),"복습대기(AI도움)",IF(ISNUMBER(SEARCH("간당간당",K774)),"복습대기(간당간당)",IF(OR(ISNUMBER(SEARCH("아이디어",K774)),ISNUMBER(SEARCH("시간초과",K774)),ISNUMBER(SEARCH("자료구조",K774)),ISNUMBER(SEARCH("경계값",K774)),ISNUMBER(SEARCH("다른 풀이",K774)),ISNUMBER(SEARCH("또풀기",K774))),"복습대기",IF(OR(ISNUMBER(SEARCH("복습필요없음",K774)),ISNUMBER(SEARCH("자력완벽",K774))),"품(복습불필요)",IF(F774&lt;&gt;"","품","미완료"))))))))))</f>
        <v/>
      </c>
      <c r="K774" s="32" t="inlineStr">
        <is>
          <t>-</t>
        </is>
      </c>
      <c r="L774" s="32" t="n"/>
      <c r="M774" s="28">
        <f>IF(OR(LEFT(J774,2)="보류", LEFT(J774,4)="복습대기", LEFT(J774,3)="복습1", LEFT(J774,3)="복습2"), MAX($M$3:M773)+1, "")</f>
        <v/>
      </c>
      <c r="N774" s="28" t="inlineStr">
        <is>
          <t>W19</t>
        </is>
      </c>
      <c r="O774" s="36" t="n">
        <v>46386</v>
      </c>
      <c r="P774" s="30">
        <f>IF(F774&lt;&gt;"","✅ 완료",IF(O774="","-",IF(TODAY()&gt;O774,"🚨 지연","⏳ 예정")))</f>
        <v/>
      </c>
      <c r="Q774" s="7" t="n"/>
      <c r="R774" s="7" t="n"/>
      <c r="S774" s="7" t="n"/>
      <c r="T774" s="7" t="n"/>
      <c r="U774" s="7" t="n"/>
      <c r="V774" s="7" t="n"/>
      <c r="W774" s="7" t="n"/>
      <c r="X774" s="7" t="n"/>
    </row>
    <row r="775" ht="21.75" customHeight="1" s="209">
      <c r="A775" s="28" t="n">
        <v>772</v>
      </c>
      <c r="B775" s="28" t="inlineStr">
        <is>
          <t>4041</t>
        </is>
      </c>
      <c r="C775" s="30" t="inlineStr">
        <is>
          <t>D6</t>
        </is>
      </c>
      <c r="D775" s="32" t="inlineStr">
        <is>
          <t>[Professional] Convex</t>
        </is>
      </c>
      <c r="E775" s="28" t="inlineStr">
        <is>
          <t>동적계획법 (DP) / 그래프</t>
        </is>
      </c>
      <c r="F775" s="28" t="n"/>
      <c r="G775" s="28" t="n"/>
      <c r="H775" s="28" t="n"/>
      <c r="I775" s="28" t="n"/>
      <c r="J775" s="54">
        <f>IF(OR(ISNUMBER(SEARCH("보류",K775)),ISNUMBER(SEARCH("미룸",K775)),ISNUMBER(SEARCH("나중에",K775)),ISNUMBER(SEARCH("보류",L775)),ISNUMBER(SEARCH("미룸",L775)),ISNUMBER(SEARCH("나중에",L775))),"보류(나중에 풀기)",IF(AND(F775="",G775="",H775="",I775=""),"미완료",IF(I775&lt;&gt;"","복습3(마스터)",IF(H775&lt;&gt;"","복습2",IF(G775&lt;&gt;"","복습1",IF(ISNUMBER(SEARCH("제미나이",K775)),"복습대기(AI도움)",IF(ISNUMBER(SEARCH("간당간당",K775)),"복습대기(간당간당)",IF(OR(ISNUMBER(SEARCH("아이디어",K775)),ISNUMBER(SEARCH("시간초과",K775)),ISNUMBER(SEARCH("자료구조",K775)),ISNUMBER(SEARCH("경계값",K775)),ISNUMBER(SEARCH("다른 풀이",K775)),ISNUMBER(SEARCH("또풀기",K775))),"복습대기",IF(OR(ISNUMBER(SEARCH("복습필요없음",K775)),ISNUMBER(SEARCH("자력완벽",K775))),"품(복습불필요)",IF(F775&lt;&gt;"","품","미완료"))))))))))</f>
        <v/>
      </c>
      <c r="K775" s="32" t="inlineStr">
        <is>
          <t>-</t>
        </is>
      </c>
      <c r="L775" s="32" t="n"/>
      <c r="M775" s="28">
        <f>IF(OR(LEFT(J775,2)="보류", LEFT(J775,4)="복습대기", LEFT(J775,3)="복습1", LEFT(J775,3)="복습2"), MAX($M$3:M774)+1, "")</f>
        <v/>
      </c>
      <c r="N775" s="28" t="inlineStr">
        <is>
          <t>W19</t>
        </is>
      </c>
      <c r="O775" s="36" t="n">
        <v>46387</v>
      </c>
      <c r="P775" s="30">
        <f>IF(F775&lt;&gt;"","✅ 완료",IF(O775="","-",IF(TODAY()&gt;O775,"🚨 지연","⏳ 예정")))</f>
        <v/>
      </c>
      <c r="Q775" s="7" t="n"/>
      <c r="R775" s="7" t="n"/>
      <c r="S775" s="7" t="n"/>
      <c r="T775" s="7" t="n"/>
      <c r="U775" s="7" t="n"/>
      <c r="V775" s="7" t="n"/>
      <c r="W775" s="7" t="n"/>
      <c r="X775" s="7" t="n"/>
    </row>
    <row r="776" ht="21.75" customHeight="1" s="209">
      <c r="A776" s="28" t="n">
        <v>773</v>
      </c>
      <c r="B776" s="28" t="inlineStr">
        <is>
          <t>4042</t>
        </is>
      </c>
      <c r="C776" s="30" t="inlineStr">
        <is>
          <t>D6</t>
        </is>
      </c>
      <c r="D776" s="32" t="inlineStr">
        <is>
          <t>[Professional] Closest</t>
        </is>
      </c>
      <c r="E776" s="28" t="inlineStr">
        <is>
          <t>동적계획법 (DP) / 그래프</t>
        </is>
      </c>
      <c r="F776" s="28" t="n"/>
      <c r="G776" s="28" t="n"/>
      <c r="H776" s="28" t="n"/>
      <c r="I776" s="28" t="n"/>
      <c r="J776" s="54">
        <f>IF(OR(ISNUMBER(SEARCH("보류",K776)),ISNUMBER(SEARCH("미룸",K776)),ISNUMBER(SEARCH("나중에",K776)),ISNUMBER(SEARCH("보류",L776)),ISNUMBER(SEARCH("미룸",L776)),ISNUMBER(SEARCH("나중에",L776))),"보류(나중에 풀기)",IF(AND(F776="",G776="",H776="",I776=""),"미완료",IF(I776&lt;&gt;"","복습3(마스터)",IF(H776&lt;&gt;"","복습2",IF(G776&lt;&gt;"","복습1",IF(ISNUMBER(SEARCH("제미나이",K776)),"복습대기(AI도움)",IF(ISNUMBER(SEARCH("간당간당",K776)),"복습대기(간당간당)",IF(OR(ISNUMBER(SEARCH("아이디어",K776)),ISNUMBER(SEARCH("시간초과",K776)),ISNUMBER(SEARCH("자료구조",K776)),ISNUMBER(SEARCH("경계값",K776)),ISNUMBER(SEARCH("다른 풀이",K776)),ISNUMBER(SEARCH("또풀기",K776))),"복습대기",IF(OR(ISNUMBER(SEARCH("복습필요없음",K776)),ISNUMBER(SEARCH("자력완벽",K776))),"품(복습불필요)",IF(F776&lt;&gt;"","품","미완료"))))))))))</f>
        <v/>
      </c>
      <c r="K776" s="32" t="inlineStr">
        <is>
          <t>-</t>
        </is>
      </c>
      <c r="L776" s="32" t="n"/>
      <c r="M776" s="28">
        <f>IF(OR(LEFT(J776,2)="보류", LEFT(J776,4)="복습대기", LEFT(J776,3)="복습1", LEFT(J776,3)="복습2"), MAX($M$3:M775)+1, "")</f>
        <v/>
      </c>
      <c r="N776" s="28" t="inlineStr">
        <is>
          <t>W19</t>
        </is>
      </c>
      <c r="O776" s="36" t="n">
        <v>46387</v>
      </c>
      <c r="P776" s="30">
        <f>IF(F776&lt;&gt;"","✅ 완료",IF(O776="","-",IF(TODAY()&gt;O776,"🚨 지연","⏳ 예정")))</f>
        <v/>
      </c>
      <c r="Q776" s="7" t="n"/>
      <c r="R776" s="7" t="n"/>
      <c r="S776" s="7" t="n"/>
      <c r="T776" s="7" t="n"/>
      <c r="U776" s="7" t="n"/>
      <c r="V776" s="7" t="n"/>
      <c r="W776" s="7" t="n"/>
      <c r="X776" s="7" t="n"/>
    </row>
    <row r="777" ht="21.75" customHeight="1" s="209">
      <c r="A777" s="28" t="n">
        <v>774</v>
      </c>
      <c r="B777" s="28" t="inlineStr">
        <is>
          <t>4043</t>
        </is>
      </c>
      <c r="C777" s="30" t="inlineStr">
        <is>
          <t>D6</t>
        </is>
      </c>
      <c r="D777" s="32" t="inlineStr">
        <is>
          <t>[Professional] 선 맞춤</t>
        </is>
      </c>
      <c r="E777" s="28" t="inlineStr">
        <is>
          <t>동적계획법 (DP) / 그래프</t>
        </is>
      </c>
      <c r="F777" s="28" t="n"/>
      <c r="G777" s="28" t="n"/>
      <c r="H777" s="28" t="n"/>
      <c r="I777" s="28" t="n"/>
      <c r="J777" s="54">
        <f>IF(OR(ISNUMBER(SEARCH("보류",K777)),ISNUMBER(SEARCH("미룸",K777)),ISNUMBER(SEARCH("나중에",K777)),ISNUMBER(SEARCH("보류",L777)),ISNUMBER(SEARCH("미룸",L777)),ISNUMBER(SEARCH("나중에",L777))),"보류(나중에 풀기)",IF(AND(F777="",G777="",H777="",I777=""),"미완료",IF(I777&lt;&gt;"","복습3(마스터)",IF(H777&lt;&gt;"","복습2",IF(G777&lt;&gt;"","복습1",IF(ISNUMBER(SEARCH("제미나이",K777)),"복습대기(AI도움)",IF(ISNUMBER(SEARCH("간당간당",K777)),"복습대기(간당간당)",IF(OR(ISNUMBER(SEARCH("아이디어",K777)),ISNUMBER(SEARCH("시간초과",K777)),ISNUMBER(SEARCH("자료구조",K777)),ISNUMBER(SEARCH("경계값",K777)),ISNUMBER(SEARCH("다른 풀이",K777)),ISNUMBER(SEARCH("또풀기",K777))),"복습대기",IF(OR(ISNUMBER(SEARCH("복습필요없음",K777)),ISNUMBER(SEARCH("자력완벽",K777))),"품(복습불필요)",IF(F777&lt;&gt;"","품","미완료"))))))))))</f>
        <v/>
      </c>
      <c r="K777" s="32" t="inlineStr">
        <is>
          <t>-</t>
        </is>
      </c>
      <c r="L777" s="32" t="n"/>
      <c r="M777" s="28">
        <f>IF(OR(LEFT(J777,2)="보류", LEFT(J777,4)="복습대기", LEFT(J777,3)="복습1", LEFT(J777,3)="복습2"), MAX($M$3:M776)+1, "")</f>
        <v/>
      </c>
      <c r="N777" s="28" t="inlineStr">
        <is>
          <t>W19</t>
        </is>
      </c>
      <c r="O777" s="36" t="n">
        <v>46387</v>
      </c>
      <c r="P777" s="30">
        <f>IF(F777&lt;&gt;"","✅ 완료",IF(O777="","-",IF(TODAY()&gt;O777,"🚨 지연","⏳ 예정")))</f>
        <v/>
      </c>
      <c r="Q777" s="7" t="n"/>
      <c r="R777" s="7" t="n"/>
      <c r="S777" s="7" t="n"/>
      <c r="T777" s="7" t="n"/>
      <c r="U777" s="7" t="n"/>
      <c r="V777" s="7" t="n"/>
      <c r="W777" s="7" t="n"/>
      <c r="X777" s="7" t="n"/>
    </row>
    <row r="778" ht="21.75" customHeight="1" s="209">
      <c r="A778" s="28" t="n">
        <v>775</v>
      </c>
      <c r="B778" s="28" t="inlineStr">
        <is>
          <t>4053</t>
        </is>
      </c>
      <c r="C778" s="30" t="inlineStr">
        <is>
          <t>D6</t>
        </is>
      </c>
      <c r="D778" s="32" t="inlineStr">
        <is>
          <t>전국민 건강 프로젝트</t>
        </is>
      </c>
      <c r="E778" s="28" t="inlineStr">
        <is>
          <t>동적계획법 (DP) / 그래프</t>
        </is>
      </c>
      <c r="F778" s="28" t="n"/>
      <c r="G778" s="28" t="n"/>
      <c r="H778" s="28" t="n"/>
      <c r="I778" s="28" t="n"/>
      <c r="J778" s="54">
        <f>IF(OR(ISNUMBER(SEARCH("보류",K778)),ISNUMBER(SEARCH("미룸",K778)),ISNUMBER(SEARCH("나중에",K778)),ISNUMBER(SEARCH("보류",L778)),ISNUMBER(SEARCH("미룸",L778)),ISNUMBER(SEARCH("나중에",L778))),"보류(나중에 풀기)",IF(AND(F778="",G778="",H778="",I778=""),"미완료",IF(I778&lt;&gt;"","복습3(마스터)",IF(H778&lt;&gt;"","복습2",IF(G778&lt;&gt;"","복습1",IF(ISNUMBER(SEARCH("제미나이",K778)),"복습대기(AI도움)",IF(ISNUMBER(SEARCH("간당간당",K778)),"복습대기(간당간당)",IF(OR(ISNUMBER(SEARCH("아이디어",K778)),ISNUMBER(SEARCH("시간초과",K778)),ISNUMBER(SEARCH("자료구조",K778)),ISNUMBER(SEARCH("경계값",K778)),ISNUMBER(SEARCH("다른 풀이",K778)),ISNUMBER(SEARCH("또풀기",K778))),"복습대기",IF(OR(ISNUMBER(SEARCH("복습필요없음",K778)),ISNUMBER(SEARCH("자력완벽",K778))),"품(복습불필요)",IF(F778&lt;&gt;"","품","미완료"))))))))))</f>
        <v/>
      </c>
      <c r="K778" s="32" t="inlineStr">
        <is>
          <t>-</t>
        </is>
      </c>
      <c r="L778" s="32" t="n"/>
      <c r="M778" s="28">
        <f>IF(OR(LEFT(J778,2)="보류", LEFT(J778,4)="복습대기", LEFT(J778,3)="복습1", LEFT(J778,3)="복습2"), MAX($M$3:M777)+1, "")</f>
        <v/>
      </c>
      <c r="N778" s="28" t="inlineStr">
        <is>
          <t>W19</t>
        </is>
      </c>
      <c r="O778" s="36" t="n">
        <v>46387</v>
      </c>
      <c r="P778" s="30">
        <f>IF(F778&lt;&gt;"","✅ 완료",IF(O778="","-",IF(TODAY()&gt;O778,"🚨 지연","⏳ 예정")))</f>
        <v/>
      </c>
      <c r="Q778" s="7" t="n"/>
      <c r="R778" s="7" t="n"/>
      <c r="S778" s="7" t="n"/>
      <c r="T778" s="7" t="n"/>
      <c r="U778" s="7" t="n"/>
      <c r="V778" s="7" t="n"/>
      <c r="W778" s="7" t="n"/>
      <c r="X778" s="7" t="n"/>
    </row>
    <row r="779" ht="21.75" customHeight="1" s="209">
      <c r="A779" s="28" t="n">
        <v>776</v>
      </c>
      <c r="B779" s="28" t="inlineStr">
        <is>
          <t>4066</t>
        </is>
      </c>
      <c r="C779" s="30" t="inlineStr">
        <is>
          <t>D6</t>
        </is>
      </c>
      <c r="D779" s="32" t="inlineStr">
        <is>
          <t>[Professional] All Pair Shortest Path</t>
        </is>
      </c>
      <c r="E779" s="28" t="inlineStr">
        <is>
          <t>동적계획법 (DP) / 그래프</t>
        </is>
      </c>
      <c r="F779" s="28" t="n"/>
      <c r="G779" s="28" t="n"/>
      <c r="H779" s="28" t="n"/>
      <c r="I779" s="28" t="n"/>
      <c r="J779" s="54">
        <f>IF(OR(ISNUMBER(SEARCH("보류",K779)),ISNUMBER(SEARCH("미룸",K779)),ISNUMBER(SEARCH("나중에",K779)),ISNUMBER(SEARCH("보류",L779)),ISNUMBER(SEARCH("미룸",L779)),ISNUMBER(SEARCH("나중에",L779))),"보류(나중에 풀기)",IF(AND(F779="",G779="",H779="",I779=""),"미완료",IF(I779&lt;&gt;"","복습3(마스터)",IF(H779&lt;&gt;"","복습2",IF(G779&lt;&gt;"","복습1",IF(ISNUMBER(SEARCH("제미나이",K779)),"복습대기(AI도움)",IF(ISNUMBER(SEARCH("간당간당",K779)),"복습대기(간당간당)",IF(OR(ISNUMBER(SEARCH("아이디어",K779)),ISNUMBER(SEARCH("시간초과",K779)),ISNUMBER(SEARCH("자료구조",K779)),ISNUMBER(SEARCH("경계값",K779)),ISNUMBER(SEARCH("다른 풀이",K779)),ISNUMBER(SEARCH("또풀기",K779))),"복습대기",IF(OR(ISNUMBER(SEARCH("복습필요없음",K779)),ISNUMBER(SEARCH("자력완벽",K779))),"품(복습불필요)",IF(F779&lt;&gt;"","품","미완료"))))))))))</f>
        <v/>
      </c>
      <c r="K779" s="32" t="inlineStr">
        <is>
          <t>-</t>
        </is>
      </c>
      <c r="L779" s="32" t="n"/>
      <c r="M779" s="28">
        <f>IF(OR(LEFT(J779,2)="보류", LEFT(J779,4)="복습대기", LEFT(J779,3)="복습1", LEFT(J779,3)="복습2"), MAX($M$3:M778)+1, "")</f>
        <v/>
      </c>
      <c r="N779" s="28" t="inlineStr">
        <is>
          <t>W19</t>
        </is>
      </c>
      <c r="O779" s="36" t="n">
        <v>46387</v>
      </c>
      <c r="P779" s="30">
        <f>IF(F779&lt;&gt;"","✅ 완료",IF(O779="","-",IF(TODAY()&gt;O779,"🚨 지연","⏳ 예정")))</f>
        <v/>
      </c>
      <c r="Q779" s="7" t="n"/>
      <c r="R779" s="7" t="n"/>
      <c r="S779" s="7" t="n"/>
      <c r="T779" s="7" t="n"/>
      <c r="U779" s="7" t="n"/>
      <c r="V779" s="7" t="n"/>
      <c r="W779" s="7" t="n"/>
      <c r="X779" s="7" t="n"/>
    </row>
    <row r="780" ht="21.75" customHeight="1" s="209">
      <c r="A780" s="28" t="n">
        <v>777</v>
      </c>
      <c r="B780" s="28" t="inlineStr">
        <is>
          <t>4116</t>
        </is>
      </c>
      <c r="C780" s="30" t="inlineStr">
        <is>
          <t>D6</t>
        </is>
      </c>
      <c r="D780" s="32" t="inlineStr">
        <is>
          <t>팰린드롬 경로 찾기</t>
        </is>
      </c>
      <c r="E780" s="28" t="inlineStr">
        <is>
          <t>DFS / 백트래킹</t>
        </is>
      </c>
      <c r="F780" s="28" t="n"/>
      <c r="G780" s="28" t="n"/>
      <c r="H780" s="28" t="n"/>
      <c r="I780" s="28" t="n"/>
      <c r="J780" s="54">
        <f>IF(OR(ISNUMBER(SEARCH("보류",K780)),ISNUMBER(SEARCH("미룸",K780)),ISNUMBER(SEARCH("나중에",K780)),ISNUMBER(SEARCH("보류",L780)),ISNUMBER(SEARCH("미룸",L780)),ISNUMBER(SEARCH("나중에",L780))),"보류(나중에 풀기)",IF(AND(F780="",G780="",H780="",I780=""),"미완료",IF(I780&lt;&gt;"","복습3(마스터)",IF(H780&lt;&gt;"","복습2",IF(G780&lt;&gt;"","복습1",IF(ISNUMBER(SEARCH("제미나이",K780)),"복습대기(AI도움)",IF(ISNUMBER(SEARCH("간당간당",K780)),"복습대기(간당간당)",IF(OR(ISNUMBER(SEARCH("아이디어",K780)),ISNUMBER(SEARCH("시간초과",K780)),ISNUMBER(SEARCH("자료구조",K780)),ISNUMBER(SEARCH("경계값",K780)),ISNUMBER(SEARCH("다른 풀이",K780)),ISNUMBER(SEARCH("또풀기",K780))),"복습대기",IF(OR(ISNUMBER(SEARCH("복습필요없음",K780)),ISNUMBER(SEARCH("자력완벽",K780))),"품(복습불필요)",IF(F780&lt;&gt;"","품","미완료"))))))))))</f>
        <v/>
      </c>
      <c r="K780" s="32" t="inlineStr">
        <is>
          <t>-</t>
        </is>
      </c>
      <c r="L780" s="32" t="n"/>
      <c r="M780" s="28">
        <f>IF(OR(LEFT(J780,2)="보류", LEFT(J780,4)="복습대기", LEFT(J780,3)="복습1", LEFT(J780,3)="복습2"), MAX($M$3:M779)+1, "")</f>
        <v/>
      </c>
      <c r="N780" s="28" t="inlineStr">
        <is>
          <t>W19</t>
        </is>
      </c>
      <c r="O780" s="36" t="n">
        <v>46387</v>
      </c>
      <c r="P780" s="30">
        <f>IF(F780&lt;&gt;"","✅ 완료",IF(O780="","-",IF(TODAY()&gt;O780,"🚨 지연","⏳ 예정")))</f>
        <v/>
      </c>
      <c r="Q780" s="7" t="n"/>
      <c r="R780" s="7" t="n"/>
      <c r="S780" s="7" t="n"/>
      <c r="T780" s="7" t="n"/>
      <c r="U780" s="7" t="n"/>
      <c r="V780" s="7" t="n"/>
      <c r="W780" s="7" t="n"/>
      <c r="X780" s="7" t="n"/>
    </row>
    <row r="781" ht="21.75" customHeight="1" s="209">
      <c r="A781" s="28" t="n">
        <v>778</v>
      </c>
      <c r="B781" s="28" t="inlineStr">
        <is>
          <t>4263</t>
        </is>
      </c>
      <c r="C781" s="30" t="inlineStr">
        <is>
          <t>D6</t>
        </is>
      </c>
      <c r="D781" s="32" t="inlineStr">
        <is>
          <t>팰린드롬 단어 조합</t>
        </is>
      </c>
      <c r="E781" s="28" t="inlineStr">
        <is>
          <t>DFS / 백트래킹</t>
        </is>
      </c>
      <c r="F781" s="28" t="n"/>
      <c r="G781" s="28" t="n"/>
      <c r="H781" s="28" t="n"/>
      <c r="I781" s="28" t="n"/>
      <c r="J781" s="54">
        <f>IF(OR(ISNUMBER(SEARCH("보류",K781)),ISNUMBER(SEARCH("미룸",K781)),ISNUMBER(SEARCH("나중에",K781)),ISNUMBER(SEARCH("보류",L781)),ISNUMBER(SEARCH("미룸",L781)),ISNUMBER(SEARCH("나중에",L781))),"보류(나중에 풀기)",IF(AND(F781="",G781="",H781="",I781=""),"미완료",IF(I781&lt;&gt;"","복습3(마스터)",IF(H781&lt;&gt;"","복습2",IF(G781&lt;&gt;"","복습1",IF(ISNUMBER(SEARCH("제미나이",K781)),"복습대기(AI도움)",IF(ISNUMBER(SEARCH("간당간당",K781)),"복습대기(간당간당)",IF(OR(ISNUMBER(SEARCH("아이디어",K781)),ISNUMBER(SEARCH("시간초과",K781)),ISNUMBER(SEARCH("자료구조",K781)),ISNUMBER(SEARCH("경계값",K781)),ISNUMBER(SEARCH("다른 풀이",K781)),ISNUMBER(SEARCH("또풀기",K781))),"복습대기",IF(OR(ISNUMBER(SEARCH("복습필요없음",K781)),ISNUMBER(SEARCH("자력완벽",K781))),"품(복습불필요)",IF(F781&lt;&gt;"","품","미완료"))))))))))</f>
        <v/>
      </c>
      <c r="K781" s="32" t="inlineStr">
        <is>
          <t>-</t>
        </is>
      </c>
      <c r="L781" s="32" t="n"/>
      <c r="M781" s="28">
        <f>IF(OR(LEFT(J781,2)="보류", LEFT(J781,4)="복습대기", LEFT(J781,3)="복습1", LEFT(J781,3)="복습2"), MAX($M$3:M780)+1, "")</f>
        <v/>
      </c>
      <c r="N781" s="28" t="inlineStr">
        <is>
          <t>W19</t>
        </is>
      </c>
      <c r="O781" s="36" t="n">
        <v>46387</v>
      </c>
      <c r="P781" s="30">
        <f>IF(F781&lt;&gt;"","✅ 완료",IF(O781="","-",IF(TODAY()&gt;O781,"🚨 지연","⏳ 예정")))</f>
        <v/>
      </c>
      <c r="Q781" s="7" t="n"/>
      <c r="R781" s="7" t="n"/>
      <c r="S781" s="7" t="n"/>
      <c r="T781" s="7" t="n"/>
      <c r="U781" s="7" t="n"/>
      <c r="V781" s="7" t="n"/>
      <c r="W781" s="7" t="n"/>
      <c r="X781" s="7" t="n"/>
    </row>
    <row r="782" ht="21.75" customHeight="1" s="209">
      <c r="A782" s="28" t="n">
        <v>779</v>
      </c>
      <c r="B782" s="28" t="inlineStr">
        <is>
          <t>4302</t>
        </is>
      </c>
      <c r="C782" s="30" t="inlineStr">
        <is>
          <t>D6</t>
        </is>
      </c>
      <c r="D782" s="32" t="inlineStr">
        <is>
          <t>건물 붕괴 예측 시스템</t>
        </is>
      </c>
      <c r="E782" s="28" t="inlineStr">
        <is>
          <t>동적계획법 (DP) / 그래프</t>
        </is>
      </c>
      <c r="F782" s="28" t="n"/>
      <c r="G782" s="28" t="n"/>
      <c r="H782" s="28" t="n"/>
      <c r="I782" s="28" t="n"/>
      <c r="J782" s="54">
        <f>IF(OR(ISNUMBER(SEARCH("보류",K782)),ISNUMBER(SEARCH("미룸",K782)),ISNUMBER(SEARCH("나중에",K782)),ISNUMBER(SEARCH("보류",L782)),ISNUMBER(SEARCH("미룸",L782)),ISNUMBER(SEARCH("나중에",L782))),"보류(나중에 풀기)",IF(AND(F782="",G782="",H782="",I782=""),"미완료",IF(I782&lt;&gt;"","복습3(마스터)",IF(H782&lt;&gt;"","복습2",IF(G782&lt;&gt;"","복습1",IF(ISNUMBER(SEARCH("제미나이",K782)),"복습대기(AI도움)",IF(ISNUMBER(SEARCH("간당간당",K782)),"복습대기(간당간당)",IF(OR(ISNUMBER(SEARCH("아이디어",K782)),ISNUMBER(SEARCH("시간초과",K782)),ISNUMBER(SEARCH("자료구조",K782)),ISNUMBER(SEARCH("경계값",K782)),ISNUMBER(SEARCH("다른 풀이",K782)),ISNUMBER(SEARCH("또풀기",K782))),"복습대기",IF(OR(ISNUMBER(SEARCH("복습필요없음",K782)),ISNUMBER(SEARCH("자력완벽",K782))),"품(복습불필요)",IF(F782&lt;&gt;"","품","미완료"))))))))))</f>
        <v/>
      </c>
      <c r="K782" s="32" t="inlineStr">
        <is>
          <t>-</t>
        </is>
      </c>
      <c r="L782" s="32" t="n"/>
      <c r="M782" s="28">
        <f>IF(OR(LEFT(J782,2)="보류", LEFT(J782,4)="복습대기", LEFT(J782,3)="복습1", LEFT(J782,3)="복습2"), MAX($M$3:M781)+1, "")</f>
        <v/>
      </c>
      <c r="N782" s="28" t="inlineStr">
        <is>
          <t>W19</t>
        </is>
      </c>
      <c r="O782" s="36" t="n">
        <v>46388</v>
      </c>
      <c r="P782" s="30">
        <f>IF(F782&lt;&gt;"","✅ 완료",IF(O782="","-",IF(TODAY()&gt;O782,"🚨 지연","⏳ 예정")))</f>
        <v/>
      </c>
      <c r="Q782" s="7" t="n"/>
      <c r="R782" s="7" t="n"/>
      <c r="S782" s="7" t="n"/>
      <c r="T782" s="7" t="n"/>
      <c r="U782" s="7" t="n"/>
      <c r="V782" s="7" t="n"/>
      <c r="W782" s="7" t="n"/>
      <c r="X782" s="7" t="n"/>
    </row>
    <row r="783" ht="21.75" customHeight="1" s="209">
      <c r="A783" s="28" t="n">
        <v>780</v>
      </c>
      <c r="B783" s="28" t="inlineStr">
        <is>
          <t>4357</t>
        </is>
      </c>
      <c r="C783" s="30" t="inlineStr">
        <is>
          <t>D6</t>
        </is>
      </c>
      <c r="D783" s="32" t="inlineStr">
        <is>
          <t>다슬이의 K-도달 가능</t>
        </is>
      </c>
      <c r="E783" s="28" t="inlineStr">
        <is>
          <t>동적계획법 (DP) / 그래프</t>
        </is>
      </c>
      <c r="F783" s="28" t="n"/>
      <c r="G783" s="28" t="n"/>
      <c r="H783" s="28" t="n"/>
      <c r="I783" s="28" t="n"/>
      <c r="J783" s="54">
        <f>IF(OR(ISNUMBER(SEARCH("보류",K783)),ISNUMBER(SEARCH("미룸",K783)),ISNUMBER(SEARCH("나중에",K783)),ISNUMBER(SEARCH("보류",L783)),ISNUMBER(SEARCH("미룸",L783)),ISNUMBER(SEARCH("나중에",L783))),"보류(나중에 풀기)",IF(AND(F783="",G783="",H783="",I783=""),"미완료",IF(I783&lt;&gt;"","복습3(마스터)",IF(H783&lt;&gt;"","복습2",IF(G783&lt;&gt;"","복습1",IF(ISNUMBER(SEARCH("제미나이",K783)),"복습대기(AI도움)",IF(ISNUMBER(SEARCH("간당간당",K783)),"복습대기(간당간당)",IF(OR(ISNUMBER(SEARCH("아이디어",K783)),ISNUMBER(SEARCH("시간초과",K783)),ISNUMBER(SEARCH("자료구조",K783)),ISNUMBER(SEARCH("경계값",K783)),ISNUMBER(SEARCH("다른 풀이",K783)),ISNUMBER(SEARCH("또풀기",K783))),"복습대기",IF(OR(ISNUMBER(SEARCH("복습필요없음",K783)),ISNUMBER(SEARCH("자력완벽",K783))),"품(복습불필요)",IF(F783&lt;&gt;"","품","미완료"))))))))))</f>
        <v/>
      </c>
      <c r="K783" s="32" t="inlineStr">
        <is>
          <t>-</t>
        </is>
      </c>
      <c r="L783" s="32" t="n"/>
      <c r="M783" s="28">
        <f>IF(OR(LEFT(J783,2)="보류", LEFT(J783,4)="복습대기", LEFT(J783,3)="복습1", LEFT(J783,3)="복습2"), MAX($M$3:M782)+1, "")</f>
        <v/>
      </c>
      <c r="N783" s="28" t="inlineStr">
        <is>
          <t>W19</t>
        </is>
      </c>
      <c r="O783" s="36" t="n">
        <v>46388</v>
      </c>
      <c r="P783" s="30">
        <f>IF(F783&lt;&gt;"","✅ 완료",IF(O783="","-",IF(TODAY()&gt;O783,"🚨 지연","⏳ 예정")))</f>
        <v/>
      </c>
      <c r="Q783" s="7" t="n"/>
      <c r="R783" s="7" t="n"/>
      <c r="S783" s="7" t="n"/>
      <c r="T783" s="7" t="n"/>
      <c r="U783" s="7" t="n"/>
      <c r="V783" s="7" t="n"/>
      <c r="W783" s="7" t="n"/>
      <c r="X783" s="7" t="n"/>
    </row>
    <row r="784" ht="21.75" customHeight="1" s="209">
      <c r="A784" s="28" t="n">
        <v>781</v>
      </c>
      <c r="B784" s="28" t="inlineStr">
        <is>
          <t>4487</t>
        </is>
      </c>
      <c r="C784" s="30" t="inlineStr">
        <is>
          <t>D6</t>
        </is>
      </c>
      <c r="D784" s="32" t="inlineStr">
        <is>
          <t>단조 증가 수열 만들기</t>
        </is>
      </c>
      <c r="E784" s="28" t="inlineStr">
        <is>
          <t>동적계획법 (DP)</t>
        </is>
      </c>
      <c r="F784" s="28" t="n"/>
      <c r="G784" s="28" t="n"/>
      <c r="H784" s="28" t="n"/>
      <c r="I784" s="28" t="n"/>
      <c r="J784" s="54">
        <f>IF(OR(ISNUMBER(SEARCH("보류",K784)),ISNUMBER(SEARCH("미룸",K784)),ISNUMBER(SEARCH("나중에",K784)),ISNUMBER(SEARCH("보류",L784)),ISNUMBER(SEARCH("미룸",L784)),ISNUMBER(SEARCH("나중에",L784))),"보류(나중에 풀기)",IF(AND(F784="",G784="",H784="",I784=""),"미완료",IF(I784&lt;&gt;"","복습3(마스터)",IF(H784&lt;&gt;"","복습2",IF(G784&lt;&gt;"","복습1",IF(ISNUMBER(SEARCH("제미나이",K784)),"복습대기(AI도움)",IF(ISNUMBER(SEARCH("간당간당",K784)),"복습대기(간당간당)",IF(OR(ISNUMBER(SEARCH("아이디어",K784)),ISNUMBER(SEARCH("시간초과",K784)),ISNUMBER(SEARCH("자료구조",K784)),ISNUMBER(SEARCH("경계값",K784)),ISNUMBER(SEARCH("다른 풀이",K784)),ISNUMBER(SEARCH("또풀기",K784))),"복습대기",IF(OR(ISNUMBER(SEARCH("복습필요없음",K784)),ISNUMBER(SEARCH("자력완벽",K784))),"품(복습불필요)",IF(F784&lt;&gt;"","품","미완료"))))))))))</f>
        <v/>
      </c>
      <c r="K784" s="32" t="inlineStr">
        <is>
          <t>-</t>
        </is>
      </c>
      <c r="L784" s="32" t="n"/>
      <c r="M784" s="28">
        <f>IF(OR(LEFT(J784,2)="보류", LEFT(J784,4)="복습대기", LEFT(J784,3)="복습1", LEFT(J784,3)="복습2"), MAX($M$3:M783)+1, "")</f>
        <v/>
      </c>
      <c r="N784" s="28" t="inlineStr">
        <is>
          <t>W19</t>
        </is>
      </c>
      <c r="O784" s="36" t="n">
        <v>46388</v>
      </c>
      <c r="P784" s="30">
        <f>IF(F784&lt;&gt;"","✅ 완료",IF(O784="","-",IF(TODAY()&gt;O784,"🚨 지연","⏳ 예정")))</f>
        <v/>
      </c>
      <c r="Q784" s="7" t="n"/>
      <c r="R784" s="7" t="n"/>
      <c r="S784" s="7" t="n"/>
      <c r="T784" s="7" t="n"/>
      <c r="U784" s="7" t="n"/>
      <c r="V784" s="7" t="n"/>
      <c r="W784" s="7" t="n"/>
      <c r="X784" s="7" t="n"/>
    </row>
    <row r="785" ht="21.75" customHeight="1" s="209">
      <c r="A785" s="28" t="n">
        <v>782</v>
      </c>
      <c r="B785" s="28" t="inlineStr">
        <is>
          <t>4587</t>
        </is>
      </c>
      <c r="C785" s="30" t="inlineStr">
        <is>
          <t>D6</t>
        </is>
      </c>
      <c r="D785" s="32" t="inlineStr">
        <is>
          <t>흥민이의 리스트 되돌리기</t>
        </is>
      </c>
      <c r="E785" s="28" t="inlineStr">
        <is>
          <t>자료구조 (스택/큐/리스트)</t>
        </is>
      </c>
      <c r="F785" s="28" t="n"/>
      <c r="G785" s="28" t="n"/>
      <c r="H785" s="28" t="n"/>
      <c r="I785" s="28" t="n"/>
      <c r="J785" s="54">
        <f>IF(OR(ISNUMBER(SEARCH("보류",K785)),ISNUMBER(SEARCH("미룸",K785)),ISNUMBER(SEARCH("나중에",K785)),ISNUMBER(SEARCH("보류",L785)),ISNUMBER(SEARCH("미룸",L785)),ISNUMBER(SEARCH("나중에",L785))),"보류(나중에 풀기)",IF(AND(F785="",G785="",H785="",I785=""),"미완료",IF(I785&lt;&gt;"","복습3(마스터)",IF(H785&lt;&gt;"","복습2",IF(G785&lt;&gt;"","복습1",IF(ISNUMBER(SEARCH("제미나이",K785)),"복습대기(AI도움)",IF(ISNUMBER(SEARCH("간당간당",K785)),"복습대기(간당간당)",IF(OR(ISNUMBER(SEARCH("아이디어",K785)),ISNUMBER(SEARCH("시간초과",K785)),ISNUMBER(SEARCH("자료구조",K785)),ISNUMBER(SEARCH("경계값",K785)),ISNUMBER(SEARCH("다른 풀이",K785)),ISNUMBER(SEARCH("또풀기",K785))),"복습대기",IF(OR(ISNUMBER(SEARCH("복습필요없음",K785)),ISNUMBER(SEARCH("자력완벽",K785))),"품(복습불필요)",IF(F785&lt;&gt;"","품","미완료"))))))))))</f>
        <v/>
      </c>
      <c r="K785" s="32" t="inlineStr">
        <is>
          <t>-</t>
        </is>
      </c>
      <c r="L785" s="32" t="n"/>
      <c r="M785" s="28">
        <f>IF(OR(LEFT(J785,2)="보류", LEFT(J785,4)="복습대기", LEFT(J785,3)="복습1", LEFT(J785,3)="복습2"), MAX($M$3:M784)+1, "")</f>
        <v/>
      </c>
      <c r="N785" s="28" t="inlineStr">
        <is>
          <t>W19</t>
        </is>
      </c>
      <c r="O785" s="36" t="n">
        <v>46388</v>
      </c>
      <c r="P785" s="30">
        <f>IF(F785&lt;&gt;"","✅ 완료",IF(O785="","-",IF(TODAY()&gt;O785,"🚨 지연","⏳ 예정")))</f>
        <v/>
      </c>
      <c r="Q785" s="7" t="n"/>
      <c r="R785" s="7" t="n"/>
      <c r="S785" s="7" t="n"/>
      <c r="T785" s="7" t="n"/>
      <c r="U785" s="7" t="n"/>
      <c r="V785" s="7" t="n"/>
      <c r="W785" s="7" t="n"/>
      <c r="X785" s="7" t="n"/>
    </row>
    <row r="786" ht="21.75" customHeight="1" s="209">
      <c r="A786" s="28" t="n">
        <v>783</v>
      </c>
      <c r="B786" s="28" t="inlineStr">
        <is>
          <t>4616</t>
        </is>
      </c>
      <c r="C786" s="30" t="inlineStr">
        <is>
          <t>D6</t>
        </is>
      </c>
      <c r="D786" s="32" t="inlineStr">
        <is>
          <t>점프점프! 개굴이의 점핑!</t>
        </is>
      </c>
      <c r="E786" s="28" t="inlineStr">
        <is>
          <t>동적계획법 (DP) / 그래프</t>
        </is>
      </c>
      <c r="F786" s="28" t="n"/>
      <c r="G786" s="28" t="n"/>
      <c r="H786" s="28" t="n"/>
      <c r="I786" s="28" t="n"/>
      <c r="J786" s="54">
        <f>IF(OR(ISNUMBER(SEARCH("보류",K786)),ISNUMBER(SEARCH("미룸",K786)),ISNUMBER(SEARCH("나중에",K786)),ISNUMBER(SEARCH("보류",L786)),ISNUMBER(SEARCH("미룸",L786)),ISNUMBER(SEARCH("나중에",L786))),"보류(나중에 풀기)",IF(AND(F786="",G786="",H786="",I786=""),"미완료",IF(I786&lt;&gt;"","복습3(마스터)",IF(H786&lt;&gt;"","복습2",IF(G786&lt;&gt;"","복습1",IF(ISNUMBER(SEARCH("제미나이",K786)),"복습대기(AI도움)",IF(ISNUMBER(SEARCH("간당간당",K786)),"복습대기(간당간당)",IF(OR(ISNUMBER(SEARCH("아이디어",K786)),ISNUMBER(SEARCH("시간초과",K786)),ISNUMBER(SEARCH("자료구조",K786)),ISNUMBER(SEARCH("경계값",K786)),ISNUMBER(SEARCH("다른 풀이",K786)),ISNUMBER(SEARCH("또풀기",K786))),"복습대기",IF(OR(ISNUMBER(SEARCH("복습필요없음",K786)),ISNUMBER(SEARCH("자력완벽",K786))),"품(복습불필요)",IF(F786&lt;&gt;"","품","미완료"))))))))))</f>
        <v/>
      </c>
      <c r="K786" s="32" t="inlineStr">
        <is>
          <t>-</t>
        </is>
      </c>
      <c r="L786" s="32" t="n"/>
      <c r="M786" s="28">
        <f>IF(OR(LEFT(J786,2)="보류", LEFT(J786,4)="복습대기", LEFT(J786,3)="복습1", LEFT(J786,3)="복습2"), MAX($M$3:M785)+1, "")</f>
        <v/>
      </c>
      <c r="N786" s="28" t="inlineStr">
        <is>
          <t>W19</t>
        </is>
      </c>
      <c r="O786" s="36" t="n">
        <v>46388</v>
      </c>
      <c r="P786" s="30">
        <f>IF(F786&lt;&gt;"","✅ 완료",IF(O786="","-",IF(TODAY()&gt;O786,"🚨 지연","⏳ 예정")))</f>
        <v/>
      </c>
      <c r="Q786" s="7" t="n"/>
      <c r="R786" s="7" t="n"/>
      <c r="S786" s="7" t="n"/>
      <c r="T786" s="7" t="n"/>
      <c r="U786" s="7" t="n"/>
      <c r="V786" s="7" t="n"/>
      <c r="W786" s="7" t="n"/>
      <c r="X786" s="7" t="n"/>
    </row>
    <row r="787" ht="21.75" customHeight="1" s="209">
      <c r="A787" s="28" t="n">
        <v>784</v>
      </c>
      <c r="B787" s="28" t="inlineStr">
        <is>
          <t>4674</t>
        </is>
      </c>
      <c r="C787" s="30" t="inlineStr">
        <is>
          <t>D6</t>
        </is>
      </c>
      <c r="D787" s="32" t="inlineStr">
        <is>
          <t>재영이의 팩토리얼 놀이</t>
        </is>
      </c>
      <c r="E787" s="28" t="inlineStr">
        <is>
          <t>동적계획법 (DP) / 그래프</t>
        </is>
      </c>
      <c r="F787" s="28" t="n"/>
      <c r="G787" s="28" t="n"/>
      <c r="H787" s="28" t="n"/>
      <c r="I787" s="28" t="n"/>
      <c r="J787" s="54">
        <f>IF(OR(ISNUMBER(SEARCH("보류",K787)),ISNUMBER(SEARCH("미룸",K787)),ISNUMBER(SEARCH("나중에",K787)),ISNUMBER(SEARCH("보류",L787)),ISNUMBER(SEARCH("미룸",L787)),ISNUMBER(SEARCH("나중에",L787))),"보류(나중에 풀기)",IF(AND(F787="",G787="",H787="",I787=""),"미완료",IF(I787&lt;&gt;"","복습3(마스터)",IF(H787&lt;&gt;"","복습2",IF(G787&lt;&gt;"","복습1",IF(ISNUMBER(SEARCH("제미나이",K787)),"복습대기(AI도움)",IF(ISNUMBER(SEARCH("간당간당",K787)),"복습대기(간당간당)",IF(OR(ISNUMBER(SEARCH("아이디어",K787)),ISNUMBER(SEARCH("시간초과",K787)),ISNUMBER(SEARCH("자료구조",K787)),ISNUMBER(SEARCH("경계값",K787)),ISNUMBER(SEARCH("다른 풀이",K787)),ISNUMBER(SEARCH("또풀기",K787))),"복습대기",IF(OR(ISNUMBER(SEARCH("복습필요없음",K787)),ISNUMBER(SEARCH("자력완벽",K787))),"품(복습불필요)",IF(F787&lt;&gt;"","품","미완료"))))))))))</f>
        <v/>
      </c>
      <c r="K787" s="32" t="inlineStr">
        <is>
          <t>-</t>
        </is>
      </c>
      <c r="L787" s="32" t="n"/>
      <c r="M787" s="28">
        <f>IF(OR(LEFT(J787,2)="보류", LEFT(J787,4)="복습대기", LEFT(J787,3)="복습1", LEFT(J787,3)="복습2"), MAX($M$3:M786)+1, "")</f>
        <v/>
      </c>
      <c r="N787" s="28" t="inlineStr">
        <is>
          <t>W19</t>
        </is>
      </c>
      <c r="O787" s="36" t="n">
        <v>46388</v>
      </c>
      <c r="P787" s="30">
        <f>IF(F787&lt;&gt;"","✅ 완료",IF(O787="","-",IF(TODAY()&gt;O787,"🚨 지연","⏳ 예정")))</f>
        <v/>
      </c>
      <c r="Q787" s="7" t="n"/>
      <c r="R787" s="7" t="n"/>
      <c r="S787" s="7" t="n"/>
      <c r="T787" s="7" t="n"/>
      <c r="U787" s="7" t="n"/>
      <c r="V787" s="7" t="n"/>
      <c r="W787" s="7" t="n"/>
      <c r="X787" s="7" t="n"/>
    </row>
    <row r="788" ht="21.75" customHeight="1" s="209">
      <c r="A788" s="28" t="n">
        <v>785</v>
      </c>
      <c r="B788" s="28" t="inlineStr">
        <is>
          <t>4747</t>
        </is>
      </c>
      <c r="C788" s="30" t="inlineStr">
        <is>
          <t>D6</t>
        </is>
      </c>
      <c r="D788" s="32" t="inlineStr">
        <is>
          <t>사막에서 만난 지니</t>
        </is>
      </c>
      <c r="E788" s="28" t="inlineStr">
        <is>
          <t>동적계획법 (DP) / 그래프</t>
        </is>
      </c>
      <c r="F788" s="28" t="n"/>
      <c r="G788" s="28" t="n"/>
      <c r="H788" s="28" t="n"/>
      <c r="I788" s="28" t="n"/>
      <c r="J788" s="54">
        <f>IF(OR(ISNUMBER(SEARCH("보류",K788)),ISNUMBER(SEARCH("미룸",K788)),ISNUMBER(SEARCH("나중에",K788)),ISNUMBER(SEARCH("보류",L788)),ISNUMBER(SEARCH("미룸",L788)),ISNUMBER(SEARCH("나중에",L788))),"보류(나중에 풀기)",IF(AND(F788="",G788="",H788="",I788=""),"미완료",IF(I788&lt;&gt;"","복습3(마스터)",IF(H788&lt;&gt;"","복습2",IF(G788&lt;&gt;"","복습1",IF(ISNUMBER(SEARCH("제미나이",K788)),"복습대기(AI도움)",IF(ISNUMBER(SEARCH("간당간당",K788)),"복습대기(간당간당)",IF(OR(ISNUMBER(SEARCH("아이디어",K788)),ISNUMBER(SEARCH("시간초과",K788)),ISNUMBER(SEARCH("자료구조",K788)),ISNUMBER(SEARCH("경계값",K788)),ISNUMBER(SEARCH("다른 풀이",K788)),ISNUMBER(SEARCH("또풀기",K788))),"복습대기",IF(OR(ISNUMBER(SEARCH("복습필요없음",K788)),ISNUMBER(SEARCH("자력완벽",K788))),"품(복습불필요)",IF(F788&lt;&gt;"","품","미완료"))))))))))</f>
        <v/>
      </c>
      <c r="K788" s="32" t="inlineStr">
        <is>
          <t>-</t>
        </is>
      </c>
      <c r="L788" s="32" t="n"/>
      <c r="M788" s="28">
        <f>IF(OR(LEFT(J788,2)="보류", LEFT(J788,4)="복습대기", LEFT(J788,3)="복습1", LEFT(J788,3)="복습2"), MAX($M$3:M787)+1, "")</f>
        <v/>
      </c>
      <c r="N788" s="28" t="inlineStr">
        <is>
          <t>W19</t>
        </is>
      </c>
      <c r="O788" s="36" t="n">
        <v>46388</v>
      </c>
      <c r="P788" s="30">
        <f>IF(F788&lt;&gt;"","✅ 완료",IF(O788="","-",IF(TODAY()&gt;O788,"🚨 지연","⏳ 예정")))</f>
        <v/>
      </c>
      <c r="Q788" s="7" t="n"/>
      <c r="R788" s="7" t="n"/>
      <c r="S788" s="7" t="n"/>
      <c r="T788" s="7" t="n"/>
      <c r="U788" s="7" t="n"/>
      <c r="V788" s="7" t="n"/>
      <c r="W788" s="7" t="n"/>
      <c r="X788" s="7" t="n"/>
    </row>
    <row r="789" ht="21.75" customHeight="1" s="209">
      <c r="A789" s="28" t="n">
        <v>786</v>
      </c>
      <c r="B789" s="28" t="inlineStr">
        <is>
          <t>4804</t>
        </is>
      </c>
      <c r="C789" s="30" t="inlineStr">
        <is>
          <t>D6</t>
        </is>
      </c>
      <c r="D789" s="32" t="inlineStr">
        <is>
          <t>의석이의 프로그래밍 문제 검증하기</t>
        </is>
      </c>
      <c r="E789" s="28" t="inlineStr">
        <is>
          <t>동적계획법 (DP) / 그래프</t>
        </is>
      </c>
      <c r="F789" s="28" t="n"/>
      <c r="G789" s="28" t="n"/>
      <c r="H789" s="28" t="n"/>
      <c r="I789" s="28" t="n"/>
      <c r="J789" s="54">
        <f>IF(OR(ISNUMBER(SEARCH("보류",K789)),ISNUMBER(SEARCH("미룸",K789)),ISNUMBER(SEARCH("나중에",K789)),ISNUMBER(SEARCH("보류",L789)),ISNUMBER(SEARCH("미룸",L789)),ISNUMBER(SEARCH("나중에",L789))),"보류(나중에 풀기)",IF(AND(F789="",G789="",H789="",I789=""),"미완료",IF(I789&lt;&gt;"","복습3(마스터)",IF(H789&lt;&gt;"","복습2",IF(G789&lt;&gt;"","복습1",IF(ISNUMBER(SEARCH("제미나이",K789)),"복습대기(AI도움)",IF(ISNUMBER(SEARCH("간당간당",K789)),"복습대기(간당간당)",IF(OR(ISNUMBER(SEARCH("아이디어",K789)),ISNUMBER(SEARCH("시간초과",K789)),ISNUMBER(SEARCH("자료구조",K789)),ISNUMBER(SEARCH("경계값",K789)),ISNUMBER(SEARCH("다른 풀이",K789)),ISNUMBER(SEARCH("또풀기",K789))),"복습대기",IF(OR(ISNUMBER(SEARCH("복습필요없음",K789)),ISNUMBER(SEARCH("자력완벽",K789))),"품(복습불필요)",IF(F789&lt;&gt;"","품","미완료"))))))))))</f>
        <v/>
      </c>
      <c r="K789" s="32" t="inlineStr">
        <is>
          <t>-</t>
        </is>
      </c>
      <c r="L789" s="32" t="n"/>
      <c r="M789" s="28">
        <f>IF(OR(LEFT(J789,2)="보류", LEFT(J789,4)="복습대기", LEFT(J789,3)="복습1", LEFT(J789,3)="복습2"), MAX($M$3:M788)+1, "")</f>
        <v/>
      </c>
      <c r="N789" s="28" t="inlineStr">
        <is>
          <t>W19</t>
        </is>
      </c>
      <c r="O789" s="36" t="n">
        <v>46389</v>
      </c>
      <c r="P789" s="30">
        <f>IF(F789&lt;&gt;"","✅ 완료",IF(O789="","-",IF(TODAY()&gt;O789,"🚨 지연","⏳ 예정")))</f>
        <v/>
      </c>
      <c r="Q789" s="7" t="n"/>
      <c r="R789" s="7" t="n"/>
      <c r="S789" s="7" t="n"/>
      <c r="T789" s="7" t="n"/>
      <c r="U789" s="7" t="n"/>
      <c r="V789" s="7" t="n"/>
      <c r="W789" s="7" t="n"/>
      <c r="X789" s="7" t="n"/>
    </row>
    <row r="790" ht="21.75" customHeight="1" s="209">
      <c r="A790" s="28" t="n">
        <v>787</v>
      </c>
      <c r="B790" s="28" t="inlineStr">
        <is>
          <t>5172</t>
        </is>
      </c>
      <c r="C790" s="30" t="inlineStr">
        <is>
          <t>D6</t>
        </is>
      </c>
      <c r="D790" s="32" t="inlineStr">
        <is>
          <t>같은 변을 가진 삼각형</t>
        </is>
      </c>
      <c r="E790" s="28" t="inlineStr">
        <is>
          <t>동적계획법 (DP) / 그래프</t>
        </is>
      </c>
      <c r="F790" s="28" t="n"/>
      <c r="G790" s="28" t="n"/>
      <c r="H790" s="28" t="n"/>
      <c r="I790" s="28" t="n"/>
      <c r="J790" s="54">
        <f>IF(OR(ISNUMBER(SEARCH("보류",K790)),ISNUMBER(SEARCH("미룸",K790)),ISNUMBER(SEARCH("나중에",K790)),ISNUMBER(SEARCH("보류",L790)),ISNUMBER(SEARCH("미룸",L790)),ISNUMBER(SEARCH("나중에",L790))),"보류(나중에 풀기)",IF(AND(F790="",G790="",H790="",I790=""),"미완료",IF(I790&lt;&gt;"","복습3(마스터)",IF(H790&lt;&gt;"","복습2",IF(G790&lt;&gt;"","복습1",IF(ISNUMBER(SEARCH("제미나이",K790)),"복습대기(AI도움)",IF(ISNUMBER(SEARCH("간당간당",K790)),"복습대기(간당간당)",IF(OR(ISNUMBER(SEARCH("아이디어",K790)),ISNUMBER(SEARCH("시간초과",K790)),ISNUMBER(SEARCH("자료구조",K790)),ISNUMBER(SEARCH("경계값",K790)),ISNUMBER(SEARCH("다른 풀이",K790)),ISNUMBER(SEARCH("또풀기",K790))),"복습대기",IF(OR(ISNUMBER(SEARCH("복습필요없음",K790)),ISNUMBER(SEARCH("자력완벽",K790))),"품(복습불필요)",IF(F790&lt;&gt;"","품","미완료"))))))))))</f>
        <v/>
      </c>
      <c r="K790" s="32" t="inlineStr">
        <is>
          <t>-</t>
        </is>
      </c>
      <c r="L790" s="32" t="n"/>
      <c r="M790" s="28">
        <f>IF(OR(LEFT(J790,2)="보류", LEFT(J790,4)="복습대기", LEFT(J790,3)="복습1", LEFT(J790,3)="복습2"), MAX($M$3:M789)+1, "")</f>
        <v/>
      </c>
      <c r="N790" s="28" t="inlineStr">
        <is>
          <t>W19</t>
        </is>
      </c>
      <c r="O790" s="36" t="n">
        <v>46389</v>
      </c>
      <c r="P790" s="30">
        <f>IF(F790&lt;&gt;"","✅ 완료",IF(O790="","-",IF(TODAY()&gt;O790,"🚨 지연","⏳ 예정")))</f>
        <v/>
      </c>
      <c r="Q790" s="7" t="n"/>
      <c r="R790" s="7" t="n"/>
      <c r="S790" s="7" t="n"/>
      <c r="T790" s="7" t="n"/>
      <c r="U790" s="7" t="n"/>
      <c r="V790" s="7" t="n"/>
      <c r="W790" s="7" t="n"/>
      <c r="X790" s="7" t="n"/>
    </row>
    <row r="791" ht="21.75" customHeight="1" s="209">
      <c r="A791" s="28" t="n">
        <v>788</v>
      </c>
      <c r="B791" s="28" t="inlineStr">
        <is>
          <t>5216</t>
        </is>
      </c>
      <c r="C791" s="30" t="inlineStr">
        <is>
          <t>D6</t>
        </is>
      </c>
      <c r="D791" s="32" t="inlineStr">
        <is>
          <t>다항식의 계수</t>
        </is>
      </c>
      <c r="E791" s="28" t="inlineStr">
        <is>
          <t>동적계획법 (DP) / 그래프</t>
        </is>
      </c>
      <c r="F791" s="28" t="n"/>
      <c r="G791" s="28" t="n"/>
      <c r="H791" s="28" t="n"/>
      <c r="I791" s="28" t="n"/>
      <c r="J791" s="54">
        <f>IF(OR(ISNUMBER(SEARCH("보류",K791)),ISNUMBER(SEARCH("미룸",K791)),ISNUMBER(SEARCH("나중에",K791)),ISNUMBER(SEARCH("보류",L791)),ISNUMBER(SEARCH("미룸",L791)),ISNUMBER(SEARCH("나중에",L791))),"보류(나중에 풀기)",IF(AND(F791="",G791="",H791="",I791=""),"미완료",IF(I791&lt;&gt;"","복습3(마스터)",IF(H791&lt;&gt;"","복습2",IF(G791&lt;&gt;"","복습1",IF(ISNUMBER(SEARCH("제미나이",K791)),"복습대기(AI도움)",IF(ISNUMBER(SEARCH("간당간당",K791)),"복습대기(간당간당)",IF(OR(ISNUMBER(SEARCH("아이디어",K791)),ISNUMBER(SEARCH("시간초과",K791)),ISNUMBER(SEARCH("자료구조",K791)),ISNUMBER(SEARCH("경계값",K791)),ISNUMBER(SEARCH("다른 풀이",K791)),ISNUMBER(SEARCH("또풀기",K791))),"복습대기",IF(OR(ISNUMBER(SEARCH("복습필요없음",K791)),ISNUMBER(SEARCH("자력완벽",K791))),"품(복습불필요)",IF(F791&lt;&gt;"","품","미완료"))))))))))</f>
        <v/>
      </c>
      <c r="K791" s="32" t="inlineStr">
        <is>
          <t>-</t>
        </is>
      </c>
      <c r="L791" s="32" t="n"/>
      <c r="M791" s="28">
        <f>IF(OR(LEFT(J791,2)="보류", LEFT(J791,4)="복습대기", LEFT(J791,3)="복습1", LEFT(J791,3)="복습2"), MAX($M$3:M790)+1, "")</f>
        <v/>
      </c>
      <c r="N791" s="28" t="inlineStr">
        <is>
          <t>W19</t>
        </is>
      </c>
      <c r="O791" s="36" t="n">
        <v>46389</v>
      </c>
      <c r="P791" s="30">
        <f>IF(F791&lt;&gt;"","✅ 완료",IF(O791="","-",IF(TODAY()&gt;O791,"🚨 지연","⏳ 예정")))</f>
        <v/>
      </c>
      <c r="Q791" s="7" t="n"/>
      <c r="R791" s="7" t="n"/>
      <c r="S791" s="7" t="n"/>
      <c r="T791" s="7" t="n"/>
      <c r="U791" s="7" t="n"/>
      <c r="V791" s="7" t="n"/>
      <c r="W791" s="7" t="n"/>
      <c r="X791" s="7" t="n"/>
    </row>
    <row r="792" ht="21.75" customHeight="1" s="209">
      <c r="A792" s="28" t="n">
        <v>789</v>
      </c>
      <c r="B792" s="28" t="inlineStr">
        <is>
          <t>5299</t>
        </is>
      </c>
      <c r="C792" s="30" t="inlineStr">
        <is>
          <t>D6</t>
        </is>
      </c>
      <c r="D792" s="32" t="inlineStr">
        <is>
          <t>아름다운 균일 수</t>
        </is>
      </c>
      <c r="E792" s="28" t="inlineStr">
        <is>
          <t>동적계획법 (DP) / 그래프</t>
        </is>
      </c>
      <c r="F792" s="28" t="n"/>
      <c r="G792" s="28" t="n"/>
      <c r="H792" s="28" t="n"/>
      <c r="I792" s="28" t="n"/>
      <c r="J792" s="54">
        <f>IF(OR(ISNUMBER(SEARCH("보류",K792)),ISNUMBER(SEARCH("미룸",K792)),ISNUMBER(SEARCH("나중에",K792)),ISNUMBER(SEARCH("보류",L792)),ISNUMBER(SEARCH("미룸",L792)),ISNUMBER(SEARCH("나중에",L792))),"보류(나중에 풀기)",IF(AND(F792="",G792="",H792="",I792=""),"미완료",IF(I792&lt;&gt;"","복습3(마스터)",IF(H792&lt;&gt;"","복습2",IF(G792&lt;&gt;"","복습1",IF(ISNUMBER(SEARCH("제미나이",K792)),"복습대기(AI도움)",IF(ISNUMBER(SEARCH("간당간당",K792)),"복습대기(간당간당)",IF(OR(ISNUMBER(SEARCH("아이디어",K792)),ISNUMBER(SEARCH("시간초과",K792)),ISNUMBER(SEARCH("자료구조",K792)),ISNUMBER(SEARCH("경계값",K792)),ISNUMBER(SEARCH("다른 풀이",K792)),ISNUMBER(SEARCH("또풀기",K792))),"복습대기",IF(OR(ISNUMBER(SEARCH("복습필요없음",K792)),ISNUMBER(SEARCH("자력완벽",K792))),"품(복습불필요)",IF(F792&lt;&gt;"","품","미완료"))))))))))</f>
        <v/>
      </c>
      <c r="K792" s="32" t="inlineStr">
        <is>
          <t>-</t>
        </is>
      </c>
      <c r="L792" s="32" t="n"/>
      <c r="M792" s="28">
        <f>IF(OR(LEFT(J792,2)="보류", LEFT(J792,4)="복습대기", LEFT(J792,3)="복습1", LEFT(J792,3)="복습2"), MAX($M$3:M791)+1, "")</f>
        <v/>
      </c>
      <c r="N792" s="28" t="inlineStr">
        <is>
          <t>W19</t>
        </is>
      </c>
      <c r="O792" s="36" t="n">
        <v>46389</v>
      </c>
      <c r="P792" s="30">
        <f>IF(F792&lt;&gt;"","✅ 완료",IF(O792="","-",IF(TODAY()&gt;O792,"🚨 지연","⏳ 예정")))</f>
        <v/>
      </c>
      <c r="Q792" s="7" t="n"/>
      <c r="R792" s="7" t="n"/>
      <c r="S792" s="7" t="n"/>
      <c r="T792" s="7" t="n"/>
      <c r="U792" s="7" t="n"/>
      <c r="V792" s="7" t="n"/>
      <c r="W792" s="7" t="n"/>
      <c r="X792" s="7" t="n"/>
    </row>
    <row r="793" ht="21.75" customHeight="1" s="209">
      <c r="A793" s="28" t="n">
        <v>790</v>
      </c>
      <c r="B793" s="28" t="inlineStr">
        <is>
          <t>5302</t>
        </is>
      </c>
      <c r="C793" s="30" t="inlineStr">
        <is>
          <t>D6</t>
        </is>
      </c>
      <c r="D793" s="32" t="inlineStr">
        <is>
          <t>지하철 노선의 유사함</t>
        </is>
      </c>
      <c r="E793" s="28" t="inlineStr">
        <is>
          <t>동적계획법 (DP) / 그래프</t>
        </is>
      </c>
      <c r="F793" s="28" t="n"/>
      <c r="G793" s="28" t="n"/>
      <c r="H793" s="28" t="n"/>
      <c r="I793" s="28" t="n"/>
      <c r="J793" s="54">
        <f>IF(OR(ISNUMBER(SEARCH("보류",K793)),ISNUMBER(SEARCH("미룸",K793)),ISNUMBER(SEARCH("나중에",K793)),ISNUMBER(SEARCH("보류",L793)),ISNUMBER(SEARCH("미룸",L793)),ISNUMBER(SEARCH("나중에",L793))),"보류(나중에 풀기)",IF(AND(F793="",G793="",H793="",I793=""),"미완료",IF(I793&lt;&gt;"","복습3(마스터)",IF(H793&lt;&gt;"","복습2",IF(G793&lt;&gt;"","복습1",IF(ISNUMBER(SEARCH("제미나이",K793)),"복습대기(AI도움)",IF(ISNUMBER(SEARCH("간당간당",K793)),"복습대기(간당간당)",IF(OR(ISNUMBER(SEARCH("아이디어",K793)),ISNUMBER(SEARCH("시간초과",K793)),ISNUMBER(SEARCH("자료구조",K793)),ISNUMBER(SEARCH("경계값",K793)),ISNUMBER(SEARCH("다른 풀이",K793)),ISNUMBER(SEARCH("또풀기",K793))),"복습대기",IF(OR(ISNUMBER(SEARCH("복습필요없음",K793)),ISNUMBER(SEARCH("자력완벽",K793))),"품(복습불필요)",IF(F793&lt;&gt;"","품","미완료"))))))))))</f>
        <v/>
      </c>
      <c r="K793" s="32" t="inlineStr">
        <is>
          <t>-</t>
        </is>
      </c>
      <c r="L793" s="32" t="n"/>
      <c r="M793" s="28">
        <f>IF(OR(LEFT(J793,2)="보류", LEFT(J793,4)="복습대기", LEFT(J793,3)="복습1", LEFT(J793,3)="복습2"), MAX($M$3:M792)+1, "")</f>
        <v/>
      </c>
      <c r="N793" s="28" t="inlineStr">
        <is>
          <t>W19</t>
        </is>
      </c>
      <c r="O793" s="36" t="n">
        <v>46389</v>
      </c>
      <c r="P793" s="30">
        <f>IF(F793&lt;&gt;"","✅ 완료",IF(O793="","-",IF(TODAY()&gt;O793,"🚨 지연","⏳ 예정")))</f>
        <v/>
      </c>
      <c r="Q793" s="7" t="n"/>
      <c r="R793" s="7" t="n"/>
      <c r="S793" s="7" t="n"/>
      <c r="T793" s="7" t="n"/>
      <c r="U793" s="7" t="n"/>
      <c r="V793" s="7" t="n"/>
      <c r="W793" s="7" t="n"/>
      <c r="X793" s="7" t="n"/>
    </row>
    <row r="794" ht="21.75" customHeight="1" s="209">
      <c r="A794" s="28" t="n">
        <v>791</v>
      </c>
      <c r="B794" s="28" t="inlineStr">
        <is>
          <t>5360</t>
        </is>
      </c>
      <c r="C794" s="30" t="inlineStr">
        <is>
          <t>D6</t>
        </is>
      </c>
      <c r="D794" s="32" t="inlineStr">
        <is>
          <t>모든 섬의 통신 비용</t>
        </is>
      </c>
      <c r="E794" s="28" t="inlineStr">
        <is>
          <t>동적계획법 (DP) / 그래프</t>
        </is>
      </c>
      <c r="F794" s="28" t="n"/>
      <c r="G794" s="28" t="n"/>
      <c r="H794" s="28" t="n"/>
      <c r="I794" s="28" t="n"/>
      <c r="J794" s="54">
        <f>IF(OR(ISNUMBER(SEARCH("보류",K794)),ISNUMBER(SEARCH("미룸",K794)),ISNUMBER(SEARCH("나중에",K794)),ISNUMBER(SEARCH("보류",L794)),ISNUMBER(SEARCH("미룸",L794)),ISNUMBER(SEARCH("나중에",L794))),"보류(나중에 풀기)",IF(AND(F794="",G794="",H794="",I794=""),"미완료",IF(I794&lt;&gt;"","복습3(마스터)",IF(H794&lt;&gt;"","복습2",IF(G794&lt;&gt;"","복습1",IF(ISNUMBER(SEARCH("제미나이",K794)),"복습대기(AI도움)",IF(ISNUMBER(SEARCH("간당간당",K794)),"복습대기(간당간당)",IF(OR(ISNUMBER(SEARCH("아이디어",K794)),ISNUMBER(SEARCH("시간초과",K794)),ISNUMBER(SEARCH("자료구조",K794)),ISNUMBER(SEARCH("경계값",K794)),ISNUMBER(SEARCH("다른 풀이",K794)),ISNUMBER(SEARCH("또풀기",K794))),"복습대기",IF(OR(ISNUMBER(SEARCH("복습필요없음",K794)),ISNUMBER(SEARCH("자력완벽",K794))),"품(복습불필요)",IF(F794&lt;&gt;"","품","미완료"))))))))))</f>
        <v/>
      </c>
      <c r="K794" s="32" t="inlineStr">
        <is>
          <t>-</t>
        </is>
      </c>
      <c r="L794" s="32" t="n"/>
      <c r="M794" s="28">
        <f>IF(OR(LEFT(J794,2)="보류", LEFT(J794,4)="복습대기", LEFT(J794,3)="복습1", LEFT(J794,3)="복습2"), MAX($M$3:M793)+1, "")</f>
        <v/>
      </c>
      <c r="N794" s="28" t="inlineStr">
        <is>
          <t>W19</t>
        </is>
      </c>
      <c r="O794" s="36" t="n">
        <v>46389</v>
      </c>
      <c r="P794" s="30">
        <f>IF(F794&lt;&gt;"","✅ 완료",IF(O794="","-",IF(TODAY()&gt;O794,"🚨 지연","⏳ 예정")))</f>
        <v/>
      </c>
      <c r="Q794" s="7" t="n"/>
      <c r="R794" s="7" t="n"/>
      <c r="S794" s="7" t="n"/>
      <c r="T794" s="7" t="n"/>
      <c r="U794" s="7" t="n"/>
      <c r="V794" s="7" t="n"/>
      <c r="W794" s="7" t="n"/>
      <c r="X794" s="7" t="n"/>
    </row>
    <row r="795" ht="21.75" customHeight="1" s="209">
      <c r="A795" s="28" t="n">
        <v>792</v>
      </c>
      <c r="B795" s="28" t="inlineStr">
        <is>
          <t>5436</t>
        </is>
      </c>
      <c r="C795" s="30" t="inlineStr">
        <is>
          <t>D6</t>
        </is>
      </c>
      <c r="D795" s="32" t="inlineStr">
        <is>
          <t>동욱이의 조판하기</t>
        </is>
      </c>
      <c r="E795" s="28" t="inlineStr">
        <is>
          <t>동적계획법 (DP) / 그래프</t>
        </is>
      </c>
      <c r="F795" s="28" t="n"/>
      <c r="G795" s="28" t="n"/>
      <c r="H795" s="28" t="n"/>
      <c r="I795" s="28" t="n"/>
      <c r="J795" s="54">
        <f>IF(OR(ISNUMBER(SEARCH("보류",K795)),ISNUMBER(SEARCH("미룸",K795)),ISNUMBER(SEARCH("나중에",K795)),ISNUMBER(SEARCH("보류",L795)),ISNUMBER(SEARCH("미룸",L795)),ISNUMBER(SEARCH("나중에",L795))),"보류(나중에 풀기)",IF(AND(F795="",G795="",H795="",I795=""),"미완료",IF(I795&lt;&gt;"","복습3(마스터)",IF(H795&lt;&gt;"","복습2",IF(G795&lt;&gt;"","복습1",IF(ISNUMBER(SEARCH("제미나이",K795)),"복습대기(AI도움)",IF(ISNUMBER(SEARCH("간당간당",K795)),"복습대기(간당간당)",IF(OR(ISNUMBER(SEARCH("아이디어",K795)),ISNUMBER(SEARCH("시간초과",K795)),ISNUMBER(SEARCH("자료구조",K795)),ISNUMBER(SEARCH("경계값",K795)),ISNUMBER(SEARCH("다른 풀이",K795)),ISNUMBER(SEARCH("또풀기",K795))),"복습대기",IF(OR(ISNUMBER(SEARCH("복습필요없음",K795)),ISNUMBER(SEARCH("자력완벽",K795))),"품(복습불필요)",IF(F795&lt;&gt;"","품","미완료"))))))))))</f>
        <v/>
      </c>
      <c r="K795" s="32" t="inlineStr">
        <is>
          <t>-</t>
        </is>
      </c>
      <c r="L795" s="32" t="n"/>
      <c r="M795" s="28">
        <f>IF(OR(LEFT(J795,2)="보류", LEFT(J795,4)="복습대기", LEFT(J795,3)="복습1", LEFT(J795,3)="복습2"), MAX($M$3:M794)+1, "")</f>
        <v/>
      </c>
      <c r="N795" s="28" t="inlineStr">
        <is>
          <t>W19</t>
        </is>
      </c>
      <c r="O795" s="36" t="n">
        <v>46389</v>
      </c>
      <c r="P795" s="30">
        <f>IF(F795&lt;&gt;"","✅ 완료",IF(O795="","-",IF(TODAY()&gt;O795,"🚨 지연","⏳ 예정")))</f>
        <v/>
      </c>
      <c r="Q795" s="7" t="n"/>
      <c r="R795" s="7" t="n"/>
      <c r="S795" s="7" t="n"/>
      <c r="T795" s="7" t="n"/>
      <c r="U795" s="7" t="n"/>
      <c r="V795" s="7" t="n"/>
      <c r="W795" s="7" t="n"/>
      <c r="X795" s="7" t="n"/>
    </row>
    <row r="796" ht="21.75" customHeight="1" s="209">
      <c r="A796" s="28" t="n">
        <v>793</v>
      </c>
      <c r="B796" s="28" t="inlineStr">
        <is>
          <t>5523</t>
        </is>
      </c>
      <c r="C796" s="30" t="inlineStr">
        <is>
          <t>D6</t>
        </is>
      </c>
      <c r="D796" s="32" t="inlineStr">
        <is>
          <t>밍이의 정수열 다듬기</t>
        </is>
      </c>
      <c r="E796" s="28" t="inlineStr">
        <is>
          <t>동적계획법 (DP)</t>
        </is>
      </c>
      <c r="F796" s="28" t="n"/>
      <c r="G796" s="28" t="n"/>
      <c r="H796" s="28" t="n"/>
      <c r="I796" s="28" t="n"/>
      <c r="J796" s="54">
        <f>IF(OR(ISNUMBER(SEARCH("보류",K796)),ISNUMBER(SEARCH("미룸",K796)),ISNUMBER(SEARCH("나중에",K796)),ISNUMBER(SEARCH("보류",L796)),ISNUMBER(SEARCH("미룸",L796)),ISNUMBER(SEARCH("나중에",L796))),"보류(나중에 풀기)",IF(AND(F796="",G796="",H796="",I796=""),"미완료",IF(I796&lt;&gt;"","복습3(마스터)",IF(H796&lt;&gt;"","복습2",IF(G796&lt;&gt;"","복습1",IF(ISNUMBER(SEARCH("제미나이",K796)),"복습대기(AI도움)",IF(ISNUMBER(SEARCH("간당간당",K796)),"복습대기(간당간당)",IF(OR(ISNUMBER(SEARCH("아이디어",K796)),ISNUMBER(SEARCH("시간초과",K796)),ISNUMBER(SEARCH("자료구조",K796)),ISNUMBER(SEARCH("경계값",K796)),ISNUMBER(SEARCH("다른 풀이",K796)),ISNUMBER(SEARCH("또풀기",K796))),"복습대기",IF(OR(ISNUMBER(SEARCH("복습필요없음",K796)),ISNUMBER(SEARCH("자력완벽",K796))),"품(복습불필요)",IF(F796&lt;&gt;"","품","미완료"))))))))))</f>
        <v/>
      </c>
      <c r="K796" s="32" t="inlineStr">
        <is>
          <t>-</t>
        </is>
      </c>
      <c r="L796" s="32" t="n"/>
      <c r="M796" s="28">
        <f>IF(OR(LEFT(J796,2)="보류", LEFT(J796,4)="복습대기", LEFT(J796,3)="복습1", LEFT(J796,3)="복습2"), MAX($M$3:M795)+1, "")</f>
        <v/>
      </c>
      <c r="N796" s="28" t="inlineStr">
        <is>
          <t>W19</t>
        </is>
      </c>
      <c r="O796" s="36" t="n">
        <v>46390</v>
      </c>
      <c r="P796" s="30">
        <f>IF(F796&lt;&gt;"","✅ 완료",IF(O796="","-",IF(TODAY()&gt;O796,"🚨 지연","⏳ 예정")))</f>
        <v/>
      </c>
      <c r="Q796" s="7" t="n"/>
      <c r="R796" s="7" t="n"/>
      <c r="S796" s="7" t="n"/>
      <c r="T796" s="7" t="n"/>
      <c r="U796" s="7" t="n"/>
      <c r="V796" s="7" t="n"/>
      <c r="W796" s="7" t="n"/>
      <c r="X796" s="7" t="n"/>
    </row>
    <row r="797" ht="21.75" customHeight="1" s="209">
      <c r="A797" s="28" t="n">
        <v>794</v>
      </c>
      <c r="B797" s="28" t="inlineStr">
        <is>
          <t>5548</t>
        </is>
      </c>
      <c r="C797" s="30" t="inlineStr">
        <is>
          <t>D6</t>
        </is>
      </c>
      <c r="D797" s="32" t="inlineStr">
        <is>
          <t>태양이의 캠프 조합</t>
        </is>
      </c>
      <c r="E797" s="28" t="inlineStr">
        <is>
          <t>DFS / 백트래킹</t>
        </is>
      </c>
      <c r="F797" s="28" t="n"/>
      <c r="G797" s="28" t="n"/>
      <c r="H797" s="28" t="n"/>
      <c r="I797" s="28" t="n"/>
      <c r="J797" s="54">
        <f>IF(OR(ISNUMBER(SEARCH("보류",K797)),ISNUMBER(SEARCH("미룸",K797)),ISNUMBER(SEARCH("나중에",K797)),ISNUMBER(SEARCH("보류",L797)),ISNUMBER(SEARCH("미룸",L797)),ISNUMBER(SEARCH("나중에",L797))),"보류(나중에 풀기)",IF(AND(F797="",G797="",H797="",I797=""),"미완료",IF(I797&lt;&gt;"","복습3(마스터)",IF(H797&lt;&gt;"","복습2",IF(G797&lt;&gt;"","복습1",IF(ISNUMBER(SEARCH("제미나이",K797)),"복습대기(AI도움)",IF(ISNUMBER(SEARCH("간당간당",K797)),"복습대기(간당간당)",IF(OR(ISNUMBER(SEARCH("아이디어",K797)),ISNUMBER(SEARCH("시간초과",K797)),ISNUMBER(SEARCH("자료구조",K797)),ISNUMBER(SEARCH("경계값",K797)),ISNUMBER(SEARCH("다른 풀이",K797)),ISNUMBER(SEARCH("또풀기",K797))),"복습대기",IF(OR(ISNUMBER(SEARCH("복습필요없음",K797)),ISNUMBER(SEARCH("자력완벽",K797))),"품(복습불필요)",IF(F797&lt;&gt;"","품","미완료"))))))))))</f>
        <v/>
      </c>
      <c r="K797" s="32" t="inlineStr">
        <is>
          <t>-</t>
        </is>
      </c>
      <c r="L797" s="32" t="n"/>
      <c r="M797" s="28">
        <f>IF(OR(LEFT(J797,2)="보류", LEFT(J797,4)="복습대기", LEFT(J797,3)="복습1", LEFT(J797,3)="복습2"), MAX($M$3:M796)+1, "")</f>
        <v/>
      </c>
      <c r="N797" s="28" t="inlineStr">
        <is>
          <t>W19</t>
        </is>
      </c>
      <c r="O797" s="36" t="n">
        <v>46390</v>
      </c>
      <c r="P797" s="30">
        <f>IF(F797&lt;&gt;"","✅ 완료",IF(O797="","-",IF(TODAY()&gt;O797,"🚨 지연","⏳ 예정")))</f>
        <v/>
      </c>
      <c r="Q797" s="7" t="n"/>
      <c r="R797" s="7" t="n"/>
      <c r="S797" s="7" t="n"/>
      <c r="T797" s="7" t="n"/>
      <c r="U797" s="7" t="n"/>
      <c r="V797" s="7" t="n"/>
      <c r="W797" s="7" t="n"/>
      <c r="X797" s="7" t="n"/>
    </row>
    <row r="798" ht="21.75" customHeight="1" s="209">
      <c r="A798" s="28" t="n">
        <v>795</v>
      </c>
      <c r="B798" s="28" t="inlineStr">
        <is>
          <t>5618</t>
        </is>
      </c>
      <c r="C798" s="30" t="inlineStr">
        <is>
          <t>D6</t>
        </is>
      </c>
      <c r="D798" s="32" t="inlineStr">
        <is>
          <t>[Professional] 사진</t>
        </is>
      </c>
      <c r="E798" s="28" t="inlineStr">
        <is>
          <t>동적계획법 (DP) / 그래프</t>
        </is>
      </c>
      <c r="F798" s="28" t="n"/>
      <c r="G798" s="28" t="n"/>
      <c r="H798" s="28" t="n"/>
      <c r="I798" s="28" t="n"/>
      <c r="J798" s="54">
        <f>IF(OR(ISNUMBER(SEARCH("보류",K798)),ISNUMBER(SEARCH("미룸",K798)),ISNUMBER(SEARCH("나중에",K798)),ISNUMBER(SEARCH("보류",L798)),ISNUMBER(SEARCH("미룸",L798)),ISNUMBER(SEARCH("나중에",L798))),"보류(나중에 풀기)",IF(AND(F798="",G798="",H798="",I798=""),"미완료",IF(I798&lt;&gt;"","복습3(마스터)",IF(H798&lt;&gt;"","복습2",IF(G798&lt;&gt;"","복습1",IF(ISNUMBER(SEARCH("제미나이",K798)),"복습대기(AI도움)",IF(ISNUMBER(SEARCH("간당간당",K798)),"복습대기(간당간당)",IF(OR(ISNUMBER(SEARCH("아이디어",K798)),ISNUMBER(SEARCH("시간초과",K798)),ISNUMBER(SEARCH("자료구조",K798)),ISNUMBER(SEARCH("경계값",K798)),ISNUMBER(SEARCH("다른 풀이",K798)),ISNUMBER(SEARCH("또풀기",K798))),"복습대기",IF(OR(ISNUMBER(SEARCH("복습필요없음",K798)),ISNUMBER(SEARCH("자력완벽",K798))),"품(복습불필요)",IF(F798&lt;&gt;"","품","미완료"))))))))))</f>
        <v/>
      </c>
      <c r="K798" s="32" t="inlineStr">
        <is>
          <t>-</t>
        </is>
      </c>
      <c r="L798" s="32" t="n"/>
      <c r="M798" s="28">
        <f>IF(OR(LEFT(J798,2)="보류", LEFT(J798,4)="복습대기", LEFT(J798,3)="복습1", LEFT(J798,3)="복습2"), MAX($M$3:M797)+1, "")</f>
        <v/>
      </c>
      <c r="N798" s="28" t="inlineStr">
        <is>
          <t>W19</t>
        </is>
      </c>
      <c r="O798" s="36" t="n">
        <v>46390</v>
      </c>
      <c r="P798" s="30">
        <f>IF(F798&lt;&gt;"","✅ 완료",IF(O798="","-",IF(TODAY()&gt;O798,"🚨 지연","⏳ 예정")))</f>
        <v/>
      </c>
      <c r="Q798" s="7" t="n"/>
      <c r="R798" s="7" t="n"/>
      <c r="S798" s="7" t="n"/>
      <c r="T798" s="7" t="n"/>
      <c r="U798" s="7" t="n"/>
      <c r="V798" s="7" t="n"/>
      <c r="W798" s="7" t="n"/>
      <c r="X798" s="7" t="n"/>
    </row>
    <row r="799" ht="21.75" customHeight="1" s="209">
      <c r="A799" s="28" t="n">
        <v>796</v>
      </c>
      <c r="B799" s="28" t="inlineStr">
        <is>
          <t>5661</t>
        </is>
      </c>
      <c r="C799" s="30" t="inlineStr">
        <is>
          <t>D6</t>
        </is>
      </c>
      <c r="D799" s="32" t="inlineStr">
        <is>
          <t>[Professional] 지하 감옥</t>
        </is>
      </c>
      <c r="E799" s="28" t="inlineStr">
        <is>
          <t>동적계획법 (DP) / 그래프</t>
        </is>
      </c>
      <c r="F799" s="28" t="n"/>
      <c r="G799" s="28" t="n"/>
      <c r="H799" s="28" t="n"/>
      <c r="I799" s="28" t="n"/>
      <c r="J799" s="54">
        <f>IF(OR(ISNUMBER(SEARCH("보류",K799)),ISNUMBER(SEARCH("미룸",K799)),ISNUMBER(SEARCH("나중에",K799)),ISNUMBER(SEARCH("보류",L799)),ISNUMBER(SEARCH("미룸",L799)),ISNUMBER(SEARCH("나중에",L799))),"보류(나중에 풀기)",IF(AND(F799="",G799="",H799="",I799=""),"미완료",IF(I799&lt;&gt;"","복습3(마스터)",IF(H799&lt;&gt;"","복습2",IF(G799&lt;&gt;"","복습1",IF(ISNUMBER(SEARCH("제미나이",K799)),"복습대기(AI도움)",IF(ISNUMBER(SEARCH("간당간당",K799)),"복습대기(간당간당)",IF(OR(ISNUMBER(SEARCH("아이디어",K799)),ISNUMBER(SEARCH("시간초과",K799)),ISNUMBER(SEARCH("자료구조",K799)),ISNUMBER(SEARCH("경계값",K799)),ISNUMBER(SEARCH("다른 풀이",K799)),ISNUMBER(SEARCH("또풀기",K799))),"복습대기",IF(OR(ISNUMBER(SEARCH("복습필요없음",K799)),ISNUMBER(SEARCH("자력완벽",K799))),"품(복습불필요)",IF(F799&lt;&gt;"","품","미완료"))))))))))</f>
        <v/>
      </c>
      <c r="K799" s="32" t="inlineStr">
        <is>
          <t>-</t>
        </is>
      </c>
      <c r="L799" s="32" t="n"/>
      <c r="M799" s="28">
        <f>IF(OR(LEFT(J799,2)="보류", LEFT(J799,4)="복습대기", LEFT(J799,3)="복습1", LEFT(J799,3)="복습2"), MAX($M$3:M798)+1, "")</f>
        <v/>
      </c>
      <c r="N799" s="28" t="inlineStr">
        <is>
          <t>W19</t>
        </is>
      </c>
      <c r="O799" s="36" t="n">
        <v>46390</v>
      </c>
      <c r="P799" s="30">
        <f>IF(F799&lt;&gt;"","✅ 완료",IF(O799="","-",IF(TODAY()&gt;O799,"🚨 지연","⏳ 예정")))</f>
        <v/>
      </c>
      <c r="Q799" s="7" t="n"/>
      <c r="R799" s="7" t="n"/>
      <c r="S799" s="7" t="n"/>
      <c r="T799" s="7" t="n"/>
      <c r="U799" s="7" t="n"/>
      <c r="V799" s="7" t="n"/>
      <c r="W799" s="7" t="n"/>
      <c r="X799" s="7" t="n"/>
    </row>
    <row r="800" ht="21.75" customHeight="1" s="209">
      <c r="A800" s="28" t="n">
        <v>797</v>
      </c>
      <c r="B800" s="28" t="inlineStr">
        <is>
          <t>5682</t>
        </is>
      </c>
      <c r="C800" s="30" t="inlineStr">
        <is>
          <t>D6</t>
        </is>
      </c>
      <c r="D800" s="32" t="inlineStr">
        <is>
          <t>[Professional] 면적</t>
        </is>
      </c>
      <c r="E800" s="28" t="inlineStr">
        <is>
          <t>동적계획법 (DP) / 그래프</t>
        </is>
      </c>
      <c r="F800" s="28" t="n"/>
      <c r="G800" s="28" t="n"/>
      <c r="H800" s="28" t="n"/>
      <c r="I800" s="28" t="n"/>
      <c r="J800" s="54">
        <f>IF(OR(ISNUMBER(SEARCH("보류",K800)),ISNUMBER(SEARCH("미룸",K800)),ISNUMBER(SEARCH("나중에",K800)),ISNUMBER(SEARCH("보류",L800)),ISNUMBER(SEARCH("미룸",L800)),ISNUMBER(SEARCH("나중에",L800))),"보류(나중에 풀기)",IF(AND(F800="",G800="",H800="",I800=""),"미완료",IF(I800&lt;&gt;"","복습3(마스터)",IF(H800&lt;&gt;"","복습2",IF(G800&lt;&gt;"","복습1",IF(ISNUMBER(SEARCH("제미나이",K800)),"복습대기(AI도움)",IF(ISNUMBER(SEARCH("간당간당",K800)),"복습대기(간당간당)",IF(OR(ISNUMBER(SEARCH("아이디어",K800)),ISNUMBER(SEARCH("시간초과",K800)),ISNUMBER(SEARCH("자료구조",K800)),ISNUMBER(SEARCH("경계값",K800)),ISNUMBER(SEARCH("다른 풀이",K800)),ISNUMBER(SEARCH("또풀기",K800))),"복습대기",IF(OR(ISNUMBER(SEARCH("복습필요없음",K800)),ISNUMBER(SEARCH("자력완벽",K800))),"품(복습불필요)",IF(F800&lt;&gt;"","품","미완료"))))))))))</f>
        <v/>
      </c>
      <c r="K800" s="32" t="inlineStr">
        <is>
          <t>-</t>
        </is>
      </c>
      <c r="L800" s="32" t="n"/>
      <c r="M800" s="28">
        <f>IF(OR(LEFT(J800,2)="보류", LEFT(J800,4)="복습대기", LEFT(J800,3)="복습1", LEFT(J800,3)="복습2"), MAX($M$3:M799)+1, "")</f>
        <v/>
      </c>
      <c r="N800" s="28" t="inlineStr">
        <is>
          <t>W19</t>
        </is>
      </c>
      <c r="O800" s="36" t="n">
        <v>46390</v>
      </c>
      <c r="P800" s="30">
        <f>IF(F800&lt;&gt;"","✅ 완료",IF(O800="","-",IF(TODAY()&gt;O800,"🚨 지연","⏳ 예정")))</f>
        <v/>
      </c>
      <c r="Q800" s="7" t="n"/>
      <c r="R800" s="7" t="n"/>
      <c r="S800" s="7" t="n"/>
      <c r="T800" s="7" t="n"/>
      <c r="U800" s="7" t="n"/>
      <c r="V800" s="7" t="n"/>
      <c r="W800" s="7" t="n"/>
      <c r="X800" s="7" t="n"/>
    </row>
    <row r="801" ht="21.75" customHeight="1" s="209">
      <c r="A801" s="28" t="n">
        <v>798</v>
      </c>
      <c r="B801" s="28" t="inlineStr">
        <is>
          <t>5686</t>
        </is>
      </c>
      <c r="C801" s="30" t="inlineStr">
        <is>
          <t>D6</t>
        </is>
      </c>
      <c r="D801" s="32" t="inlineStr">
        <is>
          <t>[Professional] 게임</t>
        </is>
      </c>
      <c r="E801" s="28" t="inlineStr">
        <is>
          <t>시뮬레이션 / 구현</t>
        </is>
      </c>
      <c r="F801" s="28" t="n"/>
      <c r="G801" s="28" t="n"/>
      <c r="H801" s="28" t="n"/>
      <c r="I801" s="28" t="n"/>
      <c r="J801" s="54">
        <f>IF(OR(ISNUMBER(SEARCH("보류",K801)),ISNUMBER(SEARCH("미룸",K801)),ISNUMBER(SEARCH("나중에",K801)),ISNUMBER(SEARCH("보류",L801)),ISNUMBER(SEARCH("미룸",L801)),ISNUMBER(SEARCH("나중에",L801))),"보류(나중에 풀기)",IF(AND(F801="",G801="",H801="",I801=""),"미완료",IF(I801&lt;&gt;"","복습3(마스터)",IF(H801&lt;&gt;"","복습2",IF(G801&lt;&gt;"","복습1",IF(ISNUMBER(SEARCH("제미나이",K801)),"복습대기(AI도움)",IF(ISNUMBER(SEARCH("간당간당",K801)),"복습대기(간당간당)",IF(OR(ISNUMBER(SEARCH("아이디어",K801)),ISNUMBER(SEARCH("시간초과",K801)),ISNUMBER(SEARCH("자료구조",K801)),ISNUMBER(SEARCH("경계값",K801)),ISNUMBER(SEARCH("다른 풀이",K801)),ISNUMBER(SEARCH("또풀기",K801))),"복습대기",IF(OR(ISNUMBER(SEARCH("복습필요없음",K801)),ISNUMBER(SEARCH("자력완벽",K801))),"품(복습불필요)",IF(F801&lt;&gt;"","품","미완료"))))))))))</f>
        <v/>
      </c>
      <c r="K801" s="32" t="inlineStr">
        <is>
          <t>-</t>
        </is>
      </c>
      <c r="L801" s="32" t="n"/>
      <c r="M801" s="28">
        <f>IF(OR(LEFT(J801,2)="보류", LEFT(J801,4)="복습대기", LEFT(J801,3)="복습1", LEFT(J801,3)="복습2"), MAX($M$3:M800)+1, "")</f>
        <v/>
      </c>
      <c r="N801" s="28" t="inlineStr">
        <is>
          <t>W19</t>
        </is>
      </c>
      <c r="O801" s="36" t="n">
        <v>46390</v>
      </c>
      <c r="P801" s="30">
        <f>IF(F801&lt;&gt;"","✅ 완료",IF(O801="","-",IF(TODAY()&gt;O801,"🚨 지연","⏳ 예정")))</f>
        <v/>
      </c>
      <c r="Q801" s="7" t="n"/>
      <c r="R801" s="7" t="n"/>
      <c r="S801" s="7" t="n"/>
      <c r="T801" s="7" t="n"/>
      <c r="U801" s="7" t="n"/>
      <c r="V801" s="7" t="n"/>
      <c r="W801" s="7" t="n"/>
      <c r="X801" s="7" t="n"/>
    </row>
    <row r="802" ht="21.75" customHeight="1" s="209">
      <c r="A802" s="28" t="n">
        <v>799</v>
      </c>
      <c r="B802" s="28" t="inlineStr">
        <is>
          <t>5695</t>
        </is>
      </c>
      <c r="C802" s="30" t="inlineStr">
        <is>
          <t>D6</t>
        </is>
      </c>
      <c r="D802" s="32" t="inlineStr">
        <is>
          <t>삼성초등학교 홍선생님의 가을 소풍</t>
        </is>
      </c>
      <c r="E802" s="28" t="inlineStr">
        <is>
          <t>동적계획법 (DP) / 그래프</t>
        </is>
      </c>
      <c r="F802" s="28" t="n"/>
      <c r="G802" s="28" t="n"/>
      <c r="H802" s="28" t="n"/>
      <c r="I802" s="28" t="n"/>
      <c r="J802" s="54">
        <f>IF(OR(ISNUMBER(SEARCH("보류",K802)),ISNUMBER(SEARCH("미룸",K802)),ISNUMBER(SEARCH("나중에",K802)),ISNUMBER(SEARCH("보류",L802)),ISNUMBER(SEARCH("미룸",L802)),ISNUMBER(SEARCH("나중에",L802))),"보류(나중에 풀기)",IF(AND(F802="",G802="",H802="",I802=""),"미완료",IF(I802&lt;&gt;"","복습3(마스터)",IF(H802&lt;&gt;"","복습2",IF(G802&lt;&gt;"","복습1",IF(ISNUMBER(SEARCH("제미나이",K802)),"복습대기(AI도움)",IF(ISNUMBER(SEARCH("간당간당",K802)),"복습대기(간당간당)",IF(OR(ISNUMBER(SEARCH("아이디어",K802)),ISNUMBER(SEARCH("시간초과",K802)),ISNUMBER(SEARCH("자료구조",K802)),ISNUMBER(SEARCH("경계값",K802)),ISNUMBER(SEARCH("다른 풀이",K802)),ISNUMBER(SEARCH("또풀기",K802))),"복습대기",IF(OR(ISNUMBER(SEARCH("복습필요없음",K802)),ISNUMBER(SEARCH("자력완벽",K802))),"품(복습불필요)",IF(F802&lt;&gt;"","품","미완료"))))))))))</f>
        <v/>
      </c>
      <c r="K802" s="32" t="inlineStr">
        <is>
          <t>-</t>
        </is>
      </c>
      <c r="L802" s="32" t="n"/>
      <c r="M802" s="28">
        <f>IF(OR(LEFT(J802,2)="보류", LEFT(J802,4)="복습대기", LEFT(J802,3)="복습1", LEFT(J802,3)="복습2"), MAX($M$3:M801)+1, "")</f>
        <v/>
      </c>
      <c r="N802" s="28" t="inlineStr">
        <is>
          <t>W19</t>
        </is>
      </c>
      <c r="O802" s="36" t="n">
        <v>46390</v>
      </c>
      <c r="P802" s="30">
        <f>IF(F802&lt;&gt;"","✅ 완료",IF(O802="","-",IF(TODAY()&gt;O802,"🚨 지연","⏳ 예정")))</f>
        <v/>
      </c>
      <c r="Q802" s="7" t="n"/>
      <c r="R802" s="7" t="n"/>
      <c r="S802" s="7" t="n"/>
      <c r="T802" s="7" t="n"/>
      <c r="U802" s="7" t="n"/>
      <c r="V802" s="7" t="n"/>
      <c r="W802" s="7" t="n"/>
      <c r="X802" s="7" t="n"/>
    </row>
    <row r="803" ht="21.75" customHeight="1" s="209">
      <c r="A803" s="28" t="n">
        <v>800</v>
      </c>
      <c r="B803" s="28" t="inlineStr">
        <is>
          <t>5787</t>
        </is>
      </c>
      <c r="C803" s="30" t="inlineStr">
        <is>
          <t>D6</t>
        </is>
      </c>
      <c r="D803" s="32" t="inlineStr">
        <is>
          <t>스왑과 인버전</t>
        </is>
      </c>
      <c r="E803" s="28" t="inlineStr">
        <is>
          <t>동적계획법 (DP) / 그래프</t>
        </is>
      </c>
      <c r="F803" s="28" t="n"/>
      <c r="G803" s="28" t="n"/>
      <c r="H803" s="28" t="n"/>
      <c r="I803" s="28" t="n"/>
      <c r="J803" s="54">
        <f>IF(OR(ISNUMBER(SEARCH("보류",K803)),ISNUMBER(SEARCH("미룸",K803)),ISNUMBER(SEARCH("나중에",K803)),ISNUMBER(SEARCH("보류",L803)),ISNUMBER(SEARCH("미룸",L803)),ISNUMBER(SEARCH("나중에",L803))),"보류(나중에 풀기)",IF(AND(F803="",G803="",H803="",I803=""),"미완료",IF(I803&lt;&gt;"","복습3(마스터)",IF(H803&lt;&gt;"","복습2",IF(G803&lt;&gt;"","복습1",IF(ISNUMBER(SEARCH("제미나이",K803)),"복습대기(AI도움)",IF(ISNUMBER(SEARCH("간당간당",K803)),"복습대기(간당간당)",IF(OR(ISNUMBER(SEARCH("아이디어",K803)),ISNUMBER(SEARCH("시간초과",K803)),ISNUMBER(SEARCH("자료구조",K803)),ISNUMBER(SEARCH("경계값",K803)),ISNUMBER(SEARCH("다른 풀이",K803)),ISNUMBER(SEARCH("또풀기",K803))),"복습대기",IF(OR(ISNUMBER(SEARCH("복습필요없음",K803)),ISNUMBER(SEARCH("자력완벽",K803))),"품(복습불필요)",IF(F803&lt;&gt;"","품","미완료"))))))))))</f>
        <v/>
      </c>
      <c r="K803" s="32" t="inlineStr">
        <is>
          <t>-</t>
        </is>
      </c>
      <c r="L803" s="32" t="n"/>
      <c r="M803" s="28">
        <f>IF(OR(LEFT(J803,2)="보류", LEFT(J803,4)="복습대기", LEFT(J803,3)="복습1", LEFT(J803,3)="복습2"), MAX($M$3:M802)+1, "")</f>
        <v/>
      </c>
      <c r="N803" s="28" t="inlineStr">
        <is>
          <t>W20</t>
        </is>
      </c>
      <c r="O803" s="36" t="n">
        <v>46391</v>
      </c>
      <c r="P803" s="30">
        <f>IF(F803&lt;&gt;"","✅ 완료",IF(O803="","-",IF(TODAY()&gt;O803,"🚨 지연","⏳ 예정")))</f>
        <v/>
      </c>
      <c r="Q803" s="7" t="n"/>
      <c r="R803" s="7" t="n"/>
      <c r="S803" s="7" t="n"/>
      <c r="T803" s="7" t="n"/>
      <c r="U803" s="7" t="n"/>
      <c r="V803" s="7" t="n"/>
      <c r="W803" s="7" t="n"/>
      <c r="X803" s="7" t="n"/>
    </row>
    <row r="804" ht="21.75" customHeight="1" s="209">
      <c r="A804" s="28" t="n">
        <v>801</v>
      </c>
      <c r="B804" s="28" t="inlineStr">
        <is>
          <t>5991</t>
        </is>
      </c>
      <c r="C804" s="30" t="inlineStr">
        <is>
          <t>D6</t>
        </is>
      </c>
      <c r="D804" s="32" t="inlineStr">
        <is>
          <t>길이가 4인 단순 경로 찾기</t>
        </is>
      </c>
      <c r="E804" s="28" t="inlineStr">
        <is>
          <t>DFS / 백트래킹</t>
        </is>
      </c>
      <c r="F804" s="28" t="n"/>
      <c r="G804" s="28" t="n"/>
      <c r="H804" s="28" t="n"/>
      <c r="I804" s="28" t="n"/>
      <c r="J804" s="54">
        <f>IF(OR(ISNUMBER(SEARCH("보류",K804)),ISNUMBER(SEARCH("미룸",K804)),ISNUMBER(SEARCH("나중에",K804)),ISNUMBER(SEARCH("보류",L804)),ISNUMBER(SEARCH("미룸",L804)),ISNUMBER(SEARCH("나중에",L804))),"보류(나중에 풀기)",IF(AND(F804="",G804="",H804="",I804=""),"미완료",IF(I804&lt;&gt;"","복습3(마스터)",IF(H804&lt;&gt;"","복습2",IF(G804&lt;&gt;"","복습1",IF(ISNUMBER(SEARCH("제미나이",K804)),"복습대기(AI도움)",IF(ISNUMBER(SEARCH("간당간당",K804)),"복습대기(간당간당)",IF(OR(ISNUMBER(SEARCH("아이디어",K804)),ISNUMBER(SEARCH("시간초과",K804)),ISNUMBER(SEARCH("자료구조",K804)),ISNUMBER(SEARCH("경계값",K804)),ISNUMBER(SEARCH("다른 풀이",K804)),ISNUMBER(SEARCH("또풀기",K804))),"복습대기",IF(OR(ISNUMBER(SEARCH("복습필요없음",K804)),ISNUMBER(SEARCH("자력완벽",K804))),"품(복습불필요)",IF(F804&lt;&gt;"","품","미완료"))))))))))</f>
        <v/>
      </c>
      <c r="K804" s="32" t="inlineStr">
        <is>
          <t>-</t>
        </is>
      </c>
      <c r="L804" s="32" t="n"/>
      <c r="M804" s="28">
        <f>IF(OR(LEFT(J804,2)="보류", LEFT(J804,4)="복습대기", LEFT(J804,3)="복습1", LEFT(J804,3)="복습2"), MAX($M$3:M803)+1, "")</f>
        <v/>
      </c>
      <c r="N804" s="28" t="inlineStr">
        <is>
          <t>W20</t>
        </is>
      </c>
      <c r="O804" s="36" t="n">
        <v>46391</v>
      </c>
      <c r="P804" s="30">
        <f>IF(F804&lt;&gt;"","✅ 완료",IF(O804="","-",IF(TODAY()&gt;O804,"🚨 지연","⏳ 예정")))</f>
        <v/>
      </c>
      <c r="Q804" s="7" t="n"/>
      <c r="R804" s="7" t="n"/>
      <c r="S804" s="7" t="n"/>
      <c r="T804" s="7" t="n"/>
      <c r="U804" s="7" t="n"/>
      <c r="V804" s="7" t="n"/>
      <c r="W804" s="7" t="n"/>
      <c r="X804" s="7" t="n"/>
    </row>
    <row r="805" ht="21.75" customHeight="1" s="209">
      <c r="A805" s="28" t="n">
        <v>802</v>
      </c>
      <c r="B805" s="28" t="inlineStr">
        <is>
          <t>6025</t>
        </is>
      </c>
      <c r="C805" s="30" t="inlineStr">
        <is>
          <t>D6</t>
        </is>
      </c>
      <c r="D805" s="32" t="inlineStr">
        <is>
          <t>아름답게 나누기</t>
        </is>
      </c>
      <c r="E805" s="28" t="inlineStr">
        <is>
          <t>동적계획법 (DP) / 그래프</t>
        </is>
      </c>
      <c r="F805" s="28" t="n"/>
      <c r="G805" s="28" t="n"/>
      <c r="H805" s="28" t="n"/>
      <c r="I805" s="28" t="n"/>
      <c r="J805" s="54">
        <f>IF(OR(ISNUMBER(SEARCH("보류",K805)),ISNUMBER(SEARCH("미룸",K805)),ISNUMBER(SEARCH("나중에",K805)),ISNUMBER(SEARCH("보류",L805)),ISNUMBER(SEARCH("미룸",L805)),ISNUMBER(SEARCH("나중에",L805))),"보류(나중에 풀기)",IF(AND(F805="",G805="",H805="",I805=""),"미완료",IF(I805&lt;&gt;"","복습3(마스터)",IF(H805&lt;&gt;"","복습2",IF(G805&lt;&gt;"","복습1",IF(ISNUMBER(SEARCH("제미나이",K805)),"복습대기(AI도움)",IF(ISNUMBER(SEARCH("간당간당",K805)),"복습대기(간당간당)",IF(OR(ISNUMBER(SEARCH("아이디어",K805)),ISNUMBER(SEARCH("시간초과",K805)),ISNUMBER(SEARCH("자료구조",K805)),ISNUMBER(SEARCH("경계값",K805)),ISNUMBER(SEARCH("다른 풀이",K805)),ISNUMBER(SEARCH("또풀기",K805))),"복습대기",IF(OR(ISNUMBER(SEARCH("복습필요없음",K805)),ISNUMBER(SEARCH("자력완벽",K805))),"품(복습불필요)",IF(F805&lt;&gt;"","품","미완료"))))))))))</f>
        <v/>
      </c>
      <c r="K805" s="32" t="inlineStr">
        <is>
          <t>-</t>
        </is>
      </c>
      <c r="L805" s="32" t="n"/>
      <c r="M805" s="28">
        <f>IF(OR(LEFT(J805,2)="보류", LEFT(J805,4)="복습대기", LEFT(J805,3)="복습1", LEFT(J805,3)="복습2"), MAX($M$3:M804)+1, "")</f>
        <v/>
      </c>
      <c r="N805" s="28" t="inlineStr">
        <is>
          <t>W20</t>
        </is>
      </c>
      <c r="O805" s="36" t="n">
        <v>46391</v>
      </c>
      <c r="P805" s="30">
        <f>IF(F805&lt;&gt;"","✅ 완료",IF(O805="","-",IF(TODAY()&gt;O805,"🚨 지연","⏳ 예정")))</f>
        <v/>
      </c>
      <c r="Q805" s="7" t="n"/>
      <c r="R805" s="7" t="n"/>
      <c r="S805" s="7" t="n"/>
      <c r="T805" s="7" t="n"/>
      <c r="U805" s="7" t="n"/>
      <c r="V805" s="7" t="n"/>
      <c r="W805" s="7" t="n"/>
      <c r="X805" s="7" t="n"/>
    </row>
    <row r="806" ht="21.75" customHeight="1" s="209">
      <c r="A806" s="28" t="n">
        <v>803</v>
      </c>
      <c r="B806" s="28" t="inlineStr">
        <is>
          <t>6066</t>
        </is>
      </c>
      <c r="C806" s="30" t="inlineStr">
        <is>
          <t>D6</t>
        </is>
      </c>
      <c r="D806" s="32" t="inlineStr">
        <is>
          <t>두 정수 쌍들의 합</t>
        </is>
      </c>
      <c r="E806" s="28" t="inlineStr">
        <is>
          <t>수학 / 정수론</t>
        </is>
      </c>
      <c r="F806" s="28" t="n"/>
      <c r="G806" s="28" t="n"/>
      <c r="H806" s="28" t="n"/>
      <c r="I806" s="28" t="n"/>
      <c r="J806" s="54">
        <f>IF(OR(ISNUMBER(SEARCH("보류",K806)),ISNUMBER(SEARCH("미룸",K806)),ISNUMBER(SEARCH("나중에",K806)),ISNUMBER(SEARCH("보류",L806)),ISNUMBER(SEARCH("미룸",L806)),ISNUMBER(SEARCH("나중에",L806))),"보류(나중에 풀기)",IF(AND(F806="",G806="",H806="",I806=""),"미완료",IF(I806&lt;&gt;"","복습3(마스터)",IF(H806&lt;&gt;"","복습2",IF(G806&lt;&gt;"","복습1",IF(ISNUMBER(SEARCH("제미나이",K806)),"복습대기(AI도움)",IF(ISNUMBER(SEARCH("간당간당",K806)),"복습대기(간당간당)",IF(OR(ISNUMBER(SEARCH("아이디어",K806)),ISNUMBER(SEARCH("시간초과",K806)),ISNUMBER(SEARCH("자료구조",K806)),ISNUMBER(SEARCH("경계값",K806)),ISNUMBER(SEARCH("다른 풀이",K806)),ISNUMBER(SEARCH("또풀기",K806))),"복습대기",IF(OR(ISNUMBER(SEARCH("복습필요없음",K806)),ISNUMBER(SEARCH("자력완벽",K806))),"품(복습불필요)",IF(F806&lt;&gt;"","품","미완료"))))))))))</f>
        <v/>
      </c>
      <c r="K806" s="32" t="inlineStr">
        <is>
          <t>-</t>
        </is>
      </c>
      <c r="L806" s="32" t="n"/>
      <c r="M806" s="28">
        <f>IF(OR(LEFT(J806,2)="보류", LEFT(J806,4)="복습대기", LEFT(J806,3)="복습1", LEFT(J806,3)="복습2"), MAX($M$3:M805)+1, "")</f>
        <v/>
      </c>
      <c r="N806" s="28" t="inlineStr">
        <is>
          <t>W20</t>
        </is>
      </c>
      <c r="O806" s="36" t="n">
        <v>46391</v>
      </c>
      <c r="P806" s="30">
        <f>IF(F806&lt;&gt;"","✅ 완료",IF(O806="","-",IF(TODAY()&gt;O806,"🚨 지연","⏳ 예정")))</f>
        <v/>
      </c>
      <c r="Q806" s="7" t="n"/>
      <c r="R806" s="7" t="n"/>
      <c r="S806" s="7" t="n"/>
      <c r="T806" s="7" t="n"/>
      <c r="U806" s="7" t="n"/>
      <c r="V806" s="7" t="n"/>
      <c r="W806" s="7" t="n"/>
      <c r="X806" s="7" t="n"/>
    </row>
    <row r="807" ht="21.75" customHeight="1" s="209">
      <c r="A807" s="28" t="n">
        <v>804</v>
      </c>
      <c r="B807" s="28" t="inlineStr">
        <is>
          <t>6110</t>
        </is>
      </c>
      <c r="C807" s="30" t="inlineStr">
        <is>
          <t>D6</t>
        </is>
      </c>
      <c r="D807" s="32" t="inlineStr">
        <is>
          <t>재국이의 파이프 네트워크</t>
        </is>
      </c>
      <c r="E807" s="28" t="inlineStr">
        <is>
          <t>동적계획법 (DP) / 그래프</t>
        </is>
      </c>
      <c r="F807" s="28" t="n"/>
      <c r="G807" s="28" t="n"/>
      <c r="H807" s="28" t="n"/>
      <c r="I807" s="28" t="n"/>
      <c r="J807" s="54">
        <f>IF(OR(ISNUMBER(SEARCH("보류",K807)),ISNUMBER(SEARCH("미룸",K807)),ISNUMBER(SEARCH("나중에",K807)),ISNUMBER(SEARCH("보류",L807)),ISNUMBER(SEARCH("미룸",L807)),ISNUMBER(SEARCH("나중에",L807))),"보류(나중에 풀기)",IF(AND(F807="",G807="",H807="",I807=""),"미완료",IF(I807&lt;&gt;"","복습3(마스터)",IF(H807&lt;&gt;"","복습2",IF(G807&lt;&gt;"","복습1",IF(ISNUMBER(SEARCH("제미나이",K807)),"복습대기(AI도움)",IF(ISNUMBER(SEARCH("간당간당",K807)),"복습대기(간당간당)",IF(OR(ISNUMBER(SEARCH("아이디어",K807)),ISNUMBER(SEARCH("시간초과",K807)),ISNUMBER(SEARCH("자료구조",K807)),ISNUMBER(SEARCH("경계값",K807)),ISNUMBER(SEARCH("다른 풀이",K807)),ISNUMBER(SEARCH("또풀기",K807))),"복습대기",IF(OR(ISNUMBER(SEARCH("복습필요없음",K807)),ISNUMBER(SEARCH("자력완벽",K807))),"품(복습불필요)",IF(F807&lt;&gt;"","품","미완료"))))))))))</f>
        <v/>
      </c>
      <c r="K807" s="32" t="inlineStr">
        <is>
          <t>-</t>
        </is>
      </c>
      <c r="L807" s="32" t="n"/>
      <c r="M807" s="28">
        <f>IF(OR(LEFT(J807,2)="보류", LEFT(J807,4)="복습대기", LEFT(J807,3)="복습1", LEFT(J807,3)="복습2"), MAX($M$3:M806)+1, "")</f>
        <v/>
      </c>
      <c r="N807" s="28" t="inlineStr">
        <is>
          <t>W20</t>
        </is>
      </c>
      <c r="O807" s="36" t="n">
        <v>46391</v>
      </c>
      <c r="P807" s="30">
        <f>IF(F807&lt;&gt;"","✅ 완료",IF(O807="","-",IF(TODAY()&gt;O807,"🚨 지연","⏳ 예정")))</f>
        <v/>
      </c>
      <c r="Q807" s="7" t="n"/>
      <c r="R807" s="7" t="n"/>
      <c r="S807" s="7" t="n"/>
      <c r="T807" s="7" t="n"/>
      <c r="U807" s="7" t="n"/>
      <c r="V807" s="7" t="n"/>
      <c r="W807" s="7" t="n"/>
      <c r="X807" s="7" t="n"/>
    </row>
    <row r="808" ht="21.75" customHeight="1" s="209">
      <c r="A808" s="28" t="n">
        <v>805</v>
      </c>
      <c r="B808" s="28" t="inlineStr">
        <is>
          <t>6192</t>
        </is>
      </c>
      <c r="C808" s="30" t="inlineStr">
        <is>
          <t>D6</t>
        </is>
      </c>
      <c r="D808" s="32" t="inlineStr">
        <is>
          <t>자영이와 두 물통</t>
        </is>
      </c>
      <c r="E808" s="28" t="inlineStr">
        <is>
          <t>동적계획법 (DP) / 그래프</t>
        </is>
      </c>
      <c r="F808" s="28" t="n"/>
      <c r="G808" s="28" t="n"/>
      <c r="H808" s="28" t="n"/>
      <c r="I808" s="28" t="n"/>
      <c r="J808" s="54">
        <f>IF(OR(ISNUMBER(SEARCH("보류",K808)),ISNUMBER(SEARCH("미룸",K808)),ISNUMBER(SEARCH("나중에",K808)),ISNUMBER(SEARCH("보류",L808)),ISNUMBER(SEARCH("미룸",L808)),ISNUMBER(SEARCH("나중에",L808))),"보류(나중에 풀기)",IF(AND(F808="",G808="",H808="",I808=""),"미완료",IF(I808&lt;&gt;"","복습3(마스터)",IF(H808&lt;&gt;"","복습2",IF(G808&lt;&gt;"","복습1",IF(ISNUMBER(SEARCH("제미나이",K808)),"복습대기(AI도움)",IF(ISNUMBER(SEARCH("간당간당",K808)),"복습대기(간당간당)",IF(OR(ISNUMBER(SEARCH("아이디어",K808)),ISNUMBER(SEARCH("시간초과",K808)),ISNUMBER(SEARCH("자료구조",K808)),ISNUMBER(SEARCH("경계값",K808)),ISNUMBER(SEARCH("다른 풀이",K808)),ISNUMBER(SEARCH("또풀기",K808))),"복습대기",IF(OR(ISNUMBER(SEARCH("복습필요없음",K808)),ISNUMBER(SEARCH("자력완벽",K808))),"품(복습불필요)",IF(F808&lt;&gt;"","품","미완료"))))))))))</f>
        <v/>
      </c>
      <c r="K808" s="32" t="inlineStr">
        <is>
          <t>-</t>
        </is>
      </c>
      <c r="L808" s="32" t="n"/>
      <c r="M808" s="28">
        <f>IF(OR(LEFT(J808,2)="보류", LEFT(J808,4)="복습대기", LEFT(J808,3)="복습1", LEFT(J808,3)="복습2"), MAX($M$3:M807)+1, "")</f>
        <v/>
      </c>
      <c r="N808" s="28" t="inlineStr">
        <is>
          <t>W20</t>
        </is>
      </c>
      <c r="O808" s="36" t="n">
        <v>46391</v>
      </c>
      <c r="P808" s="30">
        <f>IF(F808&lt;&gt;"","✅ 완료",IF(O808="","-",IF(TODAY()&gt;O808,"🚨 지연","⏳ 예정")))</f>
        <v/>
      </c>
      <c r="Q808" s="7" t="n"/>
      <c r="R808" s="7" t="n"/>
      <c r="S808" s="7" t="n"/>
      <c r="T808" s="7" t="n"/>
      <c r="U808" s="7" t="n"/>
      <c r="V808" s="7" t="n"/>
      <c r="W808" s="7" t="n"/>
      <c r="X808" s="7" t="n"/>
    </row>
    <row r="809" ht="21.75" customHeight="1" s="209">
      <c r="A809" s="28" t="n">
        <v>806</v>
      </c>
      <c r="B809" s="28" t="inlineStr">
        <is>
          <t>6193</t>
        </is>
      </c>
      <c r="C809" s="30" t="inlineStr">
        <is>
          <t>D6</t>
        </is>
      </c>
      <c r="D809" s="32" t="inlineStr">
        <is>
          <t>준기가 좋아하는 숫자 나열</t>
        </is>
      </c>
      <c r="E809" s="28" t="inlineStr">
        <is>
          <t>동적계획법 (DP) / 그래프</t>
        </is>
      </c>
      <c r="F809" s="28" t="n"/>
      <c r="G809" s="28" t="n"/>
      <c r="H809" s="28" t="n"/>
      <c r="I809" s="28" t="n"/>
      <c r="J809" s="54">
        <f>IF(OR(ISNUMBER(SEARCH("보류",K809)),ISNUMBER(SEARCH("미룸",K809)),ISNUMBER(SEARCH("나중에",K809)),ISNUMBER(SEARCH("보류",L809)),ISNUMBER(SEARCH("미룸",L809)),ISNUMBER(SEARCH("나중에",L809))),"보류(나중에 풀기)",IF(AND(F809="",G809="",H809="",I809=""),"미완료",IF(I809&lt;&gt;"","복습3(마스터)",IF(H809&lt;&gt;"","복습2",IF(G809&lt;&gt;"","복습1",IF(ISNUMBER(SEARCH("제미나이",K809)),"복습대기(AI도움)",IF(ISNUMBER(SEARCH("간당간당",K809)),"복습대기(간당간당)",IF(OR(ISNUMBER(SEARCH("아이디어",K809)),ISNUMBER(SEARCH("시간초과",K809)),ISNUMBER(SEARCH("자료구조",K809)),ISNUMBER(SEARCH("경계값",K809)),ISNUMBER(SEARCH("다른 풀이",K809)),ISNUMBER(SEARCH("또풀기",K809))),"복습대기",IF(OR(ISNUMBER(SEARCH("복습필요없음",K809)),ISNUMBER(SEARCH("자력완벽",K809))),"품(복습불필요)",IF(F809&lt;&gt;"","품","미완료"))))))))))</f>
        <v/>
      </c>
      <c r="K809" s="32" t="inlineStr">
        <is>
          <t>-</t>
        </is>
      </c>
      <c r="L809" s="32" t="n"/>
      <c r="M809" s="28">
        <f>IF(OR(LEFT(J809,2)="보류", LEFT(J809,4)="복습대기", LEFT(J809,3)="복습1", LEFT(J809,3)="복습2"), MAX($M$3:M808)+1, "")</f>
        <v/>
      </c>
      <c r="N809" s="28" t="inlineStr">
        <is>
          <t>W20</t>
        </is>
      </c>
      <c r="O809" s="36" t="n">
        <v>46391</v>
      </c>
      <c r="P809" s="30">
        <f>IF(F809&lt;&gt;"","✅ 완료",IF(O809="","-",IF(TODAY()&gt;O809,"🚨 지연","⏳ 예정")))</f>
        <v/>
      </c>
      <c r="Q809" s="7" t="n"/>
      <c r="R809" s="7" t="n"/>
      <c r="S809" s="7" t="n"/>
      <c r="T809" s="7" t="n"/>
      <c r="U809" s="7" t="n"/>
      <c r="V809" s="7" t="n"/>
      <c r="W809" s="7" t="n"/>
      <c r="X809" s="7" t="n"/>
    </row>
    <row r="810" ht="21.75" customHeight="1" s="209">
      <c r="A810" s="28" t="n">
        <v>807</v>
      </c>
      <c r="B810" s="28" t="inlineStr">
        <is>
          <t>6497</t>
        </is>
      </c>
      <c r="C810" s="30" t="inlineStr">
        <is>
          <t>D6</t>
        </is>
      </c>
      <c r="D810" s="32" t="inlineStr">
        <is>
          <t>구간에 속한 최댓값과 최솟값</t>
        </is>
      </c>
      <c r="E810" s="28" t="inlineStr">
        <is>
          <t>동적계획법 (DP) / 그래프</t>
        </is>
      </c>
      <c r="F810" s="28" t="n"/>
      <c r="G810" s="28" t="n"/>
      <c r="H810" s="28" t="n"/>
      <c r="I810" s="28" t="n"/>
      <c r="J810" s="54">
        <f>IF(OR(ISNUMBER(SEARCH("보류",K810)),ISNUMBER(SEARCH("미룸",K810)),ISNUMBER(SEARCH("나중에",K810)),ISNUMBER(SEARCH("보류",L810)),ISNUMBER(SEARCH("미룸",L810)),ISNUMBER(SEARCH("나중에",L810))),"보류(나중에 풀기)",IF(AND(F810="",G810="",H810="",I810=""),"미완료",IF(I810&lt;&gt;"","복습3(마스터)",IF(H810&lt;&gt;"","복습2",IF(G810&lt;&gt;"","복습1",IF(ISNUMBER(SEARCH("제미나이",K810)),"복습대기(AI도움)",IF(ISNUMBER(SEARCH("간당간당",K810)),"복습대기(간당간당)",IF(OR(ISNUMBER(SEARCH("아이디어",K810)),ISNUMBER(SEARCH("시간초과",K810)),ISNUMBER(SEARCH("자료구조",K810)),ISNUMBER(SEARCH("경계값",K810)),ISNUMBER(SEARCH("다른 풀이",K810)),ISNUMBER(SEARCH("또풀기",K810))),"복습대기",IF(OR(ISNUMBER(SEARCH("복습필요없음",K810)),ISNUMBER(SEARCH("자력완벽",K810))),"품(복습불필요)",IF(F810&lt;&gt;"","품","미완료"))))))))))</f>
        <v/>
      </c>
      <c r="K810" s="32" t="inlineStr">
        <is>
          <t>-</t>
        </is>
      </c>
      <c r="L810" s="32" t="n"/>
      <c r="M810" s="28">
        <f>IF(OR(LEFT(J810,2)="보류", LEFT(J810,4)="복습대기", LEFT(J810,3)="복습1", LEFT(J810,3)="복습2"), MAX($M$3:M809)+1, "")</f>
        <v/>
      </c>
      <c r="N810" s="28" t="inlineStr">
        <is>
          <t>W20</t>
        </is>
      </c>
      <c r="O810" s="36" t="n">
        <v>46392</v>
      </c>
      <c r="P810" s="30">
        <f>IF(F810&lt;&gt;"","✅ 완료",IF(O810="","-",IF(TODAY()&gt;O810,"🚨 지연","⏳ 예정")))</f>
        <v/>
      </c>
      <c r="Q810" s="7" t="n"/>
      <c r="R810" s="7" t="n"/>
      <c r="S810" s="7" t="n"/>
      <c r="T810" s="7" t="n"/>
      <c r="U810" s="7" t="n"/>
      <c r="V810" s="7" t="n"/>
      <c r="W810" s="7" t="n"/>
      <c r="X810" s="7" t="n"/>
    </row>
    <row r="811" ht="21.75" customHeight="1" s="209">
      <c r="A811" s="28" t="n">
        <v>808</v>
      </c>
      <c r="B811" s="28" t="inlineStr">
        <is>
          <t>6693</t>
        </is>
      </c>
      <c r="C811" s="30" t="inlineStr">
        <is>
          <t>D6</t>
        </is>
      </c>
      <c r="D811" s="32" t="inlineStr">
        <is>
          <t>수환이의 궁금증</t>
        </is>
      </c>
      <c r="E811" s="28" t="inlineStr">
        <is>
          <t>동적계획법 (DP) / 그래프</t>
        </is>
      </c>
      <c r="F811" s="28" t="n"/>
      <c r="G811" s="28" t="n"/>
      <c r="H811" s="28" t="n"/>
      <c r="I811" s="28" t="n"/>
      <c r="J811" s="54">
        <f>IF(OR(ISNUMBER(SEARCH("보류",K811)),ISNUMBER(SEARCH("미룸",K811)),ISNUMBER(SEARCH("나중에",K811)),ISNUMBER(SEARCH("보류",L811)),ISNUMBER(SEARCH("미룸",L811)),ISNUMBER(SEARCH("나중에",L811))),"보류(나중에 풀기)",IF(AND(F811="",G811="",H811="",I811=""),"미완료",IF(I811&lt;&gt;"","복습3(마스터)",IF(H811&lt;&gt;"","복습2",IF(G811&lt;&gt;"","복습1",IF(ISNUMBER(SEARCH("제미나이",K811)),"복습대기(AI도움)",IF(ISNUMBER(SEARCH("간당간당",K811)),"복습대기(간당간당)",IF(OR(ISNUMBER(SEARCH("아이디어",K811)),ISNUMBER(SEARCH("시간초과",K811)),ISNUMBER(SEARCH("자료구조",K811)),ISNUMBER(SEARCH("경계값",K811)),ISNUMBER(SEARCH("다른 풀이",K811)),ISNUMBER(SEARCH("또풀기",K811))),"복습대기",IF(OR(ISNUMBER(SEARCH("복습필요없음",K811)),ISNUMBER(SEARCH("자력완벽",K811))),"품(복습불필요)",IF(F811&lt;&gt;"","품","미완료"))))))))))</f>
        <v/>
      </c>
      <c r="K811" s="32" t="inlineStr">
        <is>
          <t>-</t>
        </is>
      </c>
      <c r="L811" s="32" t="n"/>
      <c r="M811" s="28">
        <f>IF(OR(LEFT(J811,2)="보류", LEFT(J811,4)="복습대기", LEFT(J811,3)="복습1", LEFT(J811,3)="복습2"), MAX($M$3:M810)+1, "")</f>
        <v/>
      </c>
      <c r="N811" s="28" t="inlineStr">
        <is>
          <t>W20</t>
        </is>
      </c>
      <c r="O811" s="36" t="n">
        <v>46392</v>
      </c>
      <c r="P811" s="30">
        <f>IF(F811&lt;&gt;"","✅ 완료",IF(O811="","-",IF(TODAY()&gt;O811,"🚨 지연","⏳ 예정")))</f>
        <v/>
      </c>
      <c r="Q811" s="7" t="n"/>
      <c r="R811" s="7" t="n"/>
      <c r="S811" s="7" t="n"/>
      <c r="T811" s="7" t="n"/>
      <c r="U811" s="7" t="n"/>
      <c r="V811" s="7" t="n"/>
      <c r="W811" s="7" t="n"/>
      <c r="X811" s="7" t="n"/>
    </row>
    <row r="812" ht="21.75" customHeight="1" s="209">
      <c r="A812" s="28" t="n">
        <v>809</v>
      </c>
      <c r="B812" s="28" t="inlineStr">
        <is>
          <t>6698</t>
        </is>
      </c>
      <c r="C812" s="30" t="inlineStr">
        <is>
          <t>D6</t>
        </is>
      </c>
      <c r="D812" s="32" t="inlineStr">
        <is>
          <t>호텔리어 민석이의 궁금증</t>
        </is>
      </c>
      <c r="E812" s="28" t="inlineStr">
        <is>
          <t>동적계획법 (DP) / 그래프</t>
        </is>
      </c>
      <c r="F812" s="28" t="n"/>
      <c r="G812" s="28" t="n"/>
      <c r="H812" s="28" t="n"/>
      <c r="I812" s="28" t="n"/>
      <c r="J812" s="54">
        <f>IF(OR(ISNUMBER(SEARCH("보류",K812)),ISNUMBER(SEARCH("미룸",K812)),ISNUMBER(SEARCH("나중에",K812)),ISNUMBER(SEARCH("보류",L812)),ISNUMBER(SEARCH("미룸",L812)),ISNUMBER(SEARCH("나중에",L812))),"보류(나중에 풀기)",IF(AND(F812="",G812="",H812="",I812=""),"미완료",IF(I812&lt;&gt;"","복습3(마스터)",IF(H812&lt;&gt;"","복습2",IF(G812&lt;&gt;"","복습1",IF(ISNUMBER(SEARCH("제미나이",K812)),"복습대기(AI도움)",IF(ISNUMBER(SEARCH("간당간당",K812)),"복습대기(간당간당)",IF(OR(ISNUMBER(SEARCH("아이디어",K812)),ISNUMBER(SEARCH("시간초과",K812)),ISNUMBER(SEARCH("자료구조",K812)),ISNUMBER(SEARCH("경계값",K812)),ISNUMBER(SEARCH("다른 풀이",K812)),ISNUMBER(SEARCH("또풀기",K812))),"복습대기",IF(OR(ISNUMBER(SEARCH("복습필요없음",K812)),ISNUMBER(SEARCH("자력완벽",K812))),"품(복습불필요)",IF(F812&lt;&gt;"","품","미완료"))))))))))</f>
        <v/>
      </c>
      <c r="K812" s="32" t="inlineStr">
        <is>
          <t>-</t>
        </is>
      </c>
      <c r="L812" s="32" t="n"/>
      <c r="M812" s="28">
        <f>IF(OR(LEFT(J812,2)="보류", LEFT(J812,4)="복습대기", LEFT(J812,3)="복습1", LEFT(J812,3)="복습2"), MAX($M$3:M811)+1, "")</f>
        <v/>
      </c>
      <c r="N812" s="28" t="inlineStr">
        <is>
          <t>W20</t>
        </is>
      </c>
      <c r="O812" s="36" t="n">
        <v>46392</v>
      </c>
      <c r="P812" s="30">
        <f>IF(F812&lt;&gt;"","✅ 완료",IF(O812="","-",IF(TODAY()&gt;O812,"🚨 지연","⏳ 예정")))</f>
        <v/>
      </c>
      <c r="Q812" s="7" t="n"/>
      <c r="R812" s="7" t="n"/>
      <c r="S812" s="7" t="n"/>
      <c r="T812" s="7" t="n"/>
      <c r="U812" s="7" t="n"/>
      <c r="V812" s="7" t="n"/>
      <c r="W812" s="7" t="n"/>
      <c r="X812" s="7" t="n"/>
    </row>
    <row r="813" ht="21.75" customHeight="1" s="209">
      <c r="A813" s="28" t="n">
        <v>810</v>
      </c>
      <c r="B813" s="28" t="inlineStr">
        <is>
          <t>6720</t>
        </is>
      </c>
      <c r="C813" s="30" t="inlineStr">
        <is>
          <t>D6</t>
        </is>
      </c>
      <c r="D813" s="32" t="inlineStr">
        <is>
          <t>성수의 에너지 전송 프로세스</t>
        </is>
      </c>
      <c r="E813" s="28" t="inlineStr">
        <is>
          <t>동적계획법 (DP) / 그래프</t>
        </is>
      </c>
      <c r="F813" s="28" t="n"/>
      <c r="G813" s="28" t="n"/>
      <c r="H813" s="28" t="n"/>
      <c r="I813" s="28" t="n"/>
      <c r="J813" s="54">
        <f>IF(OR(ISNUMBER(SEARCH("보류",K813)),ISNUMBER(SEARCH("미룸",K813)),ISNUMBER(SEARCH("나중에",K813)),ISNUMBER(SEARCH("보류",L813)),ISNUMBER(SEARCH("미룸",L813)),ISNUMBER(SEARCH("나중에",L813))),"보류(나중에 풀기)",IF(AND(F813="",G813="",H813="",I813=""),"미완료",IF(I813&lt;&gt;"","복습3(마스터)",IF(H813&lt;&gt;"","복습2",IF(G813&lt;&gt;"","복습1",IF(ISNUMBER(SEARCH("제미나이",K813)),"복습대기(AI도움)",IF(ISNUMBER(SEARCH("간당간당",K813)),"복습대기(간당간당)",IF(OR(ISNUMBER(SEARCH("아이디어",K813)),ISNUMBER(SEARCH("시간초과",K813)),ISNUMBER(SEARCH("자료구조",K813)),ISNUMBER(SEARCH("경계값",K813)),ISNUMBER(SEARCH("다른 풀이",K813)),ISNUMBER(SEARCH("또풀기",K813))),"복습대기",IF(OR(ISNUMBER(SEARCH("복습필요없음",K813)),ISNUMBER(SEARCH("자력완벽",K813))),"품(복습불필요)",IF(F813&lt;&gt;"","품","미완료"))))))))))</f>
        <v/>
      </c>
      <c r="K813" s="32" t="inlineStr">
        <is>
          <t>-</t>
        </is>
      </c>
      <c r="L813" s="32" t="n"/>
      <c r="M813" s="28">
        <f>IF(OR(LEFT(J813,2)="보류", LEFT(J813,4)="복습대기", LEFT(J813,3)="복습1", LEFT(J813,3)="복습2"), MAX($M$3:M812)+1, "")</f>
        <v/>
      </c>
      <c r="N813" s="28" t="inlineStr">
        <is>
          <t>W20</t>
        </is>
      </c>
      <c r="O813" s="36" t="n">
        <v>46392</v>
      </c>
      <c r="P813" s="30">
        <f>IF(F813&lt;&gt;"","✅ 완료",IF(O813="","-",IF(TODAY()&gt;O813,"🚨 지연","⏳ 예정")))</f>
        <v/>
      </c>
      <c r="Q813" s="7" t="n"/>
      <c r="R813" s="7" t="n"/>
      <c r="S813" s="7" t="n"/>
      <c r="T813" s="7" t="n"/>
      <c r="U813" s="7" t="n"/>
      <c r="V813" s="7" t="n"/>
      <c r="W813" s="7" t="n"/>
      <c r="X813" s="7" t="n"/>
    </row>
    <row r="814" ht="21.75" customHeight="1" s="209">
      <c r="A814" s="28" t="n">
        <v>811</v>
      </c>
      <c r="B814" s="28" t="inlineStr">
        <is>
          <t>6722</t>
        </is>
      </c>
      <c r="C814" s="30" t="inlineStr">
        <is>
          <t>D6</t>
        </is>
      </c>
      <c r="D814" s="32" t="inlineStr">
        <is>
          <t>세현이의 로봇</t>
        </is>
      </c>
      <c r="E814" s="28" t="inlineStr">
        <is>
          <t>시뮬레이션 / 구현</t>
        </is>
      </c>
      <c r="F814" s="28" t="n"/>
      <c r="G814" s="28" t="n"/>
      <c r="H814" s="28" t="n"/>
      <c r="I814" s="28" t="n"/>
      <c r="J814" s="54">
        <f>IF(OR(ISNUMBER(SEARCH("보류",K814)),ISNUMBER(SEARCH("미룸",K814)),ISNUMBER(SEARCH("나중에",K814)),ISNUMBER(SEARCH("보류",L814)),ISNUMBER(SEARCH("미룸",L814)),ISNUMBER(SEARCH("나중에",L814))),"보류(나중에 풀기)",IF(AND(F814="",G814="",H814="",I814=""),"미완료",IF(I814&lt;&gt;"","복습3(마스터)",IF(H814&lt;&gt;"","복습2",IF(G814&lt;&gt;"","복습1",IF(ISNUMBER(SEARCH("제미나이",K814)),"복습대기(AI도움)",IF(ISNUMBER(SEARCH("간당간당",K814)),"복습대기(간당간당)",IF(OR(ISNUMBER(SEARCH("아이디어",K814)),ISNUMBER(SEARCH("시간초과",K814)),ISNUMBER(SEARCH("자료구조",K814)),ISNUMBER(SEARCH("경계값",K814)),ISNUMBER(SEARCH("다른 풀이",K814)),ISNUMBER(SEARCH("또풀기",K814))),"복습대기",IF(OR(ISNUMBER(SEARCH("복습필요없음",K814)),ISNUMBER(SEARCH("자력완벽",K814))),"품(복습불필요)",IF(F814&lt;&gt;"","품","미완료"))))))))))</f>
        <v/>
      </c>
      <c r="K814" s="32" t="inlineStr">
        <is>
          <t>-</t>
        </is>
      </c>
      <c r="L814" s="32" t="n"/>
      <c r="M814" s="28">
        <f>IF(OR(LEFT(J814,2)="보류", LEFT(J814,4)="복습대기", LEFT(J814,3)="복습1", LEFT(J814,3)="복습2"), MAX($M$3:M813)+1, "")</f>
        <v/>
      </c>
      <c r="N814" s="28" t="inlineStr">
        <is>
          <t>W20</t>
        </is>
      </c>
      <c r="O814" s="36" t="n">
        <v>46392</v>
      </c>
      <c r="P814" s="30">
        <f>IF(F814&lt;&gt;"","✅ 완료",IF(O814="","-",IF(TODAY()&gt;O814,"🚨 지연","⏳ 예정")))</f>
        <v/>
      </c>
      <c r="Q814" s="7" t="n"/>
      <c r="R814" s="7" t="n"/>
      <c r="S814" s="7" t="n"/>
      <c r="T814" s="7" t="n"/>
      <c r="U814" s="7" t="n"/>
      <c r="V814" s="7" t="n"/>
      <c r="W814" s="7" t="n"/>
      <c r="X814" s="7" t="n"/>
    </row>
    <row r="815" ht="21.75" customHeight="1" s="209">
      <c r="A815" s="28" t="n">
        <v>812</v>
      </c>
      <c r="B815" s="28" t="inlineStr">
        <is>
          <t>6783</t>
        </is>
      </c>
      <c r="C815" s="30" t="inlineStr">
        <is>
          <t>D6</t>
        </is>
      </c>
      <c r="D815" s="32" t="inlineStr">
        <is>
          <t>희원이의 페페 산책시키기</t>
        </is>
      </c>
      <c r="E815" s="28" t="inlineStr">
        <is>
          <t>동적계획법 (DP) / 그래프</t>
        </is>
      </c>
      <c r="F815" s="28" t="n"/>
      <c r="G815" s="28" t="n"/>
      <c r="H815" s="28" t="n"/>
      <c r="I815" s="28" t="n"/>
      <c r="J815" s="54">
        <f>IF(OR(ISNUMBER(SEARCH("보류",K815)),ISNUMBER(SEARCH("미룸",K815)),ISNUMBER(SEARCH("나중에",K815)),ISNUMBER(SEARCH("보류",L815)),ISNUMBER(SEARCH("미룸",L815)),ISNUMBER(SEARCH("나중에",L815))),"보류(나중에 풀기)",IF(AND(F815="",G815="",H815="",I815=""),"미완료",IF(I815&lt;&gt;"","복습3(마스터)",IF(H815&lt;&gt;"","복습2",IF(G815&lt;&gt;"","복습1",IF(ISNUMBER(SEARCH("제미나이",K815)),"복습대기(AI도움)",IF(ISNUMBER(SEARCH("간당간당",K815)),"복습대기(간당간당)",IF(OR(ISNUMBER(SEARCH("아이디어",K815)),ISNUMBER(SEARCH("시간초과",K815)),ISNUMBER(SEARCH("자료구조",K815)),ISNUMBER(SEARCH("경계값",K815)),ISNUMBER(SEARCH("다른 풀이",K815)),ISNUMBER(SEARCH("또풀기",K815))),"복습대기",IF(OR(ISNUMBER(SEARCH("복습필요없음",K815)),ISNUMBER(SEARCH("자력완벽",K815))),"품(복습불필요)",IF(F815&lt;&gt;"","품","미완료"))))))))))</f>
        <v/>
      </c>
      <c r="K815" s="32" t="inlineStr">
        <is>
          <t>-</t>
        </is>
      </c>
      <c r="L815" s="32" t="n"/>
      <c r="M815" s="28">
        <f>IF(OR(LEFT(J815,2)="보류", LEFT(J815,4)="복습대기", LEFT(J815,3)="복습1", LEFT(J815,3)="복습2"), MAX($M$3:M814)+1, "")</f>
        <v/>
      </c>
      <c r="N815" s="28" t="inlineStr">
        <is>
          <t>W20</t>
        </is>
      </c>
      <c r="O815" s="36" t="n">
        <v>46392</v>
      </c>
      <c r="P815" s="30">
        <f>IF(F815&lt;&gt;"","✅ 완료",IF(O815="","-",IF(TODAY()&gt;O815,"🚨 지연","⏳ 예정")))</f>
        <v/>
      </c>
      <c r="Q815" s="7" t="n"/>
      <c r="R815" s="7" t="n"/>
      <c r="S815" s="7" t="n"/>
      <c r="T815" s="7" t="n"/>
      <c r="U815" s="7" t="n"/>
      <c r="V815" s="7" t="n"/>
      <c r="W815" s="7" t="n"/>
      <c r="X815" s="7" t="n"/>
    </row>
    <row r="816" ht="21.75" customHeight="1" s="209">
      <c r="A816" s="28" t="n">
        <v>813</v>
      </c>
      <c r="B816" s="28" t="inlineStr">
        <is>
          <t>6784</t>
        </is>
      </c>
      <c r="C816" s="30" t="inlineStr">
        <is>
          <t>D6</t>
        </is>
      </c>
      <c r="D816" s="32" t="inlineStr">
        <is>
          <t>대준이의 미션 수행</t>
        </is>
      </c>
      <c r="E816" s="28" t="inlineStr">
        <is>
          <t>동적계획법 (DP) / 그래프</t>
        </is>
      </c>
      <c r="F816" s="28" t="n"/>
      <c r="G816" s="28" t="n"/>
      <c r="H816" s="28" t="n"/>
      <c r="I816" s="28" t="n"/>
      <c r="J816" s="54">
        <f>IF(OR(ISNUMBER(SEARCH("보류",K816)),ISNUMBER(SEARCH("미룸",K816)),ISNUMBER(SEARCH("나중에",K816)),ISNUMBER(SEARCH("보류",L816)),ISNUMBER(SEARCH("미룸",L816)),ISNUMBER(SEARCH("나중에",L816))),"보류(나중에 풀기)",IF(AND(F816="",G816="",H816="",I816=""),"미완료",IF(I816&lt;&gt;"","복습3(마스터)",IF(H816&lt;&gt;"","복습2",IF(G816&lt;&gt;"","복습1",IF(ISNUMBER(SEARCH("제미나이",K816)),"복습대기(AI도움)",IF(ISNUMBER(SEARCH("간당간당",K816)),"복습대기(간당간당)",IF(OR(ISNUMBER(SEARCH("아이디어",K816)),ISNUMBER(SEARCH("시간초과",K816)),ISNUMBER(SEARCH("자료구조",K816)),ISNUMBER(SEARCH("경계값",K816)),ISNUMBER(SEARCH("다른 풀이",K816)),ISNUMBER(SEARCH("또풀기",K816))),"복습대기",IF(OR(ISNUMBER(SEARCH("복습필요없음",K816)),ISNUMBER(SEARCH("자력완벽",K816))),"품(복습불필요)",IF(F816&lt;&gt;"","품","미완료"))))))))))</f>
        <v/>
      </c>
      <c r="K816" s="32" t="inlineStr">
        <is>
          <t>-</t>
        </is>
      </c>
      <c r="L816" s="32" t="n"/>
      <c r="M816" s="28">
        <f>IF(OR(LEFT(J816,2)="보류", LEFT(J816,4)="복습대기", LEFT(J816,3)="복습1", LEFT(J816,3)="복습2"), MAX($M$3:M815)+1, "")</f>
        <v/>
      </c>
      <c r="N816" s="28" t="inlineStr">
        <is>
          <t>W20</t>
        </is>
      </c>
      <c r="O816" s="36" t="n">
        <v>46392</v>
      </c>
      <c r="P816" s="30">
        <f>IF(F816&lt;&gt;"","✅ 완료",IF(O816="","-",IF(TODAY()&gt;O816,"🚨 지연","⏳ 예정")))</f>
        <v/>
      </c>
      <c r="Q816" s="7" t="n"/>
      <c r="R816" s="7" t="n"/>
      <c r="S816" s="7" t="n"/>
      <c r="T816" s="7" t="n"/>
      <c r="U816" s="7" t="n"/>
      <c r="V816" s="7" t="n"/>
      <c r="W816" s="7" t="n"/>
      <c r="X816" s="7" t="n"/>
    </row>
    <row r="817" ht="21.75" customHeight="1" s="209">
      <c r="A817" s="28" t="n">
        <v>814</v>
      </c>
      <c r="B817" s="28" t="inlineStr">
        <is>
          <t>6810</t>
        </is>
      </c>
      <c r="C817" s="30" t="inlineStr">
        <is>
          <t>D6</t>
        </is>
      </c>
      <c r="D817" s="32" t="inlineStr">
        <is>
          <t>천사의 계단</t>
        </is>
      </c>
      <c r="E817" s="28" t="inlineStr">
        <is>
          <t>동적계획법 (DP) / 그래프</t>
        </is>
      </c>
      <c r="F817" s="28" t="n"/>
      <c r="G817" s="28" t="n"/>
      <c r="H817" s="28" t="n"/>
      <c r="I817" s="28" t="n"/>
      <c r="J817" s="54">
        <f>IF(OR(ISNUMBER(SEARCH("보류",K817)),ISNUMBER(SEARCH("미룸",K817)),ISNUMBER(SEARCH("나중에",K817)),ISNUMBER(SEARCH("보류",L817)),ISNUMBER(SEARCH("미룸",L817)),ISNUMBER(SEARCH("나중에",L817))),"보류(나중에 풀기)",IF(AND(F817="",G817="",H817="",I817=""),"미완료",IF(I817&lt;&gt;"","복습3(마스터)",IF(H817&lt;&gt;"","복습2",IF(G817&lt;&gt;"","복습1",IF(ISNUMBER(SEARCH("제미나이",K817)),"복습대기(AI도움)",IF(ISNUMBER(SEARCH("간당간당",K817)),"복습대기(간당간당)",IF(OR(ISNUMBER(SEARCH("아이디어",K817)),ISNUMBER(SEARCH("시간초과",K817)),ISNUMBER(SEARCH("자료구조",K817)),ISNUMBER(SEARCH("경계값",K817)),ISNUMBER(SEARCH("다른 풀이",K817)),ISNUMBER(SEARCH("또풀기",K817))),"복습대기",IF(OR(ISNUMBER(SEARCH("복습필요없음",K817)),ISNUMBER(SEARCH("자력완벽",K817))),"품(복습불필요)",IF(F817&lt;&gt;"","품","미완료"))))))))))</f>
        <v/>
      </c>
      <c r="K817" s="32" t="inlineStr">
        <is>
          <t>-</t>
        </is>
      </c>
      <c r="L817" s="32" t="n"/>
      <c r="M817" s="28">
        <f>IF(OR(LEFT(J817,2)="보류", LEFT(J817,4)="복습대기", LEFT(J817,3)="복습1", LEFT(J817,3)="복습2"), MAX($M$3:M816)+1, "")</f>
        <v/>
      </c>
      <c r="N817" s="28" t="inlineStr">
        <is>
          <t>W20</t>
        </is>
      </c>
      <c r="O817" s="36" t="n">
        <v>46393</v>
      </c>
      <c r="P817" s="30">
        <f>IF(F817&lt;&gt;"","✅ 완료",IF(O817="","-",IF(TODAY()&gt;O817,"🚨 지연","⏳ 예정")))</f>
        <v/>
      </c>
      <c r="Q817" s="7" t="n"/>
      <c r="R817" s="7" t="n"/>
      <c r="S817" s="7" t="n"/>
      <c r="T817" s="7" t="n"/>
      <c r="U817" s="7" t="n"/>
      <c r="V817" s="7" t="n"/>
      <c r="W817" s="7" t="n"/>
      <c r="X817" s="7" t="n"/>
    </row>
    <row r="818" ht="21.75" customHeight="1" s="209">
      <c r="A818" s="28" t="n">
        <v>815</v>
      </c>
      <c r="B818" s="28" t="inlineStr">
        <is>
          <t>6856</t>
        </is>
      </c>
      <c r="C818" s="30" t="inlineStr">
        <is>
          <t>D6</t>
        </is>
      </c>
      <c r="D818" s="32" t="inlineStr">
        <is>
          <t>범준이의 폭탄물 분리</t>
        </is>
      </c>
      <c r="E818" s="28" t="inlineStr">
        <is>
          <t>동적계획법 (DP) / 그래프</t>
        </is>
      </c>
      <c r="F818" s="28" t="n"/>
      <c r="G818" s="28" t="n"/>
      <c r="H818" s="28" t="n"/>
      <c r="I818" s="28" t="n"/>
      <c r="J818" s="54">
        <f>IF(OR(ISNUMBER(SEARCH("보류",K818)),ISNUMBER(SEARCH("미룸",K818)),ISNUMBER(SEARCH("나중에",K818)),ISNUMBER(SEARCH("보류",L818)),ISNUMBER(SEARCH("미룸",L818)),ISNUMBER(SEARCH("나중에",L818))),"보류(나중에 풀기)",IF(AND(F818="",G818="",H818="",I818=""),"미완료",IF(I818&lt;&gt;"","복습3(마스터)",IF(H818&lt;&gt;"","복습2",IF(G818&lt;&gt;"","복습1",IF(ISNUMBER(SEARCH("제미나이",K818)),"복습대기(AI도움)",IF(ISNUMBER(SEARCH("간당간당",K818)),"복습대기(간당간당)",IF(OR(ISNUMBER(SEARCH("아이디어",K818)),ISNUMBER(SEARCH("시간초과",K818)),ISNUMBER(SEARCH("자료구조",K818)),ISNUMBER(SEARCH("경계값",K818)),ISNUMBER(SEARCH("다른 풀이",K818)),ISNUMBER(SEARCH("또풀기",K818))),"복습대기",IF(OR(ISNUMBER(SEARCH("복습필요없음",K818)),ISNUMBER(SEARCH("자력완벽",K818))),"품(복습불필요)",IF(F818&lt;&gt;"","품","미완료"))))))))))</f>
        <v/>
      </c>
      <c r="K818" s="32" t="inlineStr">
        <is>
          <t>-</t>
        </is>
      </c>
      <c r="L818" s="32" t="n"/>
      <c r="M818" s="28">
        <f>IF(OR(LEFT(J818,2)="보류", LEFT(J818,4)="복습대기", LEFT(J818,3)="복습1", LEFT(J818,3)="복습2"), MAX($M$3:M817)+1, "")</f>
        <v/>
      </c>
      <c r="N818" s="28" t="inlineStr">
        <is>
          <t>W20</t>
        </is>
      </c>
      <c r="O818" s="36" t="n">
        <v>46393</v>
      </c>
      <c r="P818" s="30">
        <f>IF(F818&lt;&gt;"","✅ 완료",IF(O818="","-",IF(TODAY()&gt;O818,"🚨 지연","⏳ 예정")))</f>
        <v/>
      </c>
      <c r="Q818" s="7" t="n"/>
      <c r="R818" s="7" t="n"/>
      <c r="S818" s="7" t="n"/>
      <c r="T818" s="7" t="n"/>
      <c r="U818" s="7" t="n"/>
      <c r="V818" s="7" t="n"/>
      <c r="W818" s="7" t="n"/>
      <c r="X818" s="7" t="n"/>
    </row>
    <row r="819" ht="21.75" customHeight="1" s="209">
      <c r="A819" s="28" t="n">
        <v>816</v>
      </c>
      <c r="B819" s="28" t="inlineStr">
        <is>
          <t>6859</t>
        </is>
      </c>
      <c r="C819" s="30" t="inlineStr">
        <is>
          <t>D6</t>
        </is>
      </c>
      <c r="D819" s="32" t="inlineStr">
        <is>
          <t>격자판 위의 웜홀</t>
        </is>
      </c>
      <c r="E819" s="28" t="inlineStr">
        <is>
          <t>시뮬레이션 / 구현</t>
        </is>
      </c>
      <c r="F819" s="28" t="n"/>
      <c r="G819" s="28" t="n"/>
      <c r="H819" s="28" t="n"/>
      <c r="I819" s="28" t="n"/>
      <c r="J819" s="54">
        <f>IF(OR(ISNUMBER(SEARCH("보류",K819)),ISNUMBER(SEARCH("미룸",K819)),ISNUMBER(SEARCH("나중에",K819)),ISNUMBER(SEARCH("보류",L819)),ISNUMBER(SEARCH("미룸",L819)),ISNUMBER(SEARCH("나중에",L819))),"보류(나중에 풀기)",IF(AND(F819="",G819="",H819="",I819=""),"미완료",IF(I819&lt;&gt;"","복습3(마스터)",IF(H819&lt;&gt;"","복습2",IF(G819&lt;&gt;"","복습1",IF(ISNUMBER(SEARCH("제미나이",K819)),"복습대기(AI도움)",IF(ISNUMBER(SEARCH("간당간당",K819)),"복습대기(간당간당)",IF(OR(ISNUMBER(SEARCH("아이디어",K819)),ISNUMBER(SEARCH("시간초과",K819)),ISNUMBER(SEARCH("자료구조",K819)),ISNUMBER(SEARCH("경계값",K819)),ISNUMBER(SEARCH("다른 풀이",K819)),ISNUMBER(SEARCH("또풀기",K819))),"복습대기",IF(OR(ISNUMBER(SEARCH("복습필요없음",K819)),ISNUMBER(SEARCH("자력완벽",K819))),"품(복습불필요)",IF(F819&lt;&gt;"","품","미완료"))))))))))</f>
        <v/>
      </c>
      <c r="K819" s="32" t="inlineStr">
        <is>
          <t>-</t>
        </is>
      </c>
      <c r="L819" s="32" t="n"/>
      <c r="M819" s="28">
        <f>IF(OR(LEFT(J819,2)="보류", LEFT(J819,4)="복습대기", LEFT(J819,3)="복습1", LEFT(J819,3)="복습2"), MAX($M$3:M818)+1, "")</f>
        <v/>
      </c>
      <c r="N819" s="28" t="inlineStr">
        <is>
          <t>W20</t>
        </is>
      </c>
      <c r="O819" s="36" t="n">
        <v>46393</v>
      </c>
      <c r="P819" s="30">
        <f>IF(F819&lt;&gt;"","✅ 완료",IF(O819="","-",IF(TODAY()&gt;O819,"🚨 지연","⏳ 예정")))</f>
        <v/>
      </c>
      <c r="Q819" s="7" t="n"/>
      <c r="R819" s="7" t="n"/>
      <c r="S819" s="7" t="n"/>
      <c r="T819" s="7" t="n"/>
      <c r="U819" s="7" t="n"/>
      <c r="V819" s="7" t="n"/>
      <c r="W819" s="7" t="n"/>
      <c r="X819" s="7" t="n"/>
    </row>
    <row r="820" ht="21.75" customHeight="1" s="209">
      <c r="A820" s="28" t="n">
        <v>817</v>
      </c>
      <c r="B820" s="28" t="inlineStr">
        <is>
          <t>6901</t>
        </is>
      </c>
      <c r="C820" s="30" t="inlineStr">
        <is>
          <t>D6</t>
        </is>
      </c>
      <c r="D820" s="32" t="inlineStr">
        <is>
          <t>보검이의 막대 놀이</t>
        </is>
      </c>
      <c r="E820" s="28" t="inlineStr">
        <is>
          <t>동적계획법 (DP) / 그래프</t>
        </is>
      </c>
      <c r="F820" s="28" t="n"/>
      <c r="G820" s="28" t="n"/>
      <c r="H820" s="28" t="n"/>
      <c r="I820" s="28" t="n"/>
      <c r="J820" s="54">
        <f>IF(OR(ISNUMBER(SEARCH("보류",K820)),ISNUMBER(SEARCH("미룸",K820)),ISNUMBER(SEARCH("나중에",K820)),ISNUMBER(SEARCH("보류",L820)),ISNUMBER(SEARCH("미룸",L820)),ISNUMBER(SEARCH("나중에",L820))),"보류(나중에 풀기)",IF(AND(F820="",G820="",H820="",I820=""),"미완료",IF(I820&lt;&gt;"","복습3(마스터)",IF(H820&lt;&gt;"","복습2",IF(G820&lt;&gt;"","복습1",IF(ISNUMBER(SEARCH("제미나이",K820)),"복습대기(AI도움)",IF(ISNUMBER(SEARCH("간당간당",K820)),"복습대기(간당간당)",IF(OR(ISNUMBER(SEARCH("아이디어",K820)),ISNUMBER(SEARCH("시간초과",K820)),ISNUMBER(SEARCH("자료구조",K820)),ISNUMBER(SEARCH("경계값",K820)),ISNUMBER(SEARCH("다른 풀이",K820)),ISNUMBER(SEARCH("또풀기",K820))),"복습대기",IF(OR(ISNUMBER(SEARCH("복습필요없음",K820)),ISNUMBER(SEARCH("자력완벽",K820))),"품(복습불필요)",IF(F820&lt;&gt;"","품","미완료"))))))))))</f>
        <v/>
      </c>
      <c r="K820" s="32" t="inlineStr">
        <is>
          <t>-</t>
        </is>
      </c>
      <c r="L820" s="32" t="n"/>
      <c r="M820" s="28">
        <f>IF(OR(LEFT(J820,2)="보류", LEFT(J820,4)="복습대기", LEFT(J820,3)="복습1", LEFT(J820,3)="복습2"), MAX($M$3:M819)+1, "")</f>
        <v/>
      </c>
      <c r="N820" s="28" t="inlineStr">
        <is>
          <t>W20</t>
        </is>
      </c>
      <c r="O820" s="36" t="n">
        <v>46393</v>
      </c>
      <c r="P820" s="30">
        <f>IF(F820&lt;&gt;"","✅ 완료",IF(O820="","-",IF(TODAY()&gt;O820,"🚨 지연","⏳ 예정")))</f>
        <v/>
      </c>
      <c r="Q820" s="7" t="n"/>
      <c r="R820" s="7" t="n"/>
      <c r="S820" s="7" t="n"/>
      <c r="T820" s="7" t="n"/>
      <c r="U820" s="7" t="n"/>
      <c r="V820" s="7" t="n"/>
      <c r="W820" s="7" t="n"/>
      <c r="X820" s="7" t="n"/>
    </row>
    <row r="821" ht="21.75" customHeight="1" s="209">
      <c r="A821" s="28" t="n">
        <v>818</v>
      </c>
      <c r="B821" s="28" t="inlineStr">
        <is>
          <t>6909</t>
        </is>
      </c>
      <c r="C821" s="30" t="inlineStr">
        <is>
          <t>D6</t>
        </is>
      </c>
      <c r="D821" s="32" t="inlineStr">
        <is>
          <t>도희의 고양이 밥주기 미션</t>
        </is>
      </c>
      <c r="E821" s="28" t="inlineStr">
        <is>
          <t>동적계획법 (DP) / 그래프</t>
        </is>
      </c>
      <c r="F821" s="28" t="n"/>
      <c r="G821" s="28" t="n"/>
      <c r="H821" s="28" t="n"/>
      <c r="I821" s="28" t="n"/>
      <c r="J821" s="54">
        <f>IF(OR(ISNUMBER(SEARCH("보류",K821)),ISNUMBER(SEARCH("미룸",K821)),ISNUMBER(SEARCH("나중에",K821)),ISNUMBER(SEARCH("보류",L821)),ISNUMBER(SEARCH("미룸",L821)),ISNUMBER(SEARCH("나중에",L821))),"보류(나중에 풀기)",IF(AND(F821="",G821="",H821="",I821=""),"미완료",IF(I821&lt;&gt;"","복습3(마스터)",IF(H821&lt;&gt;"","복습2",IF(G821&lt;&gt;"","복습1",IF(ISNUMBER(SEARCH("제미나이",K821)),"복습대기(AI도움)",IF(ISNUMBER(SEARCH("간당간당",K821)),"복습대기(간당간당)",IF(OR(ISNUMBER(SEARCH("아이디어",K821)),ISNUMBER(SEARCH("시간초과",K821)),ISNUMBER(SEARCH("자료구조",K821)),ISNUMBER(SEARCH("경계값",K821)),ISNUMBER(SEARCH("다른 풀이",K821)),ISNUMBER(SEARCH("또풀기",K821))),"복습대기",IF(OR(ISNUMBER(SEARCH("복습필요없음",K821)),ISNUMBER(SEARCH("자력완벽",K821))),"품(복습불필요)",IF(F821&lt;&gt;"","품","미완료"))))))))))</f>
        <v/>
      </c>
      <c r="K821" s="32" t="inlineStr">
        <is>
          <t>-</t>
        </is>
      </c>
      <c r="L821" s="32" t="n"/>
      <c r="M821" s="28">
        <f>IF(OR(LEFT(J821,2)="보류", LEFT(J821,4)="복습대기", LEFT(J821,3)="복습1", LEFT(J821,3)="복습2"), MAX($M$3:M820)+1, "")</f>
        <v/>
      </c>
      <c r="N821" s="28" t="inlineStr">
        <is>
          <t>W20</t>
        </is>
      </c>
      <c r="O821" s="36" t="n">
        <v>46393</v>
      </c>
      <c r="P821" s="30">
        <f>IF(F821&lt;&gt;"","✅ 완료",IF(O821="","-",IF(TODAY()&gt;O821,"🚨 지연","⏳ 예정")))</f>
        <v/>
      </c>
      <c r="Q821" s="7" t="n"/>
      <c r="R821" s="7" t="n"/>
      <c r="S821" s="7" t="n"/>
      <c r="T821" s="7" t="n"/>
      <c r="U821" s="7" t="n"/>
      <c r="V821" s="7" t="n"/>
      <c r="W821" s="7" t="n"/>
      <c r="X821" s="7" t="n"/>
    </row>
    <row r="822" ht="21.75" customHeight="1" s="209">
      <c r="A822" s="28" t="n">
        <v>819</v>
      </c>
      <c r="B822" s="28" t="inlineStr">
        <is>
          <t>6960</t>
        </is>
      </c>
      <c r="C822" s="30" t="inlineStr">
        <is>
          <t>D6</t>
        </is>
      </c>
      <c r="D822" s="32" t="inlineStr">
        <is>
          <t>자영이의 퍼스트 솔브</t>
        </is>
      </c>
      <c r="E822" s="28" t="inlineStr">
        <is>
          <t>동적계획법 (DP) / 그래프</t>
        </is>
      </c>
      <c r="F822" s="28" t="n"/>
      <c r="G822" s="28" t="n"/>
      <c r="H822" s="28" t="n"/>
      <c r="I822" s="28" t="n"/>
      <c r="J822" s="54">
        <f>IF(OR(ISNUMBER(SEARCH("보류",K822)),ISNUMBER(SEARCH("미룸",K822)),ISNUMBER(SEARCH("나중에",K822)),ISNUMBER(SEARCH("보류",L822)),ISNUMBER(SEARCH("미룸",L822)),ISNUMBER(SEARCH("나중에",L822))),"보류(나중에 풀기)",IF(AND(F822="",G822="",H822="",I822=""),"미완료",IF(I822&lt;&gt;"","복습3(마스터)",IF(H822&lt;&gt;"","복습2",IF(G822&lt;&gt;"","복습1",IF(ISNUMBER(SEARCH("제미나이",K822)),"복습대기(AI도움)",IF(ISNUMBER(SEARCH("간당간당",K822)),"복습대기(간당간당)",IF(OR(ISNUMBER(SEARCH("아이디어",K822)),ISNUMBER(SEARCH("시간초과",K822)),ISNUMBER(SEARCH("자료구조",K822)),ISNUMBER(SEARCH("경계값",K822)),ISNUMBER(SEARCH("다른 풀이",K822)),ISNUMBER(SEARCH("또풀기",K822))),"복습대기",IF(OR(ISNUMBER(SEARCH("복습필요없음",K822)),ISNUMBER(SEARCH("자력완벽",K822))),"품(복습불필요)",IF(F822&lt;&gt;"","품","미완료"))))))))))</f>
        <v/>
      </c>
      <c r="K822" s="32" t="inlineStr">
        <is>
          <t>-</t>
        </is>
      </c>
      <c r="L822" s="32" t="n"/>
      <c r="M822" s="28">
        <f>IF(OR(LEFT(J822,2)="보류", LEFT(J822,4)="복습대기", LEFT(J822,3)="복습1", LEFT(J822,3)="복습2"), MAX($M$3:M821)+1, "")</f>
        <v/>
      </c>
      <c r="N822" s="28" t="inlineStr">
        <is>
          <t>W20</t>
        </is>
      </c>
      <c r="O822" s="36" t="n">
        <v>46393</v>
      </c>
      <c r="P822" s="30">
        <f>IF(F822&lt;&gt;"","✅ 완료",IF(O822="","-",IF(TODAY()&gt;O822,"🚨 지연","⏳ 예정")))</f>
        <v/>
      </c>
      <c r="Q822" s="7" t="n"/>
      <c r="R822" s="7" t="n"/>
      <c r="S822" s="7" t="n"/>
      <c r="T822" s="7" t="n"/>
      <c r="U822" s="7" t="n"/>
      <c r="V822" s="7" t="n"/>
      <c r="W822" s="7" t="n"/>
      <c r="X822" s="7" t="n"/>
    </row>
    <row r="823" ht="21.75" customHeight="1" s="209">
      <c r="A823" s="28" t="n">
        <v>820</v>
      </c>
      <c r="B823" s="28" t="inlineStr">
        <is>
          <t>7091</t>
        </is>
      </c>
      <c r="C823" s="30" t="inlineStr">
        <is>
          <t>D6</t>
        </is>
      </c>
      <c r="D823" s="32" t="inlineStr">
        <is>
          <t>은기의 아주 큰 그림</t>
        </is>
      </c>
      <c r="E823" s="28" t="inlineStr">
        <is>
          <t>동적계획법 (DP) / 그래프</t>
        </is>
      </c>
      <c r="F823" s="28" t="n"/>
      <c r="G823" s="28" t="n"/>
      <c r="H823" s="28" t="n"/>
      <c r="I823" s="28" t="n"/>
      <c r="J823" s="54">
        <f>IF(OR(ISNUMBER(SEARCH("보류",K823)),ISNUMBER(SEARCH("미룸",K823)),ISNUMBER(SEARCH("나중에",K823)),ISNUMBER(SEARCH("보류",L823)),ISNUMBER(SEARCH("미룸",L823)),ISNUMBER(SEARCH("나중에",L823))),"보류(나중에 풀기)",IF(AND(F823="",G823="",H823="",I823=""),"미완료",IF(I823&lt;&gt;"","복습3(마스터)",IF(H823&lt;&gt;"","복습2",IF(G823&lt;&gt;"","복습1",IF(ISNUMBER(SEARCH("제미나이",K823)),"복습대기(AI도움)",IF(ISNUMBER(SEARCH("간당간당",K823)),"복습대기(간당간당)",IF(OR(ISNUMBER(SEARCH("아이디어",K823)),ISNUMBER(SEARCH("시간초과",K823)),ISNUMBER(SEARCH("자료구조",K823)),ISNUMBER(SEARCH("경계값",K823)),ISNUMBER(SEARCH("다른 풀이",K823)),ISNUMBER(SEARCH("또풀기",K823))),"복습대기",IF(OR(ISNUMBER(SEARCH("복습필요없음",K823)),ISNUMBER(SEARCH("자력완벽",K823))),"품(복습불필요)",IF(F823&lt;&gt;"","품","미완료"))))))))))</f>
        <v/>
      </c>
      <c r="K823" s="32" t="inlineStr">
        <is>
          <t>-</t>
        </is>
      </c>
      <c r="L823" s="32" t="n"/>
      <c r="M823" s="28">
        <f>IF(OR(LEFT(J823,2)="보류", LEFT(J823,4)="복습대기", LEFT(J823,3)="복습1", LEFT(J823,3)="복습2"), MAX($M$3:M822)+1, "")</f>
        <v/>
      </c>
      <c r="N823" s="28" t="inlineStr">
        <is>
          <t>W20</t>
        </is>
      </c>
      <c r="O823" s="36" t="n">
        <v>46393</v>
      </c>
      <c r="P823" s="30">
        <f>IF(F823&lt;&gt;"","✅ 완료",IF(O823="","-",IF(TODAY()&gt;O823,"🚨 지연","⏳ 예정")))</f>
        <v/>
      </c>
      <c r="Q823" s="7" t="n"/>
      <c r="R823" s="7" t="n"/>
      <c r="S823" s="7" t="n"/>
      <c r="T823" s="7" t="n"/>
      <c r="U823" s="7" t="n"/>
      <c r="V823" s="7" t="n"/>
      <c r="W823" s="7" t="n"/>
      <c r="X823" s="7" t="n"/>
    </row>
    <row r="824" ht="21.75" customHeight="1" s="209">
      <c r="A824" s="28" t="n">
        <v>821</v>
      </c>
      <c r="B824" s="28" t="inlineStr">
        <is>
          <t>7092</t>
        </is>
      </c>
      <c r="C824" s="30" t="inlineStr">
        <is>
          <t>D6</t>
        </is>
      </c>
      <c r="D824" s="32" t="inlineStr">
        <is>
          <t>모두가 행복한 시험</t>
        </is>
      </c>
      <c r="E824" s="28" t="inlineStr">
        <is>
          <t>동적계획법 (DP) / 그래프</t>
        </is>
      </c>
      <c r="F824" s="28" t="n"/>
      <c r="G824" s="28" t="n"/>
      <c r="H824" s="28" t="n"/>
      <c r="I824" s="28" t="n"/>
      <c r="J824" s="54">
        <f>IF(OR(ISNUMBER(SEARCH("보류",K824)),ISNUMBER(SEARCH("미룸",K824)),ISNUMBER(SEARCH("나중에",K824)),ISNUMBER(SEARCH("보류",L824)),ISNUMBER(SEARCH("미룸",L824)),ISNUMBER(SEARCH("나중에",L824))),"보류(나중에 풀기)",IF(AND(F824="",G824="",H824="",I824=""),"미완료",IF(I824&lt;&gt;"","복습3(마스터)",IF(H824&lt;&gt;"","복습2",IF(G824&lt;&gt;"","복습1",IF(ISNUMBER(SEARCH("제미나이",K824)),"복습대기(AI도움)",IF(ISNUMBER(SEARCH("간당간당",K824)),"복습대기(간당간당)",IF(OR(ISNUMBER(SEARCH("아이디어",K824)),ISNUMBER(SEARCH("시간초과",K824)),ISNUMBER(SEARCH("자료구조",K824)),ISNUMBER(SEARCH("경계값",K824)),ISNUMBER(SEARCH("다른 풀이",K824)),ISNUMBER(SEARCH("또풀기",K824))),"복습대기",IF(OR(ISNUMBER(SEARCH("복습필요없음",K824)),ISNUMBER(SEARCH("자력완벽",K824))),"품(복습불필요)",IF(F824&lt;&gt;"","품","미완료"))))))))))</f>
        <v/>
      </c>
      <c r="K824" s="32" t="inlineStr">
        <is>
          <t>-</t>
        </is>
      </c>
      <c r="L824" s="32" t="n"/>
      <c r="M824" s="28">
        <f>IF(OR(LEFT(J824,2)="보류", LEFT(J824,4)="복습대기", LEFT(J824,3)="복습1", LEFT(J824,3)="복습2"), MAX($M$3:M823)+1, "")</f>
        <v/>
      </c>
      <c r="N824" s="28" t="inlineStr">
        <is>
          <t>W20</t>
        </is>
      </c>
      <c r="O824" s="36" t="n">
        <v>46393</v>
      </c>
      <c r="P824" s="30">
        <f>IF(F824&lt;&gt;"","✅ 완료",IF(O824="","-",IF(TODAY()&gt;O824,"🚨 지연","⏳ 예정")))</f>
        <v/>
      </c>
      <c r="Q824" s="7" t="n"/>
      <c r="R824" s="7" t="n"/>
      <c r="S824" s="7" t="n"/>
      <c r="T824" s="7" t="n"/>
      <c r="U824" s="7" t="n"/>
      <c r="V824" s="7" t="n"/>
      <c r="W824" s="7" t="n"/>
      <c r="X824" s="7" t="n"/>
    </row>
    <row r="825" ht="21.75" customHeight="1" s="209">
      <c r="A825" s="28" t="n">
        <v>822</v>
      </c>
      <c r="B825" s="28" t="inlineStr">
        <is>
          <t>7104</t>
        </is>
      </c>
      <c r="C825" s="30" t="inlineStr">
        <is>
          <t>D6</t>
        </is>
      </c>
      <c r="D825" s="32" t="inlineStr">
        <is>
          <t>준홍마을의 사이 나쁜 개미들</t>
        </is>
      </c>
      <c r="E825" s="28" t="inlineStr">
        <is>
          <t>동적계획법 (DP) / 그래프</t>
        </is>
      </c>
      <c r="F825" s="28" t="n"/>
      <c r="G825" s="28" t="n"/>
      <c r="H825" s="28" t="n"/>
      <c r="I825" s="28" t="n"/>
      <c r="J825" s="54">
        <f>IF(OR(ISNUMBER(SEARCH("보류",K825)),ISNUMBER(SEARCH("미룸",K825)),ISNUMBER(SEARCH("나중에",K825)),ISNUMBER(SEARCH("보류",L825)),ISNUMBER(SEARCH("미룸",L825)),ISNUMBER(SEARCH("나중에",L825))),"보류(나중에 풀기)",IF(AND(F825="",G825="",H825="",I825=""),"미완료",IF(I825&lt;&gt;"","복습3(마스터)",IF(H825&lt;&gt;"","복습2",IF(G825&lt;&gt;"","복습1",IF(ISNUMBER(SEARCH("제미나이",K825)),"복습대기(AI도움)",IF(ISNUMBER(SEARCH("간당간당",K825)),"복습대기(간당간당)",IF(OR(ISNUMBER(SEARCH("아이디어",K825)),ISNUMBER(SEARCH("시간초과",K825)),ISNUMBER(SEARCH("자료구조",K825)),ISNUMBER(SEARCH("경계값",K825)),ISNUMBER(SEARCH("다른 풀이",K825)),ISNUMBER(SEARCH("또풀기",K825))),"복습대기",IF(OR(ISNUMBER(SEARCH("복습필요없음",K825)),ISNUMBER(SEARCH("자력완벽",K825))),"품(복습불필요)",IF(F825&lt;&gt;"","품","미완료"))))))))))</f>
        <v/>
      </c>
      <c r="K825" s="32" t="inlineStr">
        <is>
          <t>-</t>
        </is>
      </c>
      <c r="L825" s="32" t="n"/>
      <c r="M825" s="28">
        <f>IF(OR(LEFT(J825,2)="보류", LEFT(J825,4)="복습대기", LEFT(J825,3)="복습1", LEFT(J825,3)="복습2"), MAX($M$3:M824)+1, "")</f>
        <v/>
      </c>
      <c r="N825" s="28" t="inlineStr">
        <is>
          <t>W20</t>
        </is>
      </c>
      <c r="O825" s="36" t="n">
        <v>46394</v>
      </c>
      <c r="P825" s="30">
        <f>IF(F825&lt;&gt;"","✅ 완료",IF(O825="","-",IF(TODAY()&gt;O825,"🚨 지연","⏳ 예정")))</f>
        <v/>
      </c>
      <c r="Q825" s="7" t="n"/>
      <c r="R825" s="7" t="n"/>
      <c r="S825" s="7" t="n"/>
      <c r="T825" s="7" t="n"/>
      <c r="U825" s="7" t="n"/>
      <c r="V825" s="7" t="n"/>
      <c r="W825" s="7" t="n"/>
      <c r="X825" s="7" t="n"/>
    </row>
    <row r="826" ht="21.75" customHeight="1" s="209">
      <c r="A826" s="28" t="n">
        <v>823</v>
      </c>
      <c r="B826" s="28" t="inlineStr">
        <is>
          <t>7197</t>
        </is>
      </c>
      <c r="C826" s="30" t="inlineStr">
        <is>
          <t>D6</t>
        </is>
      </c>
      <c r="D826" s="32" t="inlineStr">
        <is>
          <t>성수의 거울과 빛</t>
        </is>
      </c>
      <c r="E826" s="28" t="inlineStr">
        <is>
          <t>동적계획법 (DP) / 그래프</t>
        </is>
      </c>
      <c r="F826" s="28" t="n"/>
      <c r="G826" s="28" t="n"/>
      <c r="H826" s="28" t="n"/>
      <c r="I826" s="28" t="n"/>
      <c r="J826" s="54">
        <f>IF(OR(ISNUMBER(SEARCH("보류",K826)),ISNUMBER(SEARCH("미룸",K826)),ISNUMBER(SEARCH("나중에",K826)),ISNUMBER(SEARCH("보류",L826)),ISNUMBER(SEARCH("미룸",L826)),ISNUMBER(SEARCH("나중에",L826))),"보류(나중에 풀기)",IF(AND(F826="",G826="",H826="",I826=""),"미완료",IF(I826&lt;&gt;"","복습3(마스터)",IF(H826&lt;&gt;"","복습2",IF(G826&lt;&gt;"","복습1",IF(ISNUMBER(SEARCH("제미나이",K826)),"복습대기(AI도움)",IF(ISNUMBER(SEARCH("간당간당",K826)),"복습대기(간당간당)",IF(OR(ISNUMBER(SEARCH("아이디어",K826)),ISNUMBER(SEARCH("시간초과",K826)),ISNUMBER(SEARCH("자료구조",K826)),ISNUMBER(SEARCH("경계값",K826)),ISNUMBER(SEARCH("다른 풀이",K826)),ISNUMBER(SEARCH("또풀기",K826))),"복습대기",IF(OR(ISNUMBER(SEARCH("복습필요없음",K826)),ISNUMBER(SEARCH("자력완벽",K826))),"품(복습불필요)",IF(F826&lt;&gt;"","품","미완료"))))))))))</f>
        <v/>
      </c>
      <c r="K826" s="32" t="inlineStr">
        <is>
          <t>-</t>
        </is>
      </c>
      <c r="L826" s="32" t="n"/>
      <c r="M826" s="28">
        <f>IF(OR(LEFT(J826,2)="보류", LEFT(J826,4)="복습대기", LEFT(J826,3)="복습1", LEFT(J826,3)="복습2"), MAX($M$3:M825)+1, "")</f>
        <v/>
      </c>
      <c r="N826" s="28" t="inlineStr">
        <is>
          <t>W20</t>
        </is>
      </c>
      <c r="O826" s="36" t="n">
        <v>46394</v>
      </c>
      <c r="P826" s="30">
        <f>IF(F826&lt;&gt;"","✅ 완료",IF(O826="","-",IF(TODAY()&gt;O826,"🚨 지연","⏳ 예정")))</f>
        <v/>
      </c>
      <c r="Q826" s="7" t="n"/>
      <c r="R826" s="7" t="n"/>
      <c r="S826" s="7" t="n"/>
      <c r="T826" s="7" t="n"/>
      <c r="U826" s="7" t="n"/>
      <c r="V826" s="7" t="n"/>
      <c r="W826" s="7" t="n"/>
      <c r="X826" s="7" t="n"/>
    </row>
    <row r="827" ht="21.75" customHeight="1" s="209">
      <c r="A827" s="28" t="n">
        <v>824</v>
      </c>
      <c r="B827" s="28" t="inlineStr">
        <is>
          <t>7349</t>
        </is>
      </c>
      <c r="C827" s="30" t="inlineStr">
        <is>
          <t>D6</t>
        </is>
      </c>
      <c r="D827" s="32" t="inlineStr">
        <is>
          <t>회의 스케쥴링 쿼리</t>
        </is>
      </c>
      <c r="E827" s="28" t="inlineStr">
        <is>
          <t>동적계획법 (DP) / 그래프</t>
        </is>
      </c>
      <c r="F827" s="28" t="n"/>
      <c r="G827" s="28" t="n"/>
      <c r="H827" s="28" t="n"/>
      <c r="I827" s="28" t="n"/>
      <c r="J827" s="54">
        <f>IF(OR(ISNUMBER(SEARCH("보류",K827)),ISNUMBER(SEARCH("미룸",K827)),ISNUMBER(SEARCH("나중에",K827)),ISNUMBER(SEARCH("보류",L827)),ISNUMBER(SEARCH("미룸",L827)),ISNUMBER(SEARCH("나중에",L827))),"보류(나중에 풀기)",IF(AND(F827="",G827="",H827="",I827=""),"미완료",IF(I827&lt;&gt;"","복습3(마스터)",IF(H827&lt;&gt;"","복습2",IF(G827&lt;&gt;"","복습1",IF(ISNUMBER(SEARCH("제미나이",K827)),"복습대기(AI도움)",IF(ISNUMBER(SEARCH("간당간당",K827)),"복습대기(간당간당)",IF(OR(ISNUMBER(SEARCH("아이디어",K827)),ISNUMBER(SEARCH("시간초과",K827)),ISNUMBER(SEARCH("자료구조",K827)),ISNUMBER(SEARCH("경계값",K827)),ISNUMBER(SEARCH("다른 풀이",K827)),ISNUMBER(SEARCH("또풀기",K827))),"복습대기",IF(OR(ISNUMBER(SEARCH("복습필요없음",K827)),ISNUMBER(SEARCH("자력완벽",K827))),"품(복습불필요)",IF(F827&lt;&gt;"","품","미완료"))))))))))</f>
        <v/>
      </c>
      <c r="K827" s="32" t="inlineStr">
        <is>
          <t>-</t>
        </is>
      </c>
      <c r="L827" s="32" t="n"/>
      <c r="M827" s="28">
        <f>IF(OR(LEFT(J827,2)="보류", LEFT(J827,4)="복습대기", LEFT(J827,3)="복습1", LEFT(J827,3)="복습2"), MAX($M$3:M826)+1, "")</f>
        <v/>
      </c>
      <c r="N827" s="28" t="inlineStr">
        <is>
          <t>W20</t>
        </is>
      </c>
      <c r="O827" s="36" t="n">
        <v>46394</v>
      </c>
      <c r="P827" s="30">
        <f>IF(F827&lt;&gt;"","✅ 완료",IF(O827="","-",IF(TODAY()&gt;O827,"🚨 지연","⏳ 예정")))</f>
        <v/>
      </c>
      <c r="Q827" s="7" t="n"/>
      <c r="R827" s="7" t="n"/>
      <c r="S827" s="7" t="n"/>
      <c r="T827" s="7" t="n"/>
      <c r="U827" s="7" t="n"/>
      <c r="V827" s="7" t="n"/>
      <c r="W827" s="7" t="n"/>
      <c r="X827" s="7" t="n"/>
    </row>
    <row r="828" ht="21.75" customHeight="1" s="209">
      <c r="A828" s="28" t="n">
        <v>825</v>
      </c>
      <c r="B828" s="28" t="inlineStr">
        <is>
          <t>7403</t>
        </is>
      </c>
      <c r="C828" s="30" t="inlineStr">
        <is>
          <t>D6</t>
        </is>
      </c>
      <c r="D828" s="32" t="inlineStr">
        <is>
          <t>문섭이의 기차여행</t>
        </is>
      </c>
      <c r="E828" s="28" t="inlineStr">
        <is>
          <t>동적계획법 (DP) / 그래프</t>
        </is>
      </c>
      <c r="F828" s="28" t="n"/>
      <c r="G828" s="28" t="n"/>
      <c r="H828" s="28" t="n"/>
      <c r="I828" s="28" t="n"/>
      <c r="J828" s="54">
        <f>IF(OR(ISNUMBER(SEARCH("보류",K828)),ISNUMBER(SEARCH("미룸",K828)),ISNUMBER(SEARCH("나중에",K828)),ISNUMBER(SEARCH("보류",L828)),ISNUMBER(SEARCH("미룸",L828)),ISNUMBER(SEARCH("나중에",L828))),"보류(나중에 풀기)",IF(AND(F828="",G828="",H828="",I828=""),"미완료",IF(I828&lt;&gt;"","복습3(마스터)",IF(H828&lt;&gt;"","복습2",IF(G828&lt;&gt;"","복습1",IF(ISNUMBER(SEARCH("제미나이",K828)),"복습대기(AI도움)",IF(ISNUMBER(SEARCH("간당간당",K828)),"복습대기(간당간당)",IF(OR(ISNUMBER(SEARCH("아이디어",K828)),ISNUMBER(SEARCH("시간초과",K828)),ISNUMBER(SEARCH("자료구조",K828)),ISNUMBER(SEARCH("경계값",K828)),ISNUMBER(SEARCH("다른 풀이",K828)),ISNUMBER(SEARCH("또풀기",K828))),"복습대기",IF(OR(ISNUMBER(SEARCH("복습필요없음",K828)),ISNUMBER(SEARCH("자력완벽",K828))),"품(복습불필요)",IF(F828&lt;&gt;"","품","미완료"))))))))))</f>
        <v/>
      </c>
      <c r="K828" s="32" t="inlineStr">
        <is>
          <t>-</t>
        </is>
      </c>
      <c r="L828" s="32" t="n"/>
      <c r="M828" s="28">
        <f>IF(OR(LEFT(J828,2)="보류", LEFT(J828,4)="복습대기", LEFT(J828,3)="복습1", LEFT(J828,3)="복습2"), MAX($M$3:M827)+1, "")</f>
        <v/>
      </c>
      <c r="N828" s="28" t="inlineStr">
        <is>
          <t>W20</t>
        </is>
      </c>
      <c r="O828" s="36" t="n">
        <v>46394</v>
      </c>
      <c r="P828" s="30">
        <f>IF(F828&lt;&gt;"","✅ 완료",IF(O828="","-",IF(TODAY()&gt;O828,"🚨 지연","⏳ 예정")))</f>
        <v/>
      </c>
      <c r="Q828" s="7" t="n"/>
      <c r="R828" s="7" t="n"/>
      <c r="S828" s="7" t="n"/>
      <c r="T828" s="7" t="n"/>
      <c r="U828" s="7" t="n"/>
      <c r="V828" s="7" t="n"/>
      <c r="W828" s="7" t="n"/>
      <c r="X828" s="7" t="n"/>
    </row>
    <row r="829" ht="21.75" customHeight="1" s="209">
      <c r="A829" s="28" t="n">
        <v>826</v>
      </c>
      <c r="B829" s="28" t="inlineStr">
        <is>
          <t>7467</t>
        </is>
      </c>
      <c r="C829" s="30" t="inlineStr">
        <is>
          <t>D6</t>
        </is>
      </c>
      <c r="D829" s="32" t="inlineStr">
        <is>
          <t>대환이의 데이트 코스</t>
        </is>
      </c>
      <c r="E829" s="28" t="inlineStr">
        <is>
          <t>동적계획법 (DP) / 그래프</t>
        </is>
      </c>
      <c r="F829" s="28" t="n"/>
      <c r="G829" s="28" t="n"/>
      <c r="H829" s="28" t="n"/>
      <c r="I829" s="28" t="n"/>
      <c r="J829" s="54">
        <f>IF(OR(ISNUMBER(SEARCH("보류",K829)),ISNUMBER(SEARCH("미룸",K829)),ISNUMBER(SEARCH("나중에",K829)),ISNUMBER(SEARCH("보류",L829)),ISNUMBER(SEARCH("미룸",L829)),ISNUMBER(SEARCH("나중에",L829))),"보류(나중에 풀기)",IF(AND(F829="",G829="",H829="",I829=""),"미완료",IF(I829&lt;&gt;"","복습3(마스터)",IF(H829&lt;&gt;"","복습2",IF(G829&lt;&gt;"","복습1",IF(ISNUMBER(SEARCH("제미나이",K829)),"복습대기(AI도움)",IF(ISNUMBER(SEARCH("간당간당",K829)),"복습대기(간당간당)",IF(OR(ISNUMBER(SEARCH("아이디어",K829)),ISNUMBER(SEARCH("시간초과",K829)),ISNUMBER(SEARCH("자료구조",K829)),ISNUMBER(SEARCH("경계값",K829)),ISNUMBER(SEARCH("다른 풀이",K829)),ISNUMBER(SEARCH("또풀기",K829))),"복습대기",IF(OR(ISNUMBER(SEARCH("복습필요없음",K829)),ISNUMBER(SEARCH("자력완벽",K829))),"품(복습불필요)",IF(F829&lt;&gt;"","품","미완료"))))))))))</f>
        <v/>
      </c>
      <c r="K829" s="32" t="inlineStr">
        <is>
          <t>-</t>
        </is>
      </c>
      <c r="L829" s="32" t="n"/>
      <c r="M829" s="28">
        <f>IF(OR(LEFT(J829,2)="보류", LEFT(J829,4)="복습대기", LEFT(J829,3)="복습1", LEFT(J829,3)="복습2"), MAX($M$3:M828)+1, "")</f>
        <v/>
      </c>
      <c r="N829" s="28" t="inlineStr">
        <is>
          <t>W20</t>
        </is>
      </c>
      <c r="O829" s="36" t="n">
        <v>46394</v>
      </c>
      <c r="P829" s="30">
        <f>IF(F829&lt;&gt;"","✅ 완료",IF(O829="","-",IF(TODAY()&gt;O829,"🚨 지연","⏳ 예정")))</f>
        <v/>
      </c>
      <c r="Q829" s="7" t="n"/>
      <c r="R829" s="7" t="n"/>
      <c r="S829" s="7" t="n"/>
      <c r="T829" s="7" t="n"/>
      <c r="U829" s="7" t="n"/>
      <c r="V829" s="7" t="n"/>
      <c r="W829" s="7" t="n"/>
      <c r="X829" s="7" t="n"/>
    </row>
    <row r="830" ht="21.75" customHeight="1" s="209">
      <c r="A830" s="28" t="n">
        <v>827</v>
      </c>
      <c r="B830" s="28" t="inlineStr">
        <is>
          <t>7468</t>
        </is>
      </c>
      <c r="C830" s="30" t="inlineStr">
        <is>
          <t>D6</t>
        </is>
      </c>
      <c r="D830" s="32" t="inlineStr">
        <is>
          <t>현무의 동물원 탈출</t>
        </is>
      </c>
      <c r="E830" s="28" t="inlineStr">
        <is>
          <t>BFS (너비우선탐색)</t>
        </is>
      </c>
      <c r="F830" s="28" t="n"/>
      <c r="G830" s="28" t="n"/>
      <c r="H830" s="28" t="n"/>
      <c r="I830" s="28" t="n"/>
      <c r="J830" s="54">
        <f>IF(OR(ISNUMBER(SEARCH("보류",K830)),ISNUMBER(SEARCH("미룸",K830)),ISNUMBER(SEARCH("나중에",K830)),ISNUMBER(SEARCH("보류",L830)),ISNUMBER(SEARCH("미룸",L830)),ISNUMBER(SEARCH("나중에",L830))),"보류(나중에 풀기)",IF(AND(F830="",G830="",H830="",I830=""),"미완료",IF(I830&lt;&gt;"","복습3(마스터)",IF(H830&lt;&gt;"","복습2",IF(G830&lt;&gt;"","복습1",IF(ISNUMBER(SEARCH("제미나이",K830)),"복습대기(AI도움)",IF(ISNUMBER(SEARCH("간당간당",K830)),"복습대기(간당간당)",IF(OR(ISNUMBER(SEARCH("아이디어",K830)),ISNUMBER(SEARCH("시간초과",K830)),ISNUMBER(SEARCH("자료구조",K830)),ISNUMBER(SEARCH("경계값",K830)),ISNUMBER(SEARCH("다른 풀이",K830)),ISNUMBER(SEARCH("또풀기",K830))),"복습대기",IF(OR(ISNUMBER(SEARCH("복습필요없음",K830)),ISNUMBER(SEARCH("자력완벽",K830))),"품(복습불필요)",IF(F830&lt;&gt;"","품","미완료"))))))))))</f>
        <v/>
      </c>
      <c r="K830" s="32" t="inlineStr">
        <is>
          <t>-</t>
        </is>
      </c>
      <c r="L830" s="32" t="n"/>
      <c r="M830" s="28">
        <f>IF(OR(LEFT(J830,2)="보류", LEFT(J830,4)="복습대기", LEFT(J830,3)="복습1", LEFT(J830,3)="복습2"), MAX($M$3:M829)+1, "")</f>
        <v/>
      </c>
      <c r="N830" s="28" t="inlineStr">
        <is>
          <t>W20</t>
        </is>
      </c>
      <c r="O830" s="36" t="n">
        <v>46394</v>
      </c>
      <c r="P830" s="30">
        <f>IF(F830&lt;&gt;"","✅ 완료",IF(O830="","-",IF(TODAY()&gt;O830,"🚨 지연","⏳ 예정")))</f>
        <v/>
      </c>
      <c r="Q830" s="7" t="n"/>
      <c r="R830" s="7" t="n"/>
      <c r="S830" s="7" t="n"/>
      <c r="T830" s="7" t="n"/>
      <c r="U830" s="7" t="n"/>
      <c r="V830" s="7" t="n"/>
      <c r="W830" s="7" t="n"/>
      <c r="X830" s="7" t="n"/>
    </row>
    <row r="831" ht="21.75" customHeight="1" s="209">
      <c r="A831" s="28" t="n">
        <v>828</v>
      </c>
      <c r="B831" s="28" t="inlineStr">
        <is>
          <t>7511</t>
        </is>
      </c>
      <c r="C831" s="30" t="inlineStr">
        <is>
          <t>D6</t>
        </is>
      </c>
      <c r="D831" s="32" t="inlineStr">
        <is>
          <t>파파라치 경신</t>
        </is>
      </c>
      <c r="E831" s="28" t="inlineStr">
        <is>
          <t>동적계획법 (DP) / 그래프</t>
        </is>
      </c>
      <c r="F831" s="28" t="n"/>
      <c r="G831" s="28" t="n"/>
      <c r="H831" s="28" t="n"/>
      <c r="I831" s="28" t="n"/>
      <c r="J831" s="54">
        <f>IF(OR(ISNUMBER(SEARCH("보류",K831)),ISNUMBER(SEARCH("미룸",K831)),ISNUMBER(SEARCH("나중에",K831)),ISNUMBER(SEARCH("보류",L831)),ISNUMBER(SEARCH("미룸",L831)),ISNUMBER(SEARCH("나중에",L831))),"보류(나중에 풀기)",IF(AND(F831="",G831="",H831="",I831=""),"미완료",IF(I831&lt;&gt;"","복습3(마스터)",IF(H831&lt;&gt;"","복습2",IF(G831&lt;&gt;"","복습1",IF(ISNUMBER(SEARCH("제미나이",K831)),"복습대기(AI도움)",IF(ISNUMBER(SEARCH("간당간당",K831)),"복습대기(간당간당)",IF(OR(ISNUMBER(SEARCH("아이디어",K831)),ISNUMBER(SEARCH("시간초과",K831)),ISNUMBER(SEARCH("자료구조",K831)),ISNUMBER(SEARCH("경계값",K831)),ISNUMBER(SEARCH("다른 풀이",K831)),ISNUMBER(SEARCH("또풀기",K831))),"복습대기",IF(OR(ISNUMBER(SEARCH("복습필요없음",K831)),ISNUMBER(SEARCH("자력완벽",K831))),"품(복습불필요)",IF(F831&lt;&gt;"","품","미완료"))))))))))</f>
        <v/>
      </c>
      <c r="K831" s="32" t="inlineStr">
        <is>
          <t>-</t>
        </is>
      </c>
      <c r="L831" s="32" t="n"/>
      <c r="M831" s="28">
        <f>IF(OR(LEFT(J831,2)="보류", LEFT(J831,4)="복습대기", LEFT(J831,3)="복습1", LEFT(J831,3)="복습2"), MAX($M$3:M830)+1, "")</f>
        <v/>
      </c>
      <c r="N831" s="28" t="inlineStr">
        <is>
          <t>W20</t>
        </is>
      </c>
      <c r="O831" s="36" t="n">
        <v>46394</v>
      </c>
      <c r="P831" s="30">
        <f>IF(F831&lt;&gt;"","✅ 완료",IF(O831="","-",IF(TODAY()&gt;O831,"🚨 지연","⏳ 예정")))</f>
        <v/>
      </c>
      <c r="Q831" s="7" t="n"/>
      <c r="R831" s="7" t="n"/>
      <c r="S831" s="7" t="n"/>
      <c r="T831" s="7" t="n"/>
      <c r="U831" s="7" t="n"/>
      <c r="V831" s="7" t="n"/>
      <c r="W831" s="7" t="n"/>
      <c r="X831" s="7" t="n"/>
    </row>
    <row r="832" ht="21.75" customHeight="1" s="209">
      <c r="A832" s="28" t="n">
        <v>829</v>
      </c>
      <c r="B832" s="28" t="inlineStr">
        <is>
          <t>7533</t>
        </is>
      </c>
      <c r="C832" s="30" t="inlineStr">
        <is>
          <t>D6</t>
        </is>
      </c>
      <c r="D832" s="32" t="inlineStr">
        <is>
          <t>마이 프레셔스, 아다만티움</t>
        </is>
      </c>
      <c r="E832" s="28" t="inlineStr">
        <is>
          <t>동적계획법 (DP) / 그래프</t>
        </is>
      </c>
      <c r="F832" s="28" t="n"/>
      <c r="G832" s="28" t="n"/>
      <c r="H832" s="28" t="n"/>
      <c r="I832" s="28" t="n"/>
      <c r="J832" s="54">
        <f>IF(OR(ISNUMBER(SEARCH("보류",K832)),ISNUMBER(SEARCH("미룸",K832)),ISNUMBER(SEARCH("나중에",K832)),ISNUMBER(SEARCH("보류",L832)),ISNUMBER(SEARCH("미룸",L832)),ISNUMBER(SEARCH("나중에",L832))),"보류(나중에 풀기)",IF(AND(F832="",G832="",H832="",I832=""),"미완료",IF(I832&lt;&gt;"","복습3(마스터)",IF(H832&lt;&gt;"","복습2",IF(G832&lt;&gt;"","복습1",IF(ISNUMBER(SEARCH("제미나이",K832)),"복습대기(AI도움)",IF(ISNUMBER(SEARCH("간당간당",K832)),"복습대기(간당간당)",IF(OR(ISNUMBER(SEARCH("아이디어",K832)),ISNUMBER(SEARCH("시간초과",K832)),ISNUMBER(SEARCH("자료구조",K832)),ISNUMBER(SEARCH("경계값",K832)),ISNUMBER(SEARCH("다른 풀이",K832)),ISNUMBER(SEARCH("또풀기",K832))),"복습대기",IF(OR(ISNUMBER(SEARCH("복습필요없음",K832)),ISNUMBER(SEARCH("자력완벽",K832))),"품(복습불필요)",IF(F832&lt;&gt;"","품","미완료"))))))))))</f>
        <v/>
      </c>
      <c r="K832" s="32" t="inlineStr">
        <is>
          <t>-</t>
        </is>
      </c>
      <c r="L832" s="32" t="n"/>
      <c r="M832" s="28">
        <f>IF(OR(LEFT(J832,2)="보류", LEFT(J832,4)="복습대기", LEFT(J832,3)="복습1", LEFT(J832,3)="복습2"), MAX($M$3:M831)+1, "")</f>
        <v/>
      </c>
      <c r="N832" s="28" t="inlineStr">
        <is>
          <t>W20</t>
        </is>
      </c>
      <c r="O832" s="36" t="n">
        <v>46395</v>
      </c>
      <c r="P832" s="30">
        <f>IF(F832&lt;&gt;"","✅ 완료",IF(O832="","-",IF(TODAY()&gt;O832,"🚨 지연","⏳ 예정")))</f>
        <v/>
      </c>
      <c r="Q832" s="7" t="n"/>
      <c r="R832" s="7" t="n"/>
      <c r="S832" s="7" t="n"/>
      <c r="T832" s="7" t="n"/>
      <c r="U832" s="7" t="n"/>
      <c r="V832" s="7" t="n"/>
      <c r="W832" s="7" t="n"/>
      <c r="X832" s="7" t="n"/>
    </row>
    <row r="833" ht="21.75" customHeight="1" s="209">
      <c r="A833" s="28" t="n">
        <v>830</v>
      </c>
      <c r="B833" s="28" t="inlineStr">
        <is>
          <t>7674</t>
        </is>
      </c>
      <c r="C833" s="30" t="inlineStr">
        <is>
          <t>D6</t>
        </is>
      </c>
      <c r="D833" s="32" t="inlineStr">
        <is>
          <t>특명! 전염병을 막아라!</t>
        </is>
      </c>
      <c r="E833" s="28" t="inlineStr">
        <is>
          <t>동적계획법 (DP) / 그래프</t>
        </is>
      </c>
      <c r="F833" s="28" t="n"/>
      <c r="G833" s="28" t="n"/>
      <c r="H833" s="28" t="n"/>
      <c r="I833" s="28" t="n"/>
      <c r="J833" s="54">
        <f>IF(OR(ISNUMBER(SEARCH("보류",K833)),ISNUMBER(SEARCH("미룸",K833)),ISNUMBER(SEARCH("나중에",K833)),ISNUMBER(SEARCH("보류",L833)),ISNUMBER(SEARCH("미룸",L833)),ISNUMBER(SEARCH("나중에",L833))),"보류(나중에 풀기)",IF(AND(F833="",G833="",H833="",I833=""),"미완료",IF(I833&lt;&gt;"","복습3(마스터)",IF(H833&lt;&gt;"","복습2",IF(G833&lt;&gt;"","복습1",IF(ISNUMBER(SEARCH("제미나이",K833)),"복습대기(AI도움)",IF(ISNUMBER(SEARCH("간당간당",K833)),"복습대기(간당간당)",IF(OR(ISNUMBER(SEARCH("아이디어",K833)),ISNUMBER(SEARCH("시간초과",K833)),ISNUMBER(SEARCH("자료구조",K833)),ISNUMBER(SEARCH("경계값",K833)),ISNUMBER(SEARCH("다른 풀이",K833)),ISNUMBER(SEARCH("또풀기",K833))),"복습대기",IF(OR(ISNUMBER(SEARCH("복습필요없음",K833)),ISNUMBER(SEARCH("자력완벽",K833))),"품(복습불필요)",IF(F833&lt;&gt;"","품","미완료"))))))))))</f>
        <v/>
      </c>
      <c r="K833" s="32" t="inlineStr">
        <is>
          <t>-</t>
        </is>
      </c>
      <c r="L833" s="32" t="n"/>
      <c r="M833" s="28">
        <f>IF(OR(LEFT(J833,2)="보류", LEFT(J833,4)="복습대기", LEFT(J833,3)="복습1", LEFT(J833,3)="복습2"), MAX($M$3:M832)+1, "")</f>
        <v/>
      </c>
      <c r="N833" s="28" t="inlineStr">
        <is>
          <t>W20</t>
        </is>
      </c>
      <c r="O833" s="36" t="n">
        <v>46395</v>
      </c>
      <c r="P833" s="30">
        <f>IF(F833&lt;&gt;"","✅ 완료",IF(O833="","-",IF(TODAY()&gt;O833,"🚨 지연","⏳ 예정")))</f>
        <v/>
      </c>
      <c r="Q833" s="7" t="n"/>
      <c r="R833" s="7" t="n"/>
      <c r="S833" s="7" t="n"/>
      <c r="T833" s="7" t="n"/>
      <c r="U833" s="7" t="n"/>
      <c r="V833" s="7" t="n"/>
      <c r="W833" s="7" t="n"/>
      <c r="X833" s="7" t="n"/>
    </row>
    <row r="834" ht="21.75" customHeight="1" s="209">
      <c r="A834" s="28" t="n">
        <v>831</v>
      </c>
      <c r="B834" s="28" t="inlineStr">
        <is>
          <t>7676</t>
        </is>
      </c>
      <c r="C834" s="30" t="inlineStr">
        <is>
          <t>D6</t>
        </is>
      </c>
      <c r="D834" s="32" t="inlineStr">
        <is>
          <t>이상한 나라의 앨리스</t>
        </is>
      </c>
      <c r="E834" s="28" t="inlineStr">
        <is>
          <t>동적계획법 (DP) / 그래프</t>
        </is>
      </c>
      <c r="F834" s="28" t="n"/>
      <c r="G834" s="28" t="n"/>
      <c r="H834" s="28" t="n"/>
      <c r="I834" s="28" t="n"/>
      <c r="J834" s="54">
        <f>IF(OR(ISNUMBER(SEARCH("보류",K834)),ISNUMBER(SEARCH("미룸",K834)),ISNUMBER(SEARCH("나중에",K834)),ISNUMBER(SEARCH("보류",L834)),ISNUMBER(SEARCH("미룸",L834)),ISNUMBER(SEARCH("나중에",L834))),"보류(나중에 풀기)",IF(AND(F834="",G834="",H834="",I834=""),"미완료",IF(I834&lt;&gt;"","복습3(마스터)",IF(H834&lt;&gt;"","복습2",IF(G834&lt;&gt;"","복습1",IF(ISNUMBER(SEARCH("제미나이",K834)),"복습대기(AI도움)",IF(ISNUMBER(SEARCH("간당간당",K834)),"복습대기(간당간당)",IF(OR(ISNUMBER(SEARCH("아이디어",K834)),ISNUMBER(SEARCH("시간초과",K834)),ISNUMBER(SEARCH("자료구조",K834)),ISNUMBER(SEARCH("경계값",K834)),ISNUMBER(SEARCH("다른 풀이",K834)),ISNUMBER(SEARCH("또풀기",K834))),"복습대기",IF(OR(ISNUMBER(SEARCH("복습필요없음",K834)),ISNUMBER(SEARCH("자력완벽",K834))),"품(복습불필요)",IF(F834&lt;&gt;"","품","미완료"))))))))))</f>
        <v/>
      </c>
      <c r="K834" s="32" t="inlineStr">
        <is>
          <t>-</t>
        </is>
      </c>
      <c r="L834" s="32" t="n"/>
      <c r="M834" s="28">
        <f>IF(OR(LEFT(J834,2)="보류", LEFT(J834,4)="복습대기", LEFT(J834,3)="복습1", LEFT(J834,3)="복습2"), MAX($M$3:M833)+1, "")</f>
        <v/>
      </c>
      <c r="N834" s="28" t="inlineStr">
        <is>
          <t>W20</t>
        </is>
      </c>
      <c r="O834" s="36" t="n">
        <v>46395</v>
      </c>
      <c r="P834" s="30">
        <f>IF(F834&lt;&gt;"","✅ 완료",IF(O834="","-",IF(TODAY()&gt;O834,"🚨 지연","⏳ 예정")))</f>
        <v/>
      </c>
      <c r="Q834" s="7" t="n"/>
      <c r="R834" s="7" t="n"/>
      <c r="S834" s="7" t="n"/>
      <c r="T834" s="7" t="n"/>
      <c r="U834" s="7" t="n"/>
      <c r="V834" s="7" t="n"/>
      <c r="W834" s="7" t="n"/>
      <c r="X834" s="7" t="n"/>
    </row>
    <row r="835" ht="21.75" customHeight="1" s="209">
      <c r="A835" s="28" t="n">
        <v>832</v>
      </c>
      <c r="B835" s="28" t="inlineStr">
        <is>
          <t>7702</t>
        </is>
      </c>
      <c r="C835" s="30" t="inlineStr">
        <is>
          <t>D6</t>
        </is>
      </c>
      <c r="D835" s="32" t="inlineStr">
        <is>
          <t>Winter is coming</t>
        </is>
      </c>
      <c r="E835" s="28" t="inlineStr">
        <is>
          <t>동적계획법 (DP) / 그래프</t>
        </is>
      </c>
      <c r="F835" s="28" t="n"/>
      <c r="G835" s="28" t="n"/>
      <c r="H835" s="28" t="n"/>
      <c r="I835" s="28" t="n"/>
      <c r="J835" s="54">
        <f>IF(OR(ISNUMBER(SEARCH("보류",K835)),ISNUMBER(SEARCH("미룸",K835)),ISNUMBER(SEARCH("나중에",K835)),ISNUMBER(SEARCH("보류",L835)),ISNUMBER(SEARCH("미룸",L835)),ISNUMBER(SEARCH("나중에",L835))),"보류(나중에 풀기)",IF(AND(F835="",G835="",H835="",I835=""),"미완료",IF(I835&lt;&gt;"","복습3(마스터)",IF(H835&lt;&gt;"","복습2",IF(G835&lt;&gt;"","복습1",IF(ISNUMBER(SEARCH("제미나이",K835)),"복습대기(AI도움)",IF(ISNUMBER(SEARCH("간당간당",K835)),"복습대기(간당간당)",IF(OR(ISNUMBER(SEARCH("아이디어",K835)),ISNUMBER(SEARCH("시간초과",K835)),ISNUMBER(SEARCH("자료구조",K835)),ISNUMBER(SEARCH("경계값",K835)),ISNUMBER(SEARCH("다른 풀이",K835)),ISNUMBER(SEARCH("또풀기",K835))),"복습대기",IF(OR(ISNUMBER(SEARCH("복습필요없음",K835)),ISNUMBER(SEARCH("자력완벽",K835))),"품(복습불필요)",IF(F835&lt;&gt;"","품","미완료"))))))))))</f>
        <v/>
      </c>
      <c r="K835" s="32" t="inlineStr">
        <is>
          <t>-</t>
        </is>
      </c>
      <c r="L835" s="32" t="n"/>
      <c r="M835" s="28">
        <f>IF(OR(LEFT(J835,2)="보류", LEFT(J835,4)="복습대기", LEFT(J835,3)="복습1", LEFT(J835,3)="복습2"), MAX($M$3:M834)+1, "")</f>
        <v/>
      </c>
      <c r="N835" s="28" t="inlineStr">
        <is>
          <t>W20</t>
        </is>
      </c>
      <c r="O835" s="36" t="n">
        <v>46395</v>
      </c>
      <c r="P835" s="30">
        <f>IF(F835&lt;&gt;"","✅ 완료",IF(O835="","-",IF(TODAY()&gt;O835,"🚨 지연","⏳ 예정")))</f>
        <v/>
      </c>
      <c r="Q835" s="7" t="n"/>
      <c r="R835" s="7" t="n"/>
      <c r="S835" s="7" t="n"/>
      <c r="T835" s="7" t="n"/>
      <c r="U835" s="7" t="n"/>
      <c r="V835" s="7" t="n"/>
      <c r="W835" s="7" t="n"/>
      <c r="X835" s="7" t="n"/>
    </row>
    <row r="836" ht="21.75" customHeight="1" s="209">
      <c r="A836" s="28" t="n">
        <v>833</v>
      </c>
      <c r="B836" s="28" t="inlineStr">
        <is>
          <t>7729</t>
        </is>
      </c>
      <c r="C836" s="30" t="inlineStr">
        <is>
          <t>D6</t>
        </is>
      </c>
      <c r="D836" s="32" t="inlineStr">
        <is>
          <t>돌아온 사랑의 카운슬러</t>
        </is>
      </c>
      <c r="E836" s="28" t="inlineStr">
        <is>
          <t>동적계획법 (DP) / 그래프</t>
        </is>
      </c>
      <c r="F836" s="28" t="n"/>
      <c r="G836" s="28" t="n"/>
      <c r="H836" s="28" t="n"/>
      <c r="I836" s="28" t="n"/>
      <c r="J836" s="54">
        <f>IF(OR(ISNUMBER(SEARCH("보류",K836)),ISNUMBER(SEARCH("미룸",K836)),ISNUMBER(SEARCH("나중에",K836)),ISNUMBER(SEARCH("보류",L836)),ISNUMBER(SEARCH("미룸",L836)),ISNUMBER(SEARCH("나중에",L836))),"보류(나중에 풀기)",IF(AND(F836="",G836="",H836="",I836=""),"미완료",IF(I836&lt;&gt;"","복습3(마스터)",IF(H836&lt;&gt;"","복습2",IF(G836&lt;&gt;"","복습1",IF(ISNUMBER(SEARCH("제미나이",K836)),"복습대기(AI도움)",IF(ISNUMBER(SEARCH("간당간당",K836)),"복습대기(간당간당)",IF(OR(ISNUMBER(SEARCH("아이디어",K836)),ISNUMBER(SEARCH("시간초과",K836)),ISNUMBER(SEARCH("자료구조",K836)),ISNUMBER(SEARCH("경계값",K836)),ISNUMBER(SEARCH("다른 풀이",K836)),ISNUMBER(SEARCH("또풀기",K836))),"복습대기",IF(OR(ISNUMBER(SEARCH("복습필요없음",K836)),ISNUMBER(SEARCH("자력완벽",K836))),"품(복습불필요)",IF(F836&lt;&gt;"","품","미완료"))))))))))</f>
        <v/>
      </c>
      <c r="K836" s="32" t="inlineStr">
        <is>
          <t>-</t>
        </is>
      </c>
      <c r="L836" s="32" t="n"/>
      <c r="M836" s="28">
        <f>IF(OR(LEFT(J836,2)="보류", LEFT(J836,4)="복습대기", LEFT(J836,3)="복습1", LEFT(J836,3)="복습2"), MAX($M$3:M835)+1, "")</f>
        <v/>
      </c>
      <c r="N836" s="28" t="inlineStr">
        <is>
          <t>W20</t>
        </is>
      </c>
      <c r="O836" s="36" t="n">
        <v>46395</v>
      </c>
      <c r="P836" s="30">
        <f>IF(F836&lt;&gt;"","✅ 완료",IF(O836="","-",IF(TODAY()&gt;O836,"🚨 지연","⏳ 예정")))</f>
        <v/>
      </c>
      <c r="Q836" s="7" t="n"/>
      <c r="R836" s="7" t="n"/>
      <c r="S836" s="7" t="n"/>
      <c r="T836" s="7" t="n"/>
      <c r="U836" s="7" t="n"/>
      <c r="V836" s="7" t="n"/>
      <c r="W836" s="7" t="n"/>
      <c r="X836" s="7" t="n"/>
    </row>
    <row r="837" ht="21.75" customHeight="1" s="209">
      <c r="A837" s="28" t="n">
        <v>834</v>
      </c>
      <c r="B837" s="28" t="inlineStr">
        <is>
          <t>7740</t>
        </is>
      </c>
      <c r="C837" s="30" t="inlineStr">
        <is>
          <t>D6</t>
        </is>
      </c>
      <c r="D837" s="32" t="inlineStr">
        <is>
          <t>나뭇잎 마을</t>
        </is>
      </c>
      <c r="E837" s="28" t="inlineStr">
        <is>
          <t>동적계획법 (DP) / 그래프</t>
        </is>
      </c>
      <c r="F837" s="28" t="n"/>
      <c r="G837" s="28" t="n"/>
      <c r="H837" s="28" t="n"/>
      <c r="I837" s="28" t="n"/>
      <c r="J837" s="54">
        <f>IF(OR(ISNUMBER(SEARCH("보류",K837)),ISNUMBER(SEARCH("미룸",K837)),ISNUMBER(SEARCH("나중에",K837)),ISNUMBER(SEARCH("보류",L837)),ISNUMBER(SEARCH("미룸",L837)),ISNUMBER(SEARCH("나중에",L837))),"보류(나중에 풀기)",IF(AND(F837="",G837="",H837="",I837=""),"미완료",IF(I837&lt;&gt;"","복습3(마스터)",IF(H837&lt;&gt;"","복습2",IF(G837&lt;&gt;"","복습1",IF(ISNUMBER(SEARCH("제미나이",K837)),"복습대기(AI도움)",IF(ISNUMBER(SEARCH("간당간당",K837)),"복습대기(간당간당)",IF(OR(ISNUMBER(SEARCH("아이디어",K837)),ISNUMBER(SEARCH("시간초과",K837)),ISNUMBER(SEARCH("자료구조",K837)),ISNUMBER(SEARCH("경계값",K837)),ISNUMBER(SEARCH("다른 풀이",K837)),ISNUMBER(SEARCH("또풀기",K837))),"복습대기",IF(OR(ISNUMBER(SEARCH("복습필요없음",K837)),ISNUMBER(SEARCH("자력완벽",K837))),"품(복습불필요)",IF(F837&lt;&gt;"","품","미완료"))))))))))</f>
        <v/>
      </c>
      <c r="K837" s="32" t="inlineStr">
        <is>
          <t>-</t>
        </is>
      </c>
      <c r="L837" s="32" t="n"/>
      <c r="M837" s="28">
        <f>IF(OR(LEFT(J837,2)="보류", LEFT(J837,4)="복습대기", LEFT(J837,3)="복습1", LEFT(J837,3)="복습2"), MAX($M$3:M836)+1, "")</f>
        <v/>
      </c>
      <c r="N837" s="28" t="inlineStr">
        <is>
          <t>W20</t>
        </is>
      </c>
      <c r="O837" s="36" t="n">
        <v>46395</v>
      </c>
      <c r="P837" s="30">
        <f>IF(F837&lt;&gt;"","✅ 완료",IF(O837="","-",IF(TODAY()&gt;O837,"🚨 지연","⏳ 예정")))</f>
        <v/>
      </c>
      <c r="Q837" s="7" t="n"/>
      <c r="R837" s="7" t="n"/>
      <c r="S837" s="7" t="n"/>
      <c r="T837" s="7" t="n"/>
      <c r="U837" s="7" t="n"/>
      <c r="V837" s="7" t="n"/>
      <c r="W837" s="7" t="n"/>
      <c r="X837" s="7" t="n"/>
    </row>
    <row r="838" ht="21.75" customHeight="1" s="209">
      <c r="A838" s="28" t="n">
        <v>835</v>
      </c>
      <c r="B838" s="28" t="inlineStr">
        <is>
          <t>7794</t>
        </is>
      </c>
      <c r="C838" s="30" t="inlineStr">
        <is>
          <t>D6</t>
        </is>
      </c>
      <c r="D838" s="32" t="inlineStr">
        <is>
          <t>동환이의 알뜰살뜰</t>
        </is>
      </c>
      <c r="E838" s="28" t="inlineStr">
        <is>
          <t>동적계획법 (DP) / 그래프</t>
        </is>
      </c>
      <c r="F838" s="28" t="n"/>
      <c r="G838" s="28" t="n"/>
      <c r="H838" s="28" t="n"/>
      <c r="I838" s="28" t="n"/>
      <c r="J838" s="54">
        <f>IF(OR(ISNUMBER(SEARCH("보류",K838)),ISNUMBER(SEARCH("미룸",K838)),ISNUMBER(SEARCH("나중에",K838)),ISNUMBER(SEARCH("보류",L838)),ISNUMBER(SEARCH("미룸",L838)),ISNUMBER(SEARCH("나중에",L838))),"보류(나중에 풀기)",IF(AND(F838="",G838="",H838="",I838=""),"미완료",IF(I838&lt;&gt;"","복습3(마스터)",IF(H838&lt;&gt;"","복습2",IF(G838&lt;&gt;"","복습1",IF(ISNUMBER(SEARCH("제미나이",K838)),"복습대기(AI도움)",IF(ISNUMBER(SEARCH("간당간당",K838)),"복습대기(간당간당)",IF(OR(ISNUMBER(SEARCH("아이디어",K838)),ISNUMBER(SEARCH("시간초과",K838)),ISNUMBER(SEARCH("자료구조",K838)),ISNUMBER(SEARCH("경계값",K838)),ISNUMBER(SEARCH("다른 풀이",K838)),ISNUMBER(SEARCH("또풀기",K838))),"복습대기",IF(OR(ISNUMBER(SEARCH("복습필요없음",K838)),ISNUMBER(SEARCH("자력완벽",K838))),"품(복습불필요)",IF(F838&lt;&gt;"","품","미완료"))))))))))</f>
        <v/>
      </c>
      <c r="K838" s="32" t="inlineStr">
        <is>
          <t>-</t>
        </is>
      </c>
      <c r="L838" s="32" t="n"/>
      <c r="M838" s="28">
        <f>IF(OR(LEFT(J838,2)="보류", LEFT(J838,4)="복습대기", LEFT(J838,3)="복습1", LEFT(J838,3)="복습2"), MAX($M$3:M837)+1, "")</f>
        <v/>
      </c>
      <c r="N838" s="28" t="inlineStr">
        <is>
          <t>W20</t>
        </is>
      </c>
      <c r="O838" s="36" t="n">
        <v>46395</v>
      </c>
      <c r="P838" s="30">
        <f>IF(F838&lt;&gt;"","✅ 완료",IF(O838="","-",IF(TODAY()&gt;O838,"🚨 지연","⏳ 예정")))</f>
        <v/>
      </c>
      <c r="Q838" s="7" t="n"/>
      <c r="R838" s="7" t="n"/>
      <c r="S838" s="7" t="n"/>
      <c r="T838" s="7" t="n"/>
      <c r="U838" s="7" t="n"/>
      <c r="V838" s="7" t="n"/>
      <c r="W838" s="7" t="n"/>
      <c r="X838" s="7" t="n"/>
    </row>
    <row r="839" ht="21.75" customHeight="1" s="209">
      <c r="A839" s="28" t="n">
        <v>836</v>
      </c>
      <c r="B839" s="28" t="inlineStr">
        <is>
          <t>7814</t>
        </is>
      </c>
      <c r="C839" s="30" t="inlineStr">
        <is>
          <t>D6</t>
        </is>
      </c>
      <c r="D839" s="32" t="inlineStr">
        <is>
          <t>미식왕! 기문!</t>
        </is>
      </c>
      <c r="E839" s="28" t="inlineStr">
        <is>
          <t>동적계획법 (DP) / 그래프</t>
        </is>
      </c>
      <c r="F839" s="28" t="n"/>
      <c r="G839" s="28" t="n"/>
      <c r="H839" s="28" t="n"/>
      <c r="I839" s="28" t="n"/>
      <c r="J839" s="54">
        <f>IF(OR(ISNUMBER(SEARCH("보류",K839)),ISNUMBER(SEARCH("미룸",K839)),ISNUMBER(SEARCH("나중에",K839)),ISNUMBER(SEARCH("보류",L839)),ISNUMBER(SEARCH("미룸",L839)),ISNUMBER(SEARCH("나중에",L839))),"보류(나중에 풀기)",IF(AND(F839="",G839="",H839="",I839=""),"미완료",IF(I839&lt;&gt;"","복습3(마스터)",IF(H839&lt;&gt;"","복습2",IF(G839&lt;&gt;"","복습1",IF(ISNUMBER(SEARCH("제미나이",K839)),"복습대기(AI도움)",IF(ISNUMBER(SEARCH("간당간당",K839)),"복습대기(간당간당)",IF(OR(ISNUMBER(SEARCH("아이디어",K839)),ISNUMBER(SEARCH("시간초과",K839)),ISNUMBER(SEARCH("자료구조",K839)),ISNUMBER(SEARCH("경계값",K839)),ISNUMBER(SEARCH("다른 풀이",K839)),ISNUMBER(SEARCH("또풀기",K839))),"복습대기",IF(OR(ISNUMBER(SEARCH("복습필요없음",K839)),ISNUMBER(SEARCH("자력완벽",K839))),"품(복습불필요)",IF(F839&lt;&gt;"","품","미완료"))))))))))</f>
        <v/>
      </c>
      <c r="K839" s="32" t="inlineStr">
        <is>
          <t>-</t>
        </is>
      </c>
      <c r="L839" s="32" t="n"/>
      <c r="M839" s="28">
        <f>IF(OR(LEFT(J839,2)="보류", LEFT(J839,4)="복습대기", LEFT(J839,3)="복습1", LEFT(J839,3)="복습2"), MAX($M$3:M838)+1, "")</f>
        <v/>
      </c>
      <c r="N839" s="28" t="inlineStr">
        <is>
          <t>W20</t>
        </is>
      </c>
      <c r="O839" s="36" t="n">
        <v>46396</v>
      </c>
      <c r="P839" s="30">
        <f>IF(F839&lt;&gt;"","✅ 완료",IF(O839="","-",IF(TODAY()&gt;O839,"🚨 지연","⏳ 예정")))</f>
        <v/>
      </c>
      <c r="Q839" s="7" t="n"/>
      <c r="R839" s="7" t="n"/>
      <c r="S839" s="7" t="n"/>
      <c r="T839" s="7" t="n"/>
      <c r="U839" s="7" t="n"/>
      <c r="V839" s="7" t="n"/>
      <c r="W839" s="7" t="n"/>
      <c r="X839" s="7" t="n"/>
    </row>
    <row r="840" ht="21.75" customHeight="1" s="209">
      <c r="A840" s="28" t="n">
        <v>837</v>
      </c>
      <c r="B840" s="28" t="inlineStr">
        <is>
          <t>7815</t>
        </is>
      </c>
      <c r="C840" s="30" t="inlineStr">
        <is>
          <t>D6</t>
        </is>
      </c>
      <c r="D840" s="32" t="inlineStr">
        <is>
          <t>삼인 삼색</t>
        </is>
      </c>
      <c r="E840" s="28" t="inlineStr">
        <is>
          <t>동적계획법 (DP) / 그래프</t>
        </is>
      </c>
      <c r="F840" s="28" t="n"/>
      <c r="G840" s="28" t="n"/>
      <c r="H840" s="28" t="n"/>
      <c r="I840" s="28" t="n"/>
      <c r="J840" s="54">
        <f>IF(OR(ISNUMBER(SEARCH("보류",K840)),ISNUMBER(SEARCH("미룸",K840)),ISNUMBER(SEARCH("나중에",K840)),ISNUMBER(SEARCH("보류",L840)),ISNUMBER(SEARCH("미룸",L840)),ISNUMBER(SEARCH("나중에",L840))),"보류(나중에 풀기)",IF(AND(F840="",G840="",H840="",I840=""),"미완료",IF(I840&lt;&gt;"","복습3(마스터)",IF(H840&lt;&gt;"","복습2",IF(G840&lt;&gt;"","복습1",IF(ISNUMBER(SEARCH("제미나이",K840)),"복습대기(AI도움)",IF(ISNUMBER(SEARCH("간당간당",K840)),"복습대기(간당간당)",IF(OR(ISNUMBER(SEARCH("아이디어",K840)),ISNUMBER(SEARCH("시간초과",K840)),ISNUMBER(SEARCH("자료구조",K840)),ISNUMBER(SEARCH("경계값",K840)),ISNUMBER(SEARCH("다른 풀이",K840)),ISNUMBER(SEARCH("또풀기",K840))),"복습대기",IF(OR(ISNUMBER(SEARCH("복습필요없음",K840)),ISNUMBER(SEARCH("자력완벽",K840))),"품(복습불필요)",IF(F840&lt;&gt;"","품","미완료"))))))))))</f>
        <v/>
      </c>
      <c r="K840" s="32" t="inlineStr">
        <is>
          <t>-</t>
        </is>
      </c>
      <c r="L840" s="32" t="n"/>
      <c r="M840" s="28">
        <f>IF(OR(LEFT(J840,2)="보류", LEFT(J840,4)="복습대기", LEFT(J840,3)="복습1", LEFT(J840,3)="복습2"), MAX($M$3:M839)+1, "")</f>
        <v/>
      </c>
      <c r="N840" s="28" t="inlineStr">
        <is>
          <t>W20</t>
        </is>
      </c>
      <c r="O840" s="36" t="n">
        <v>46396</v>
      </c>
      <c r="P840" s="30">
        <f>IF(F840&lt;&gt;"","✅ 완료",IF(O840="","-",IF(TODAY()&gt;O840,"🚨 지연","⏳ 예정")))</f>
        <v/>
      </c>
      <c r="Q840" s="7" t="n"/>
      <c r="R840" s="7" t="n"/>
      <c r="S840" s="7" t="n"/>
      <c r="T840" s="7" t="n"/>
      <c r="U840" s="7" t="n"/>
      <c r="V840" s="7" t="n"/>
      <c r="W840" s="7" t="n"/>
      <c r="X840" s="7" t="n"/>
    </row>
    <row r="841" ht="21.75" customHeight="1" s="209">
      <c r="A841" s="28" t="n">
        <v>838</v>
      </c>
      <c r="B841" s="28" t="inlineStr">
        <is>
          <t>7831</t>
        </is>
      </c>
      <c r="C841" s="30" t="inlineStr">
        <is>
          <t>D6</t>
        </is>
      </c>
      <c r="D841" s="32" t="inlineStr">
        <is>
          <t>이상한 나라의 알파벳</t>
        </is>
      </c>
      <c r="E841" s="28" t="inlineStr">
        <is>
          <t>동적계획법 (DP) / 그래프</t>
        </is>
      </c>
      <c r="F841" s="28" t="n"/>
      <c r="G841" s="28" t="n"/>
      <c r="H841" s="28" t="n"/>
      <c r="I841" s="28" t="n"/>
      <c r="J841" s="54">
        <f>IF(OR(ISNUMBER(SEARCH("보류",K841)),ISNUMBER(SEARCH("미룸",K841)),ISNUMBER(SEARCH("나중에",K841)),ISNUMBER(SEARCH("보류",L841)),ISNUMBER(SEARCH("미룸",L841)),ISNUMBER(SEARCH("나중에",L841))),"보류(나중에 풀기)",IF(AND(F841="",G841="",H841="",I841=""),"미완료",IF(I841&lt;&gt;"","복습3(마스터)",IF(H841&lt;&gt;"","복습2",IF(G841&lt;&gt;"","복습1",IF(ISNUMBER(SEARCH("제미나이",K841)),"복습대기(AI도움)",IF(ISNUMBER(SEARCH("간당간당",K841)),"복습대기(간당간당)",IF(OR(ISNUMBER(SEARCH("아이디어",K841)),ISNUMBER(SEARCH("시간초과",K841)),ISNUMBER(SEARCH("자료구조",K841)),ISNUMBER(SEARCH("경계값",K841)),ISNUMBER(SEARCH("다른 풀이",K841)),ISNUMBER(SEARCH("또풀기",K841))),"복습대기",IF(OR(ISNUMBER(SEARCH("복습필요없음",K841)),ISNUMBER(SEARCH("자력완벽",K841))),"품(복습불필요)",IF(F841&lt;&gt;"","품","미완료"))))))))))</f>
        <v/>
      </c>
      <c r="K841" s="32" t="inlineStr">
        <is>
          <t>-</t>
        </is>
      </c>
      <c r="L841" s="32" t="n"/>
      <c r="M841" s="28">
        <f>IF(OR(LEFT(J841,2)="보류", LEFT(J841,4)="복습대기", LEFT(J841,3)="복습1", LEFT(J841,3)="복습2"), MAX($M$3:M840)+1, "")</f>
        <v/>
      </c>
      <c r="N841" s="28" t="inlineStr">
        <is>
          <t>W20</t>
        </is>
      </c>
      <c r="O841" s="36" t="n">
        <v>46396</v>
      </c>
      <c r="P841" s="30">
        <f>IF(F841&lt;&gt;"","✅ 완료",IF(O841="","-",IF(TODAY()&gt;O841,"🚨 지연","⏳ 예정")))</f>
        <v/>
      </c>
      <c r="Q841" s="7" t="n"/>
      <c r="R841" s="7" t="n"/>
      <c r="S841" s="7" t="n"/>
      <c r="T841" s="7" t="n"/>
      <c r="U841" s="7" t="n"/>
      <c r="V841" s="7" t="n"/>
      <c r="W841" s="7" t="n"/>
      <c r="X841" s="7" t="n"/>
    </row>
    <row r="842" ht="21.75" customHeight="1" s="209">
      <c r="A842" s="28" t="n">
        <v>839</v>
      </c>
      <c r="B842" s="28" t="inlineStr">
        <is>
          <t>7832</t>
        </is>
      </c>
      <c r="C842" s="30" t="inlineStr">
        <is>
          <t>D6</t>
        </is>
      </c>
      <c r="D842" s="32" t="inlineStr">
        <is>
          <t>텔레포터</t>
        </is>
      </c>
      <c r="E842" s="28" t="inlineStr">
        <is>
          <t>동적계획법 (DP) / 그래프</t>
        </is>
      </c>
      <c r="F842" s="28" t="n"/>
      <c r="G842" s="28" t="n"/>
      <c r="H842" s="28" t="n"/>
      <c r="I842" s="28" t="n"/>
      <c r="J842" s="54">
        <f>IF(OR(ISNUMBER(SEARCH("보류",K842)),ISNUMBER(SEARCH("미룸",K842)),ISNUMBER(SEARCH("나중에",K842)),ISNUMBER(SEARCH("보류",L842)),ISNUMBER(SEARCH("미룸",L842)),ISNUMBER(SEARCH("나중에",L842))),"보류(나중에 풀기)",IF(AND(F842="",G842="",H842="",I842=""),"미완료",IF(I842&lt;&gt;"","복습3(마스터)",IF(H842&lt;&gt;"","복습2",IF(G842&lt;&gt;"","복습1",IF(ISNUMBER(SEARCH("제미나이",K842)),"복습대기(AI도움)",IF(ISNUMBER(SEARCH("간당간당",K842)),"복습대기(간당간당)",IF(OR(ISNUMBER(SEARCH("아이디어",K842)),ISNUMBER(SEARCH("시간초과",K842)),ISNUMBER(SEARCH("자료구조",K842)),ISNUMBER(SEARCH("경계값",K842)),ISNUMBER(SEARCH("다른 풀이",K842)),ISNUMBER(SEARCH("또풀기",K842))),"복습대기",IF(OR(ISNUMBER(SEARCH("복습필요없음",K842)),ISNUMBER(SEARCH("자력완벽",K842))),"품(복습불필요)",IF(F842&lt;&gt;"","품","미완료"))))))))))</f>
        <v/>
      </c>
      <c r="K842" s="32" t="inlineStr">
        <is>
          <t>-</t>
        </is>
      </c>
      <c r="L842" s="32" t="n"/>
      <c r="M842" s="28">
        <f>IF(OR(LEFT(J842,2)="보류", LEFT(J842,4)="복습대기", LEFT(J842,3)="복습1", LEFT(J842,3)="복습2"), MAX($M$3:M841)+1, "")</f>
        <v/>
      </c>
      <c r="N842" s="28" t="inlineStr">
        <is>
          <t>W20</t>
        </is>
      </c>
      <c r="O842" s="36" t="n">
        <v>46396</v>
      </c>
      <c r="P842" s="30">
        <f>IF(F842&lt;&gt;"","✅ 완료",IF(O842="","-",IF(TODAY()&gt;O842,"🚨 지연","⏳ 예정")))</f>
        <v/>
      </c>
      <c r="Q842" s="7" t="n"/>
      <c r="R842" s="7" t="n"/>
      <c r="S842" s="7" t="n"/>
      <c r="T842" s="7" t="n"/>
      <c r="U842" s="7" t="n"/>
      <c r="V842" s="7" t="n"/>
      <c r="W842" s="7" t="n"/>
      <c r="X842" s="7" t="n"/>
    </row>
    <row r="843" ht="21.75" customHeight="1" s="209">
      <c r="A843" s="28" t="n">
        <v>840</v>
      </c>
      <c r="B843" s="28" t="inlineStr">
        <is>
          <t>7857</t>
        </is>
      </c>
      <c r="C843" s="30" t="inlineStr">
        <is>
          <t>D6</t>
        </is>
      </c>
      <c r="D843" s="32" t="inlineStr">
        <is>
          <t>무술가 태현</t>
        </is>
      </c>
      <c r="E843" s="28" t="inlineStr">
        <is>
          <t>동적계획법 (DP) / 그래프</t>
        </is>
      </c>
      <c r="F843" s="28" t="n"/>
      <c r="G843" s="28" t="n"/>
      <c r="H843" s="28" t="n"/>
      <c r="I843" s="28" t="n"/>
      <c r="J843" s="54">
        <f>IF(OR(ISNUMBER(SEARCH("보류",K843)),ISNUMBER(SEARCH("미룸",K843)),ISNUMBER(SEARCH("나중에",K843)),ISNUMBER(SEARCH("보류",L843)),ISNUMBER(SEARCH("미룸",L843)),ISNUMBER(SEARCH("나중에",L843))),"보류(나중에 풀기)",IF(AND(F843="",G843="",H843="",I843=""),"미완료",IF(I843&lt;&gt;"","복습3(마스터)",IF(H843&lt;&gt;"","복습2",IF(G843&lt;&gt;"","복습1",IF(ISNUMBER(SEARCH("제미나이",K843)),"복습대기(AI도움)",IF(ISNUMBER(SEARCH("간당간당",K843)),"복습대기(간당간당)",IF(OR(ISNUMBER(SEARCH("아이디어",K843)),ISNUMBER(SEARCH("시간초과",K843)),ISNUMBER(SEARCH("자료구조",K843)),ISNUMBER(SEARCH("경계값",K843)),ISNUMBER(SEARCH("다른 풀이",K843)),ISNUMBER(SEARCH("또풀기",K843))),"복습대기",IF(OR(ISNUMBER(SEARCH("복습필요없음",K843)),ISNUMBER(SEARCH("자력완벽",K843))),"품(복습불필요)",IF(F843&lt;&gt;"","품","미완료"))))))))))</f>
        <v/>
      </c>
      <c r="K843" s="32" t="inlineStr">
        <is>
          <t>-</t>
        </is>
      </c>
      <c r="L843" s="32" t="n"/>
      <c r="M843" s="28">
        <f>IF(OR(LEFT(J843,2)="보류", LEFT(J843,4)="복습대기", LEFT(J843,3)="복습1", LEFT(J843,3)="복습2"), MAX($M$3:M842)+1, "")</f>
        <v/>
      </c>
      <c r="N843" s="28" t="inlineStr">
        <is>
          <t>W20</t>
        </is>
      </c>
      <c r="O843" s="36" t="n">
        <v>46396</v>
      </c>
      <c r="P843" s="30">
        <f>IF(F843&lt;&gt;"","✅ 완료",IF(O843="","-",IF(TODAY()&gt;O843,"🚨 지연","⏳ 예정")))</f>
        <v/>
      </c>
      <c r="Q843" s="7" t="n"/>
      <c r="R843" s="7" t="n"/>
      <c r="S843" s="7" t="n"/>
      <c r="T843" s="7" t="n"/>
      <c r="U843" s="7" t="n"/>
      <c r="V843" s="7" t="n"/>
      <c r="W843" s="7" t="n"/>
      <c r="X843" s="7" t="n"/>
    </row>
    <row r="844" ht="21.75" customHeight="1" s="209">
      <c r="A844" s="28" t="n">
        <v>841</v>
      </c>
      <c r="B844" s="28" t="inlineStr">
        <is>
          <t>7967</t>
        </is>
      </c>
      <c r="C844" s="30" t="inlineStr">
        <is>
          <t>D6</t>
        </is>
      </c>
      <c r="D844" s="32" t="inlineStr">
        <is>
          <t>감시 로봇</t>
        </is>
      </c>
      <c r="E844" s="28" t="inlineStr">
        <is>
          <t>시뮬레이션 / 구현</t>
        </is>
      </c>
      <c r="F844" s="28" t="n"/>
      <c r="G844" s="28" t="n"/>
      <c r="H844" s="28" t="n"/>
      <c r="I844" s="28" t="n"/>
      <c r="J844" s="54">
        <f>IF(OR(ISNUMBER(SEARCH("보류",K844)),ISNUMBER(SEARCH("미룸",K844)),ISNUMBER(SEARCH("나중에",K844)),ISNUMBER(SEARCH("보류",L844)),ISNUMBER(SEARCH("미룸",L844)),ISNUMBER(SEARCH("나중에",L844))),"보류(나중에 풀기)",IF(AND(F844="",G844="",H844="",I844=""),"미완료",IF(I844&lt;&gt;"","복습3(마스터)",IF(H844&lt;&gt;"","복습2",IF(G844&lt;&gt;"","복습1",IF(ISNUMBER(SEARCH("제미나이",K844)),"복습대기(AI도움)",IF(ISNUMBER(SEARCH("간당간당",K844)),"복습대기(간당간당)",IF(OR(ISNUMBER(SEARCH("아이디어",K844)),ISNUMBER(SEARCH("시간초과",K844)),ISNUMBER(SEARCH("자료구조",K844)),ISNUMBER(SEARCH("경계값",K844)),ISNUMBER(SEARCH("다른 풀이",K844)),ISNUMBER(SEARCH("또풀기",K844))),"복습대기",IF(OR(ISNUMBER(SEARCH("복습필요없음",K844)),ISNUMBER(SEARCH("자력완벽",K844))),"품(복습불필요)",IF(F844&lt;&gt;"","품","미완료"))))))))))</f>
        <v/>
      </c>
      <c r="K844" s="32" t="inlineStr">
        <is>
          <t>-</t>
        </is>
      </c>
      <c r="L844" s="32" t="n"/>
      <c r="M844" s="28">
        <f>IF(OR(LEFT(J844,2)="보류", LEFT(J844,4)="복습대기", LEFT(J844,3)="복습1", LEFT(J844,3)="복습2"), MAX($M$3:M843)+1, "")</f>
        <v/>
      </c>
      <c r="N844" s="28" t="inlineStr">
        <is>
          <t>W20</t>
        </is>
      </c>
      <c r="O844" s="36" t="n">
        <v>46396</v>
      </c>
      <c r="P844" s="30">
        <f>IF(F844&lt;&gt;"","✅ 완료",IF(O844="","-",IF(TODAY()&gt;O844,"🚨 지연","⏳ 예정")))</f>
        <v/>
      </c>
      <c r="Q844" s="7" t="n"/>
      <c r="R844" s="7" t="n"/>
      <c r="S844" s="7" t="n"/>
      <c r="T844" s="7" t="n"/>
      <c r="U844" s="7" t="n"/>
      <c r="V844" s="7" t="n"/>
      <c r="W844" s="7" t="n"/>
      <c r="X844" s="7" t="n"/>
    </row>
    <row r="845" ht="21.75" customHeight="1" s="209">
      <c r="A845" s="28" t="n">
        <v>842</v>
      </c>
      <c r="B845" s="28" t="inlineStr">
        <is>
          <t>8051</t>
        </is>
      </c>
      <c r="C845" s="30" t="inlineStr">
        <is>
          <t>D6</t>
        </is>
      </c>
      <c r="D845" s="32" t="inlineStr">
        <is>
          <t>유산</t>
        </is>
      </c>
      <c r="E845" s="28" t="inlineStr">
        <is>
          <t>동적계획법 (DP) / 그래프</t>
        </is>
      </c>
      <c r="F845" s="28" t="n"/>
      <c r="G845" s="28" t="n"/>
      <c r="H845" s="28" t="n"/>
      <c r="I845" s="28" t="n"/>
      <c r="J845" s="54">
        <f>IF(OR(ISNUMBER(SEARCH("보류",K845)),ISNUMBER(SEARCH("미룸",K845)),ISNUMBER(SEARCH("나중에",K845)),ISNUMBER(SEARCH("보류",L845)),ISNUMBER(SEARCH("미룸",L845)),ISNUMBER(SEARCH("나중에",L845))),"보류(나중에 풀기)",IF(AND(F845="",G845="",H845="",I845=""),"미완료",IF(I845&lt;&gt;"","복습3(마스터)",IF(H845&lt;&gt;"","복습2",IF(G845&lt;&gt;"","복습1",IF(ISNUMBER(SEARCH("제미나이",K845)),"복습대기(AI도움)",IF(ISNUMBER(SEARCH("간당간당",K845)),"복습대기(간당간당)",IF(OR(ISNUMBER(SEARCH("아이디어",K845)),ISNUMBER(SEARCH("시간초과",K845)),ISNUMBER(SEARCH("자료구조",K845)),ISNUMBER(SEARCH("경계값",K845)),ISNUMBER(SEARCH("다른 풀이",K845)),ISNUMBER(SEARCH("또풀기",K845))),"복습대기",IF(OR(ISNUMBER(SEARCH("복습필요없음",K845)),ISNUMBER(SEARCH("자력완벽",K845))),"품(복습불필요)",IF(F845&lt;&gt;"","품","미완료"))))))))))</f>
        <v/>
      </c>
      <c r="K845" s="32" t="inlineStr">
        <is>
          <t>-</t>
        </is>
      </c>
      <c r="L845" s="32" t="n"/>
      <c r="M845" s="28">
        <f>IF(OR(LEFT(J845,2)="보류", LEFT(J845,4)="복습대기", LEFT(J845,3)="복습1", LEFT(J845,3)="복습2"), MAX($M$3:M844)+1, "")</f>
        <v/>
      </c>
      <c r="N845" s="28" t="inlineStr">
        <is>
          <t>W20</t>
        </is>
      </c>
      <c r="O845" s="36" t="n">
        <v>46396</v>
      </c>
      <c r="P845" s="30">
        <f>IF(F845&lt;&gt;"","✅ 완료",IF(O845="","-",IF(TODAY()&gt;O845,"🚨 지연","⏳ 예정")))</f>
        <v/>
      </c>
      <c r="Q845" s="7" t="n"/>
      <c r="R845" s="7" t="n"/>
      <c r="S845" s="7" t="n"/>
      <c r="T845" s="7" t="n"/>
      <c r="U845" s="7" t="n"/>
      <c r="V845" s="7" t="n"/>
      <c r="W845" s="7" t="n"/>
      <c r="X845" s="7" t="n"/>
    </row>
    <row r="846" ht="21.75" customHeight="1" s="209">
      <c r="A846" s="28" t="n">
        <v>843</v>
      </c>
      <c r="B846" s="28" t="inlineStr">
        <is>
          <t>8107</t>
        </is>
      </c>
      <c r="C846" s="30" t="inlineStr">
        <is>
          <t>D6</t>
        </is>
      </c>
      <c r="D846" s="32" t="inlineStr">
        <is>
          <t>공부의 길</t>
        </is>
      </c>
      <c r="E846" s="28" t="inlineStr">
        <is>
          <t>동적계획법 (DP) / 그래프</t>
        </is>
      </c>
      <c r="F846" s="28" t="n"/>
      <c r="G846" s="28" t="n"/>
      <c r="H846" s="28" t="n"/>
      <c r="I846" s="28" t="n"/>
      <c r="J846" s="54">
        <f>IF(OR(ISNUMBER(SEARCH("보류",K846)),ISNUMBER(SEARCH("미룸",K846)),ISNUMBER(SEARCH("나중에",K846)),ISNUMBER(SEARCH("보류",L846)),ISNUMBER(SEARCH("미룸",L846)),ISNUMBER(SEARCH("나중에",L846))),"보류(나중에 풀기)",IF(AND(F846="",G846="",H846="",I846=""),"미완료",IF(I846&lt;&gt;"","복습3(마스터)",IF(H846&lt;&gt;"","복습2",IF(G846&lt;&gt;"","복습1",IF(ISNUMBER(SEARCH("제미나이",K846)),"복습대기(AI도움)",IF(ISNUMBER(SEARCH("간당간당",K846)),"복습대기(간당간당)",IF(OR(ISNUMBER(SEARCH("아이디어",K846)),ISNUMBER(SEARCH("시간초과",K846)),ISNUMBER(SEARCH("자료구조",K846)),ISNUMBER(SEARCH("경계값",K846)),ISNUMBER(SEARCH("다른 풀이",K846)),ISNUMBER(SEARCH("또풀기",K846))),"복습대기",IF(OR(ISNUMBER(SEARCH("복습필요없음",K846)),ISNUMBER(SEARCH("자력완벽",K846))),"품(복습불필요)",IF(F846&lt;&gt;"","품","미완료"))))))))))</f>
        <v/>
      </c>
      <c r="K846" s="32" t="inlineStr">
        <is>
          <t>-</t>
        </is>
      </c>
      <c r="L846" s="32" t="n"/>
      <c r="M846" s="28">
        <f>IF(OR(LEFT(J846,2)="보류", LEFT(J846,4)="복습대기", LEFT(J846,3)="복습1", LEFT(J846,3)="복습2"), MAX($M$3:M845)+1, "")</f>
        <v/>
      </c>
      <c r="N846" s="28" t="inlineStr">
        <is>
          <t>W20</t>
        </is>
      </c>
      <c r="O846" s="36" t="n">
        <v>46397</v>
      </c>
      <c r="P846" s="30">
        <f>IF(F846&lt;&gt;"","✅ 완료",IF(O846="","-",IF(TODAY()&gt;O846,"🚨 지연","⏳ 예정")))</f>
        <v/>
      </c>
      <c r="Q846" s="7" t="n"/>
      <c r="R846" s="7" t="n"/>
      <c r="S846" s="7" t="n"/>
      <c r="T846" s="7" t="n"/>
      <c r="U846" s="7" t="n"/>
      <c r="V846" s="7" t="n"/>
      <c r="W846" s="7" t="n"/>
      <c r="X846" s="7" t="n"/>
    </row>
    <row r="847" ht="21.75" customHeight="1" s="209">
      <c r="A847" s="28" t="n">
        <v>844</v>
      </c>
      <c r="B847" s="28" t="inlineStr">
        <is>
          <t>8192</t>
        </is>
      </c>
      <c r="C847" s="30" t="inlineStr">
        <is>
          <t>D6</t>
        </is>
      </c>
      <c r="D847" s="32" t="inlineStr">
        <is>
          <t>데이터 저장소 네트워크</t>
        </is>
      </c>
      <c r="E847" s="28" t="inlineStr">
        <is>
          <t>동적계획법 (DP) / 그래프</t>
        </is>
      </c>
      <c r="F847" s="28" t="n"/>
      <c r="G847" s="28" t="n"/>
      <c r="H847" s="28" t="n"/>
      <c r="I847" s="28" t="n"/>
      <c r="J847" s="54">
        <f>IF(OR(ISNUMBER(SEARCH("보류",K847)),ISNUMBER(SEARCH("미룸",K847)),ISNUMBER(SEARCH("나중에",K847)),ISNUMBER(SEARCH("보류",L847)),ISNUMBER(SEARCH("미룸",L847)),ISNUMBER(SEARCH("나중에",L847))),"보류(나중에 풀기)",IF(AND(F847="",G847="",H847="",I847=""),"미완료",IF(I847&lt;&gt;"","복습3(마스터)",IF(H847&lt;&gt;"","복습2",IF(G847&lt;&gt;"","복습1",IF(ISNUMBER(SEARCH("제미나이",K847)),"복습대기(AI도움)",IF(ISNUMBER(SEARCH("간당간당",K847)),"복습대기(간당간당)",IF(OR(ISNUMBER(SEARCH("아이디어",K847)),ISNUMBER(SEARCH("시간초과",K847)),ISNUMBER(SEARCH("자료구조",K847)),ISNUMBER(SEARCH("경계값",K847)),ISNUMBER(SEARCH("다른 풀이",K847)),ISNUMBER(SEARCH("또풀기",K847))),"복습대기",IF(OR(ISNUMBER(SEARCH("복습필요없음",K847)),ISNUMBER(SEARCH("자력완벽",K847))),"품(복습불필요)",IF(F847&lt;&gt;"","품","미완료"))))))))))</f>
        <v/>
      </c>
      <c r="K847" s="32" t="inlineStr">
        <is>
          <t>-</t>
        </is>
      </c>
      <c r="L847" s="32" t="n"/>
      <c r="M847" s="28">
        <f>IF(OR(LEFT(J847,2)="보류", LEFT(J847,4)="복습대기", LEFT(J847,3)="복습1", LEFT(J847,3)="복습2"), MAX($M$3:M846)+1, "")</f>
        <v/>
      </c>
      <c r="N847" s="28" t="inlineStr">
        <is>
          <t>W20</t>
        </is>
      </c>
      <c r="O847" s="36" t="n">
        <v>46397</v>
      </c>
      <c r="P847" s="30">
        <f>IF(F847&lt;&gt;"","✅ 완료",IF(O847="","-",IF(TODAY()&gt;O847,"🚨 지연","⏳ 예정")))</f>
        <v/>
      </c>
      <c r="Q847" s="7" t="n"/>
      <c r="R847" s="7" t="n"/>
      <c r="S847" s="7" t="n"/>
      <c r="T847" s="7" t="n"/>
      <c r="U847" s="7" t="n"/>
      <c r="V847" s="7" t="n"/>
      <c r="W847" s="7" t="n"/>
      <c r="X847" s="7" t="n"/>
    </row>
    <row r="848" ht="21.75" customHeight="1" s="209">
      <c r="A848" s="28" t="n">
        <v>845</v>
      </c>
      <c r="B848" s="28" t="inlineStr">
        <is>
          <t>8281</t>
        </is>
      </c>
      <c r="C848" s="30" t="inlineStr">
        <is>
          <t>D6</t>
        </is>
      </c>
      <c r="D848" s="32" t="inlineStr">
        <is>
          <t>공기 청정기</t>
        </is>
      </c>
      <c r="E848" s="28" t="inlineStr">
        <is>
          <t>동적계획법 (DP) / 그래프</t>
        </is>
      </c>
      <c r="F848" s="28" t="n"/>
      <c r="G848" s="28" t="n"/>
      <c r="H848" s="28" t="n"/>
      <c r="I848" s="28" t="n"/>
      <c r="J848" s="54">
        <f>IF(OR(ISNUMBER(SEARCH("보류",K848)),ISNUMBER(SEARCH("미룸",K848)),ISNUMBER(SEARCH("나중에",K848)),ISNUMBER(SEARCH("보류",L848)),ISNUMBER(SEARCH("미룸",L848)),ISNUMBER(SEARCH("나중에",L848))),"보류(나중에 풀기)",IF(AND(F848="",G848="",H848="",I848=""),"미완료",IF(I848&lt;&gt;"","복습3(마스터)",IF(H848&lt;&gt;"","복습2",IF(G848&lt;&gt;"","복습1",IF(ISNUMBER(SEARCH("제미나이",K848)),"복습대기(AI도움)",IF(ISNUMBER(SEARCH("간당간당",K848)),"복습대기(간당간당)",IF(OR(ISNUMBER(SEARCH("아이디어",K848)),ISNUMBER(SEARCH("시간초과",K848)),ISNUMBER(SEARCH("자료구조",K848)),ISNUMBER(SEARCH("경계값",K848)),ISNUMBER(SEARCH("다른 풀이",K848)),ISNUMBER(SEARCH("또풀기",K848))),"복습대기",IF(OR(ISNUMBER(SEARCH("복습필요없음",K848)),ISNUMBER(SEARCH("자력완벽",K848))),"품(복습불필요)",IF(F848&lt;&gt;"","품","미완료"))))))))))</f>
        <v/>
      </c>
      <c r="K848" s="32" t="inlineStr">
        <is>
          <t>-</t>
        </is>
      </c>
      <c r="L848" s="32" t="n"/>
      <c r="M848" s="28">
        <f>IF(OR(LEFT(J848,2)="보류", LEFT(J848,4)="복습대기", LEFT(J848,3)="복습1", LEFT(J848,3)="복습2"), MAX($M$3:M847)+1, "")</f>
        <v/>
      </c>
      <c r="N848" s="28" t="inlineStr">
        <is>
          <t>W20</t>
        </is>
      </c>
      <c r="O848" s="36" t="n">
        <v>46397</v>
      </c>
      <c r="P848" s="30">
        <f>IF(F848&lt;&gt;"","✅ 완료",IF(O848="","-",IF(TODAY()&gt;O848,"🚨 지연","⏳ 예정")))</f>
        <v/>
      </c>
      <c r="Q848" s="7" t="n"/>
      <c r="R848" s="7" t="n"/>
      <c r="S848" s="7" t="n"/>
      <c r="T848" s="7" t="n"/>
      <c r="U848" s="7" t="n"/>
      <c r="V848" s="7" t="n"/>
      <c r="W848" s="7" t="n"/>
      <c r="X848" s="7" t="n"/>
    </row>
    <row r="849" ht="21.75" customHeight="1" s="209">
      <c r="A849" s="28" t="n">
        <v>846</v>
      </c>
      <c r="B849" s="28" t="inlineStr">
        <is>
          <t>8356</t>
        </is>
      </c>
      <c r="C849" s="30" t="inlineStr">
        <is>
          <t>D6</t>
        </is>
      </c>
      <c r="D849" s="32" t="inlineStr">
        <is>
          <t>끝말잇기</t>
        </is>
      </c>
      <c r="E849" s="28" t="inlineStr">
        <is>
          <t>동적계획법 (DP) / 그래프</t>
        </is>
      </c>
      <c r="F849" s="28" t="n"/>
      <c r="G849" s="28" t="n"/>
      <c r="H849" s="28" t="n"/>
      <c r="I849" s="28" t="n"/>
      <c r="J849" s="54">
        <f>IF(OR(ISNUMBER(SEARCH("보류",K849)),ISNUMBER(SEARCH("미룸",K849)),ISNUMBER(SEARCH("나중에",K849)),ISNUMBER(SEARCH("보류",L849)),ISNUMBER(SEARCH("미룸",L849)),ISNUMBER(SEARCH("나중에",L849))),"보류(나중에 풀기)",IF(AND(F849="",G849="",H849="",I849=""),"미완료",IF(I849&lt;&gt;"","복습3(마스터)",IF(H849&lt;&gt;"","복습2",IF(G849&lt;&gt;"","복습1",IF(ISNUMBER(SEARCH("제미나이",K849)),"복습대기(AI도움)",IF(ISNUMBER(SEARCH("간당간당",K849)),"복습대기(간당간당)",IF(OR(ISNUMBER(SEARCH("아이디어",K849)),ISNUMBER(SEARCH("시간초과",K849)),ISNUMBER(SEARCH("자료구조",K849)),ISNUMBER(SEARCH("경계값",K849)),ISNUMBER(SEARCH("다른 풀이",K849)),ISNUMBER(SEARCH("또풀기",K849))),"복습대기",IF(OR(ISNUMBER(SEARCH("복습필요없음",K849)),ISNUMBER(SEARCH("자력완벽",K849))),"품(복습불필요)",IF(F849&lt;&gt;"","품","미완료"))))))))))</f>
        <v/>
      </c>
      <c r="K849" s="32" t="inlineStr">
        <is>
          <t>-</t>
        </is>
      </c>
      <c r="L849" s="32" t="n"/>
      <c r="M849" s="28">
        <f>IF(OR(LEFT(J849,2)="보류", LEFT(J849,4)="복습대기", LEFT(J849,3)="복습1", LEFT(J849,3)="복습2"), MAX($M$3:M848)+1, "")</f>
        <v/>
      </c>
      <c r="N849" s="28" t="inlineStr">
        <is>
          <t>W20</t>
        </is>
      </c>
      <c r="O849" s="36" t="n">
        <v>46397</v>
      </c>
      <c r="P849" s="30">
        <f>IF(F849&lt;&gt;"","✅ 완료",IF(O849="","-",IF(TODAY()&gt;O849,"🚨 지연","⏳ 예정")))</f>
        <v/>
      </c>
      <c r="Q849" s="7" t="n"/>
      <c r="R849" s="7" t="n"/>
      <c r="S849" s="7" t="n"/>
      <c r="T849" s="7" t="n"/>
      <c r="U849" s="7" t="n"/>
      <c r="V849" s="7" t="n"/>
      <c r="W849" s="7" t="n"/>
      <c r="X849" s="7" t="n"/>
    </row>
    <row r="850" ht="21.75" customHeight="1" s="209">
      <c r="A850" s="28" t="n">
        <v>847</v>
      </c>
      <c r="B850" s="28" t="inlineStr">
        <is>
          <t>8384</t>
        </is>
      </c>
      <c r="C850" s="30" t="inlineStr">
        <is>
          <t>D6</t>
        </is>
      </c>
      <c r="D850" s="32" t="inlineStr">
        <is>
          <t>재귀적 의사 난수 생성기</t>
        </is>
      </c>
      <c r="E850" s="28" t="inlineStr">
        <is>
          <t>동적계획법 (DP) / 그래프</t>
        </is>
      </c>
      <c r="F850" s="28" t="n"/>
      <c r="G850" s="28" t="n"/>
      <c r="H850" s="28" t="n"/>
      <c r="I850" s="28" t="n"/>
      <c r="J850" s="54">
        <f>IF(OR(ISNUMBER(SEARCH("보류",K850)),ISNUMBER(SEARCH("미룸",K850)),ISNUMBER(SEARCH("나중에",K850)),ISNUMBER(SEARCH("보류",L850)),ISNUMBER(SEARCH("미룸",L850)),ISNUMBER(SEARCH("나중에",L850))),"보류(나중에 풀기)",IF(AND(F850="",G850="",H850="",I850=""),"미완료",IF(I850&lt;&gt;"","복습3(마스터)",IF(H850&lt;&gt;"","복습2",IF(G850&lt;&gt;"","복습1",IF(ISNUMBER(SEARCH("제미나이",K850)),"복습대기(AI도움)",IF(ISNUMBER(SEARCH("간당간당",K850)),"복습대기(간당간당)",IF(OR(ISNUMBER(SEARCH("아이디어",K850)),ISNUMBER(SEARCH("시간초과",K850)),ISNUMBER(SEARCH("자료구조",K850)),ISNUMBER(SEARCH("경계값",K850)),ISNUMBER(SEARCH("다른 풀이",K850)),ISNUMBER(SEARCH("또풀기",K850))),"복습대기",IF(OR(ISNUMBER(SEARCH("복습필요없음",K850)),ISNUMBER(SEARCH("자력완벽",K850))),"품(복습불필요)",IF(F850&lt;&gt;"","품","미완료"))))))))))</f>
        <v/>
      </c>
      <c r="K850" s="32" t="inlineStr">
        <is>
          <t>-</t>
        </is>
      </c>
      <c r="L850" s="32" t="n"/>
      <c r="M850" s="28">
        <f>IF(OR(LEFT(J850,2)="보류", LEFT(J850,4)="복습대기", LEFT(J850,3)="복습1", LEFT(J850,3)="복습2"), MAX($M$3:M849)+1, "")</f>
        <v/>
      </c>
      <c r="N850" s="28" t="inlineStr">
        <is>
          <t>W20</t>
        </is>
      </c>
      <c r="O850" s="36" t="n">
        <v>46397</v>
      </c>
      <c r="P850" s="30">
        <f>IF(F850&lt;&gt;"","✅ 완료",IF(O850="","-",IF(TODAY()&gt;O850,"🚨 지연","⏳ 예정")))</f>
        <v/>
      </c>
      <c r="Q850" s="7" t="n"/>
      <c r="R850" s="7" t="n"/>
      <c r="S850" s="7" t="n"/>
      <c r="T850" s="7" t="n"/>
      <c r="U850" s="7" t="n"/>
      <c r="V850" s="7" t="n"/>
      <c r="W850" s="7" t="n"/>
      <c r="X850" s="7" t="n"/>
    </row>
    <row r="851" ht="21.75" customHeight="1" s="209">
      <c r="A851" s="28" t="n">
        <v>848</v>
      </c>
      <c r="B851" s="28" t="inlineStr">
        <is>
          <t>8426</t>
        </is>
      </c>
      <c r="C851" s="30" t="inlineStr">
        <is>
          <t>D6</t>
        </is>
      </c>
      <c r="D851" s="32" t="inlineStr">
        <is>
          <t>Right circular shift</t>
        </is>
      </c>
      <c r="E851" s="28" t="inlineStr">
        <is>
          <t>동적계획법 (DP) / 그래프</t>
        </is>
      </c>
      <c r="F851" s="28" t="n"/>
      <c r="G851" s="28" t="n"/>
      <c r="H851" s="28" t="n"/>
      <c r="I851" s="28" t="n"/>
      <c r="J851" s="54">
        <f>IF(OR(ISNUMBER(SEARCH("보류",K851)),ISNUMBER(SEARCH("미룸",K851)),ISNUMBER(SEARCH("나중에",K851)),ISNUMBER(SEARCH("보류",L851)),ISNUMBER(SEARCH("미룸",L851)),ISNUMBER(SEARCH("나중에",L851))),"보류(나중에 풀기)",IF(AND(F851="",G851="",H851="",I851=""),"미완료",IF(I851&lt;&gt;"","복습3(마스터)",IF(H851&lt;&gt;"","복습2",IF(G851&lt;&gt;"","복습1",IF(ISNUMBER(SEARCH("제미나이",K851)),"복습대기(AI도움)",IF(ISNUMBER(SEARCH("간당간당",K851)),"복습대기(간당간당)",IF(OR(ISNUMBER(SEARCH("아이디어",K851)),ISNUMBER(SEARCH("시간초과",K851)),ISNUMBER(SEARCH("자료구조",K851)),ISNUMBER(SEARCH("경계값",K851)),ISNUMBER(SEARCH("다른 풀이",K851)),ISNUMBER(SEARCH("또풀기",K851))),"복습대기",IF(OR(ISNUMBER(SEARCH("복습필요없음",K851)),ISNUMBER(SEARCH("자력완벽",K851))),"품(복습불필요)",IF(F851&lt;&gt;"","품","미완료"))))))))))</f>
        <v/>
      </c>
      <c r="K851" s="32" t="inlineStr">
        <is>
          <t>-</t>
        </is>
      </c>
      <c r="L851" s="32" t="n"/>
      <c r="M851" s="28">
        <f>IF(OR(LEFT(J851,2)="보류", LEFT(J851,4)="복습대기", LEFT(J851,3)="복습1", LEFT(J851,3)="복습2"), MAX($M$3:M850)+1, "")</f>
        <v/>
      </c>
      <c r="N851" s="28" t="inlineStr">
        <is>
          <t>W20</t>
        </is>
      </c>
      <c r="O851" s="36" t="n">
        <v>46397</v>
      </c>
      <c r="P851" s="30">
        <f>IF(F851&lt;&gt;"","✅ 완료",IF(O851="","-",IF(TODAY()&gt;O851,"🚨 지연","⏳ 예정")))</f>
        <v/>
      </c>
      <c r="Q851" s="7" t="n"/>
      <c r="R851" s="7" t="n"/>
      <c r="S851" s="7" t="n"/>
      <c r="T851" s="7" t="n"/>
      <c r="U851" s="7" t="n"/>
      <c r="V851" s="7" t="n"/>
      <c r="W851" s="7" t="n"/>
      <c r="X851" s="7" t="n"/>
    </row>
    <row r="852" ht="21.75" customHeight="1" s="209">
      <c r="A852" s="28" t="n">
        <v>849</v>
      </c>
      <c r="B852" s="28" t="inlineStr">
        <is>
          <t>8503</t>
        </is>
      </c>
      <c r="C852" s="30" t="inlineStr">
        <is>
          <t>D6</t>
        </is>
      </c>
      <c r="D852" s="32" t="inlineStr">
        <is>
          <t>금액 계산</t>
        </is>
      </c>
      <c r="E852" s="28" t="inlineStr">
        <is>
          <t>동적계획법 (DP) / 그래프</t>
        </is>
      </c>
      <c r="F852" s="28" t="n"/>
      <c r="G852" s="28" t="n"/>
      <c r="H852" s="28" t="n"/>
      <c r="I852" s="28" t="n"/>
      <c r="J852" s="54">
        <f>IF(OR(ISNUMBER(SEARCH("보류",K852)),ISNUMBER(SEARCH("미룸",K852)),ISNUMBER(SEARCH("나중에",K852)),ISNUMBER(SEARCH("보류",L852)),ISNUMBER(SEARCH("미룸",L852)),ISNUMBER(SEARCH("나중에",L852))),"보류(나중에 풀기)",IF(AND(F852="",G852="",H852="",I852=""),"미완료",IF(I852&lt;&gt;"","복습3(마스터)",IF(H852&lt;&gt;"","복습2",IF(G852&lt;&gt;"","복습1",IF(ISNUMBER(SEARCH("제미나이",K852)),"복습대기(AI도움)",IF(ISNUMBER(SEARCH("간당간당",K852)),"복습대기(간당간당)",IF(OR(ISNUMBER(SEARCH("아이디어",K852)),ISNUMBER(SEARCH("시간초과",K852)),ISNUMBER(SEARCH("자료구조",K852)),ISNUMBER(SEARCH("경계값",K852)),ISNUMBER(SEARCH("다른 풀이",K852)),ISNUMBER(SEARCH("또풀기",K852))),"복습대기",IF(OR(ISNUMBER(SEARCH("복습필요없음",K852)),ISNUMBER(SEARCH("자력완벽",K852))),"품(복습불필요)",IF(F852&lt;&gt;"","품","미완료"))))))))))</f>
        <v/>
      </c>
      <c r="K852" s="32" t="inlineStr">
        <is>
          <t>-</t>
        </is>
      </c>
      <c r="L852" s="32" t="n"/>
      <c r="M852" s="28">
        <f>IF(OR(LEFT(J852,2)="보류", LEFT(J852,4)="복습대기", LEFT(J852,3)="복습1", LEFT(J852,3)="복습2"), MAX($M$3:M851)+1, "")</f>
        <v/>
      </c>
      <c r="N852" s="28" t="inlineStr">
        <is>
          <t>W20</t>
        </is>
      </c>
      <c r="O852" s="36" t="n">
        <v>46397</v>
      </c>
      <c r="P852" s="30">
        <f>IF(F852&lt;&gt;"","✅ 완료",IF(O852="","-",IF(TODAY()&gt;O852,"🚨 지연","⏳ 예정")))</f>
        <v/>
      </c>
      <c r="Q852" s="7" t="n"/>
      <c r="R852" s="7" t="n"/>
      <c r="S852" s="7" t="n"/>
      <c r="T852" s="7" t="n"/>
      <c r="U852" s="7" t="n"/>
      <c r="V852" s="7" t="n"/>
      <c r="W852" s="7" t="n"/>
      <c r="X852" s="7" t="n"/>
    </row>
    <row r="853" ht="21.75" customHeight="1" s="209">
      <c r="A853" s="28" t="n">
        <v>850</v>
      </c>
      <c r="B853" s="28" t="inlineStr">
        <is>
          <t>8558</t>
        </is>
      </c>
      <c r="C853" s="30" t="inlineStr">
        <is>
          <t>D6</t>
        </is>
      </c>
      <c r="D853" s="32" t="inlineStr">
        <is>
          <t>동현이의 망한 옷가게</t>
        </is>
      </c>
      <c r="E853" s="28" t="inlineStr">
        <is>
          <t>동적계획법 (DP) / 그래프</t>
        </is>
      </c>
      <c r="F853" s="28" t="n"/>
      <c r="G853" s="28" t="n"/>
      <c r="H853" s="28" t="n"/>
      <c r="I853" s="28" t="n"/>
      <c r="J853" s="54">
        <f>IF(OR(ISNUMBER(SEARCH("보류",K853)),ISNUMBER(SEARCH("미룸",K853)),ISNUMBER(SEARCH("나중에",K853)),ISNUMBER(SEARCH("보류",L853)),ISNUMBER(SEARCH("미룸",L853)),ISNUMBER(SEARCH("나중에",L853))),"보류(나중에 풀기)",IF(AND(F853="",G853="",H853="",I853=""),"미완료",IF(I853&lt;&gt;"","복습3(마스터)",IF(H853&lt;&gt;"","복습2",IF(G853&lt;&gt;"","복습1",IF(ISNUMBER(SEARCH("제미나이",K853)),"복습대기(AI도움)",IF(ISNUMBER(SEARCH("간당간당",K853)),"복습대기(간당간당)",IF(OR(ISNUMBER(SEARCH("아이디어",K853)),ISNUMBER(SEARCH("시간초과",K853)),ISNUMBER(SEARCH("자료구조",K853)),ISNUMBER(SEARCH("경계값",K853)),ISNUMBER(SEARCH("다른 풀이",K853)),ISNUMBER(SEARCH("또풀기",K853))),"복습대기",IF(OR(ISNUMBER(SEARCH("복습필요없음",K853)),ISNUMBER(SEARCH("자력완벽",K853))),"품(복습불필요)",IF(F853&lt;&gt;"","품","미완료"))))))))))</f>
        <v/>
      </c>
      <c r="K853" s="32" t="inlineStr">
        <is>
          <t>-</t>
        </is>
      </c>
      <c r="L853" s="32" t="n"/>
      <c r="M853" s="28">
        <f>IF(OR(LEFT(J853,2)="보류", LEFT(J853,4)="복습대기", LEFT(J853,3)="복습1", LEFT(J853,3)="복습2"), MAX($M$3:M852)+1, "")</f>
        <v/>
      </c>
      <c r="N853" s="28" t="inlineStr">
        <is>
          <t>W21</t>
        </is>
      </c>
      <c r="O853" s="36" t="n">
        <v>46398</v>
      </c>
      <c r="P853" s="30">
        <f>IF(F853&lt;&gt;"","✅ 완료",IF(O853="","-",IF(TODAY()&gt;O853,"🚨 지연","⏳ 예정")))</f>
        <v/>
      </c>
      <c r="Q853" s="7" t="n"/>
      <c r="R853" s="7" t="n"/>
      <c r="S853" s="7" t="n"/>
      <c r="T853" s="7" t="n"/>
      <c r="U853" s="7" t="n"/>
      <c r="V853" s="7" t="n"/>
      <c r="W853" s="7" t="n"/>
      <c r="X853" s="7" t="n"/>
    </row>
    <row r="854" ht="21.75" customHeight="1" s="209">
      <c r="A854" s="28" t="n">
        <v>851</v>
      </c>
      <c r="B854" s="28" t="inlineStr">
        <is>
          <t>8569</t>
        </is>
      </c>
      <c r="C854" s="30" t="inlineStr">
        <is>
          <t>D6</t>
        </is>
      </c>
      <c r="D854" s="32" t="inlineStr">
        <is>
          <t>개미 관찰</t>
        </is>
      </c>
      <c r="E854" s="28" t="inlineStr">
        <is>
          <t>동적계획법 (DP) / 그래프</t>
        </is>
      </c>
      <c r="F854" s="28" t="n"/>
      <c r="G854" s="28" t="n"/>
      <c r="H854" s="28" t="n"/>
      <c r="I854" s="28" t="n"/>
      <c r="J854" s="54">
        <f>IF(OR(ISNUMBER(SEARCH("보류",K854)),ISNUMBER(SEARCH("미룸",K854)),ISNUMBER(SEARCH("나중에",K854)),ISNUMBER(SEARCH("보류",L854)),ISNUMBER(SEARCH("미룸",L854)),ISNUMBER(SEARCH("나중에",L854))),"보류(나중에 풀기)",IF(AND(F854="",G854="",H854="",I854=""),"미완료",IF(I854&lt;&gt;"","복습3(마스터)",IF(H854&lt;&gt;"","복습2",IF(G854&lt;&gt;"","복습1",IF(ISNUMBER(SEARCH("제미나이",K854)),"복습대기(AI도움)",IF(ISNUMBER(SEARCH("간당간당",K854)),"복습대기(간당간당)",IF(OR(ISNUMBER(SEARCH("아이디어",K854)),ISNUMBER(SEARCH("시간초과",K854)),ISNUMBER(SEARCH("자료구조",K854)),ISNUMBER(SEARCH("경계값",K854)),ISNUMBER(SEARCH("다른 풀이",K854)),ISNUMBER(SEARCH("또풀기",K854))),"복습대기",IF(OR(ISNUMBER(SEARCH("복습필요없음",K854)),ISNUMBER(SEARCH("자력완벽",K854))),"품(복습불필요)",IF(F854&lt;&gt;"","품","미완료"))))))))))</f>
        <v/>
      </c>
      <c r="K854" s="32" t="inlineStr">
        <is>
          <t>-</t>
        </is>
      </c>
      <c r="L854" s="32" t="n"/>
      <c r="M854" s="28">
        <f>IF(OR(LEFT(J854,2)="보류", LEFT(J854,4)="복습대기", LEFT(J854,3)="복습1", LEFT(J854,3)="복습2"), MAX($M$3:M853)+1, "")</f>
        <v/>
      </c>
      <c r="N854" s="28" t="inlineStr">
        <is>
          <t>W21</t>
        </is>
      </c>
      <c r="O854" s="36" t="n">
        <v>46398</v>
      </c>
      <c r="P854" s="30">
        <f>IF(F854&lt;&gt;"","✅ 완료",IF(O854="","-",IF(TODAY()&gt;O854,"🚨 지연","⏳ 예정")))</f>
        <v/>
      </c>
      <c r="Q854" s="7" t="n"/>
      <c r="R854" s="7" t="n"/>
      <c r="S854" s="7" t="n"/>
      <c r="T854" s="7" t="n"/>
      <c r="U854" s="7" t="n"/>
      <c r="V854" s="7" t="n"/>
      <c r="W854" s="7" t="n"/>
      <c r="X854" s="7" t="n"/>
    </row>
    <row r="855" ht="21.75" customHeight="1" s="209">
      <c r="A855" s="28" t="n">
        <v>852</v>
      </c>
      <c r="B855" s="28" t="inlineStr">
        <is>
          <t>8661</t>
        </is>
      </c>
      <c r="C855" s="30" t="inlineStr">
        <is>
          <t>D6</t>
        </is>
      </c>
      <c r="D855" s="32" t="inlineStr">
        <is>
          <t>볼록 최다각형</t>
        </is>
      </c>
      <c r="E855" s="28" t="inlineStr">
        <is>
          <t>동적계획법 (DP) / 그래프</t>
        </is>
      </c>
      <c r="F855" s="28" t="n"/>
      <c r="G855" s="28" t="n"/>
      <c r="H855" s="28" t="n"/>
      <c r="I855" s="28" t="n"/>
      <c r="J855" s="54">
        <f>IF(OR(ISNUMBER(SEARCH("보류",K855)),ISNUMBER(SEARCH("미룸",K855)),ISNUMBER(SEARCH("나중에",K855)),ISNUMBER(SEARCH("보류",L855)),ISNUMBER(SEARCH("미룸",L855)),ISNUMBER(SEARCH("나중에",L855))),"보류(나중에 풀기)",IF(AND(F855="",G855="",H855="",I855=""),"미완료",IF(I855&lt;&gt;"","복습3(마스터)",IF(H855&lt;&gt;"","복습2",IF(G855&lt;&gt;"","복습1",IF(ISNUMBER(SEARCH("제미나이",K855)),"복습대기(AI도움)",IF(ISNUMBER(SEARCH("간당간당",K855)),"복습대기(간당간당)",IF(OR(ISNUMBER(SEARCH("아이디어",K855)),ISNUMBER(SEARCH("시간초과",K855)),ISNUMBER(SEARCH("자료구조",K855)),ISNUMBER(SEARCH("경계값",K855)),ISNUMBER(SEARCH("다른 풀이",K855)),ISNUMBER(SEARCH("또풀기",K855))),"복습대기",IF(OR(ISNUMBER(SEARCH("복습필요없음",K855)),ISNUMBER(SEARCH("자력완벽",K855))),"품(복습불필요)",IF(F855&lt;&gt;"","품","미완료"))))))))))</f>
        <v/>
      </c>
      <c r="K855" s="32" t="inlineStr">
        <is>
          <t>-</t>
        </is>
      </c>
      <c r="L855" s="32" t="n"/>
      <c r="M855" s="28">
        <f>IF(OR(LEFT(J855,2)="보류", LEFT(J855,4)="복습대기", LEFT(J855,3)="복습1", LEFT(J855,3)="복습2"), MAX($M$3:M854)+1, "")</f>
        <v/>
      </c>
      <c r="N855" s="28" t="inlineStr">
        <is>
          <t>W21</t>
        </is>
      </c>
      <c r="O855" s="36" t="n">
        <v>46398</v>
      </c>
      <c r="P855" s="30">
        <f>IF(F855&lt;&gt;"","✅ 완료",IF(O855="","-",IF(TODAY()&gt;O855,"🚨 지연","⏳ 예정")))</f>
        <v/>
      </c>
      <c r="Q855" s="7" t="n"/>
      <c r="R855" s="7" t="n"/>
      <c r="S855" s="7" t="n"/>
      <c r="T855" s="7" t="n"/>
      <c r="U855" s="7" t="n"/>
      <c r="V855" s="7" t="n"/>
      <c r="W855" s="7" t="n"/>
      <c r="X855" s="7" t="n"/>
    </row>
    <row r="856" ht="21.75" customHeight="1" s="209">
      <c r="A856" s="28" t="n">
        <v>853</v>
      </c>
      <c r="B856" s="28" t="inlineStr">
        <is>
          <t>8695</t>
        </is>
      </c>
      <c r="C856" s="30" t="inlineStr">
        <is>
          <t>D6</t>
        </is>
      </c>
      <c r="D856" s="32" t="inlineStr">
        <is>
          <t>코딩 토너먼트2</t>
        </is>
      </c>
      <c r="E856" s="28" t="inlineStr">
        <is>
          <t>동적계획법 (DP) / 그래프</t>
        </is>
      </c>
      <c r="F856" s="28" t="n"/>
      <c r="G856" s="28" t="n"/>
      <c r="H856" s="28" t="n"/>
      <c r="I856" s="28" t="n"/>
      <c r="J856" s="54">
        <f>IF(OR(ISNUMBER(SEARCH("보류",K856)),ISNUMBER(SEARCH("미룸",K856)),ISNUMBER(SEARCH("나중에",K856)),ISNUMBER(SEARCH("보류",L856)),ISNUMBER(SEARCH("미룸",L856)),ISNUMBER(SEARCH("나중에",L856))),"보류(나중에 풀기)",IF(AND(F856="",G856="",H856="",I856=""),"미완료",IF(I856&lt;&gt;"","복습3(마스터)",IF(H856&lt;&gt;"","복습2",IF(G856&lt;&gt;"","복습1",IF(ISNUMBER(SEARCH("제미나이",K856)),"복습대기(AI도움)",IF(ISNUMBER(SEARCH("간당간당",K856)),"복습대기(간당간당)",IF(OR(ISNUMBER(SEARCH("아이디어",K856)),ISNUMBER(SEARCH("시간초과",K856)),ISNUMBER(SEARCH("자료구조",K856)),ISNUMBER(SEARCH("경계값",K856)),ISNUMBER(SEARCH("다른 풀이",K856)),ISNUMBER(SEARCH("또풀기",K856))),"복습대기",IF(OR(ISNUMBER(SEARCH("복습필요없음",K856)),ISNUMBER(SEARCH("자력완벽",K856))),"품(복습불필요)",IF(F856&lt;&gt;"","품","미완료"))))))))))</f>
        <v/>
      </c>
      <c r="K856" s="32" t="inlineStr">
        <is>
          <t>-</t>
        </is>
      </c>
      <c r="L856" s="32" t="n"/>
      <c r="M856" s="28">
        <f>IF(OR(LEFT(J856,2)="보류", LEFT(J856,4)="복습대기", LEFT(J856,3)="복습1", LEFT(J856,3)="복습2"), MAX($M$3:M855)+1, "")</f>
        <v/>
      </c>
      <c r="N856" s="28" t="inlineStr">
        <is>
          <t>W21</t>
        </is>
      </c>
      <c r="O856" s="36" t="n">
        <v>46398</v>
      </c>
      <c r="P856" s="30">
        <f>IF(F856&lt;&gt;"","✅ 완료",IF(O856="","-",IF(TODAY()&gt;O856,"🚨 지연","⏳ 예정")))</f>
        <v/>
      </c>
      <c r="Q856" s="7" t="n"/>
      <c r="R856" s="7" t="n"/>
      <c r="S856" s="7" t="n"/>
      <c r="T856" s="7" t="n"/>
      <c r="U856" s="7" t="n"/>
      <c r="V856" s="7" t="n"/>
      <c r="W856" s="7" t="n"/>
      <c r="X856" s="7" t="n"/>
    </row>
    <row r="857" ht="21.75" customHeight="1" s="209">
      <c r="A857" s="28" t="n">
        <v>854</v>
      </c>
      <c r="B857" s="28" t="inlineStr">
        <is>
          <t>8745</t>
        </is>
      </c>
      <c r="C857" s="30" t="inlineStr">
        <is>
          <t>D6</t>
        </is>
      </c>
      <c r="D857" s="32" t="inlineStr">
        <is>
          <t>분할 게임</t>
        </is>
      </c>
      <c r="E857" s="28" t="inlineStr">
        <is>
          <t>시뮬레이션 / 구현</t>
        </is>
      </c>
      <c r="F857" s="28" t="n"/>
      <c r="G857" s="28" t="n"/>
      <c r="H857" s="28" t="n"/>
      <c r="I857" s="28" t="n"/>
      <c r="J857" s="54">
        <f>IF(OR(ISNUMBER(SEARCH("보류",K857)),ISNUMBER(SEARCH("미룸",K857)),ISNUMBER(SEARCH("나중에",K857)),ISNUMBER(SEARCH("보류",L857)),ISNUMBER(SEARCH("미룸",L857)),ISNUMBER(SEARCH("나중에",L857))),"보류(나중에 풀기)",IF(AND(F857="",G857="",H857="",I857=""),"미완료",IF(I857&lt;&gt;"","복습3(마스터)",IF(H857&lt;&gt;"","복습2",IF(G857&lt;&gt;"","복습1",IF(ISNUMBER(SEARCH("제미나이",K857)),"복습대기(AI도움)",IF(ISNUMBER(SEARCH("간당간당",K857)),"복습대기(간당간당)",IF(OR(ISNUMBER(SEARCH("아이디어",K857)),ISNUMBER(SEARCH("시간초과",K857)),ISNUMBER(SEARCH("자료구조",K857)),ISNUMBER(SEARCH("경계값",K857)),ISNUMBER(SEARCH("다른 풀이",K857)),ISNUMBER(SEARCH("또풀기",K857))),"복습대기",IF(OR(ISNUMBER(SEARCH("복습필요없음",K857)),ISNUMBER(SEARCH("자력완벽",K857))),"품(복습불필요)",IF(F857&lt;&gt;"","품","미완료"))))))))))</f>
        <v/>
      </c>
      <c r="K857" s="32" t="inlineStr">
        <is>
          <t>-</t>
        </is>
      </c>
      <c r="L857" s="32" t="n"/>
      <c r="M857" s="28">
        <f>IF(OR(LEFT(J857,2)="보류", LEFT(J857,4)="복습대기", LEFT(J857,3)="복습1", LEFT(J857,3)="복습2"), MAX($M$3:M856)+1, "")</f>
        <v/>
      </c>
      <c r="N857" s="28" t="inlineStr">
        <is>
          <t>W21</t>
        </is>
      </c>
      <c r="O857" s="36" t="n">
        <v>46398</v>
      </c>
      <c r="P857" s="30">
        <f>IF(F857&lt;&gt;"","✅ 완료",IF(O857="","-",IF(TODAY()&gt;O857,"🚨 지연","⏳ 예정")))</f>
        <v/>
      </c>
      <c r="Q857" s="7" t="n"/>
      <c r="R857" s="7" t="n"/>
      <c r="S857" s="7" t="n"/>
      <c r="T857" s="7" t="n"/>
      <c r="U857" s="7" t="n"/>
      <c r="V857" s="7" t="n"/>
      <c r="W857" s="7" t="n"/>
      <c r="X857" s="7" t="n"/>
    </row>
    <row r="858" ht="21.75" customHeight="1" s="209">
      <c r="A858" s="28" t="n">
        <v>855</v>
      </c>
      <c r="B858" s="28" t="inlineStr">
        <is>
          <t>8774</t>
        </is>
      </c>
      <c r="C858" s="30" t="inlineStr">
        <is>
          <t>D6</t>
        </is>
      </c>
      <c r="D858" s="32" t="inlineStr">
        <is>
          <t>피보나치 수 사랑 1</t>
        </is>
      </c>
      <c r="E858" s="28" t="inlineStr">
        <is>
          <t>동적계획법 (DP)</t>
        </is>
      </c>
      <c r="F858" s="28" t="n"/>
      <c r="G858" s="28" t="n"/>
      <c r="H858" s="28" t="n"/>
      <c r="I858" s="28" t="n"/>
      <c r="J858" s="54">
        <f>IF(OR(ISNUMBER(SEARCH("보류",K858)),ISNUMBER(SEARCH("미룸",K858)),ISNUMBER(SEARCH("나중에",K858)),ISNUMBER(SEARCH("보류",L858)),ISNUMBER(SEARCH("미룸",L858)),ISNUMBER(SEARCH("나중에",L858))),"보류(나중에 풀기)",IF(AND(F858="",G858="",H858="",I858=""),"미완료",IF(I858&lt;&gt;"","복습3(마스터)",IF(H858&lt;&gt;"","복습2",IF(G858&lt;&gt;"","복습1",IF(ISNUMBER(SEARCH("제미나이",K858)),"복습대기(AI도움)",IF(ISNUMBER(SEARCH("간당간당",K858)),"복습대기(간당간당)",IF(OR(ISNUMBER(SEARCH("아이디어",K858)),ISNUMBER(SEARCH("시간초과",K858)),ISNUMBER(SEARCH("자료구조",K858)),ISNUMBER(SEARCH("경계값",K858)),ISNUMBER(SEARCH("다른 풀이",K858)),ISNUMBER(SEARCH("또풀기",K858))),"복습대기",IF(OR(ISNUMBER(SEARCH("복습필요없음",K858)),ISNUMBER(SEARCH("자력완벽",K858))),"품(복습불필요)",IF(F858&lt;&gt;"","품","미완료"))))))))))</f>
        <v/>
      </c>
      <c r="K858" s="32" t="inlineStr">
        <is>
          <t>-</t>
        </is>
      </c>
      <c r="L858" s="32" t="n"/>
      <c r="M858" s="28">
        <f>IF(OR(LEFT(J858,2)="보류", LEFT(J858,4)="복습대기", LEFT(J858,3)="복습1", LEFT(J858,3)="복습2"), MAX($M$3:M857)+1, "")</f>
        <v/>
      </c>
      <c r="N858" s="28" t="inlineStr">
        <is>
          <t>W21</t>
        </is>
      </c>
      <c r="O858" s="36" t="n">
        <v>46398</v>
      </c>
      <c r="P858" s="30">
        <f>IF(F858&lt;&gt;"","✅ 완료",IF(O858="","-",IF(TODAY()&gt;O858,"🚨 지연","⏳ 예정")))</f>
        <v/>
      </c>
      <c r="Q858" s="7" t="n"/>
      <c r="R858" s="7" t="n"/>
      <c r="S858" s="7" t="n"/>
      <c r="T858" s="7" t="n"/>
      <c r="U858" s="7" t="n"/>
      <c r="V858" s="7" t="n"/>
      <c r="W858" s="7" t="n"/>
      <c r="X858" s="7" t="n"/>
    </row>
    <row r="859" ht="21.75" customHeight="1" s="209">
      <c r="A859" s="28" t="n">
        <v>856</v>
      </c>
      <c r="B859" s="28" t="inlineStr">
        <is>
          <t>8824</t>
        </is>
      </c>
      <c r="C859" s="30" t="inlineStr">
        <is>
          <t>D6</t>
        </is>
      </c>
      <c r="D859" s="32" t="inlineStr">
        <is>
          <t>배수의 최소 숫자 합</t>
        </is>
      </c>
      <c r="E859" s="28" t="inlineStr">
        <is>
          <t>수학 / 정수론</t>
        </is>
      </c>
      <c r="F859" s="28" t="n"/>
      <c r="G859" s="28" t="n"/>
      <c r="H859" s="28" t="n"/>
      <c r="I859" s="28" t="n"/>
      <c r="J859" s="54">
        <f>IF(OR(ISNUMBER(SEARCH("보류",K859)),ISNUMBER(SEARCH("미룸",K859)),ISNUMBER(SEARCH("나중에",K859)),ISNUMBER(SEARCH("보류",L859)),ISNUMBER(SEARCH("미룸",L859)),ISNUMBER(SEARCH("나중에",L859))),"보류(나중에 풀기)",IF(AND(F859="",G859="",H859="",I859=""),"미완료",IF(I859&lt;&gt;"","복습3(마스터)",IF(H859&lt;&gt;"","복습2",IF(G859&lt;&gt;"","복습1",IF(ISNUMBER(SEARCH("제미나이",K859)),"복습대기(AI도움)",IF(ISNUMBER(SEARCH("간당간당",K859)),"복습대기(간당간당)",IF(OR(ISNUMBER(SEARCH("아이디어",K859)),ISNUMBER(SEARCH("시간초과",K859)),ISNUMBER(SEARCH("자료구조",K859)),ISNUMBER(SEARCH("경계값",K859)),ISNUMBER(SEARCH("다른 풀이",K859)),ISNUMBER(SEARCH("또풀기",K859))),"복습대기",IF(OR(ISNUMBER(SEARCH("복습필요없음",K859)),ISNUMBER(SEARCH("자력완벽",K859))),"품(복습불필요)",IF(F859&lt;&gt;"","품","미완료"))))))))))</f>
        <v/>
      </c>
      <c r="K859" s="32" t="inlineStr">
        <is>
          <t>-</t>
        </is>
      </c>
      <c r="L859" s="32" t="n"/>
      <c r="M859" s="28">
        <f>IF(OR(LEFT(J859,2)="보류", LEFT(J859,4)="복습대기", LEFT(J859,3)="복습1", LEFT(J859,3)="복습2"), MAX($M$3:M858)+1, "")</f>
        <v/>
      </c>
      <c r="N859" s="28" t="inlineStr">
        <is>
          <t>W21</t>
        </is>
      </c>
      <c r="O859" s="36" t="n">
        <v>46398</v>
      </c>
      <c r="P859" s="30">
        <f>IF(F859&lt;&gt;"","✅ 완료",IF(O859="","-",IF(TODAY()&gt;O859,"🚨 지연","⏳ 예정")))</f>
        <v/>
      </c>
      <c r="Q859" s="7" t="n"/>
      <c r="R859" s="7" t="n"/>
      <c r="S859" s="7" t="n"/>
      <c r="T859" s="7" t="n"/>
      <c r="U859" s="7" t="n"/>
      <c r="V859" s="7" t="n"/>
      <c r="W859" s="7" t="n"/>
      <c r="X859" s="7" t="n"/>
    </row>
    <row r="860" ht="21.75" customHeight="1" s="209">
      <c r="A860" s="28" t="n">
        <v>857</v>
      </c>
      <c r="B860" s="28" t="inlineStr">
        <is>
          <t>8902</t>
        </is>
      </c>
      <c r="C860" s="30" t="inlineStr">
        <is>
          <t>D6</t>
        </is>
      </c>
      <c r="D860" s="32" t="inlineStr">
        <is>
          <t>보석 도둑</t>
        </is>
      </c>
      <c r="E860" s="28" t="inlineStr">
        <is>
          <t>동적계획법 (DP) / 그래프</t>
        </is>
      </c>
      <c r="F860" s="28" t="n"/>
      <c r="G860" s="28" t="n"/>
      <c r="H860" s="28" t="n"/>
      <c r="I860" s="28" t="n"/>
      <c r="J860" s="54">
        <f>IF(OR(ISNUMBER(SEARCH("보류",K860)),ISNUMBER(SEARCH("미룸",K860)),ISNUMBER(SEARCH("나중에",K860)),ISNUMBER(SEARCH("보류",L860)),ISNUMBER(SEARCH("미룸",L860)),ISNUMBER(SEARCH("나중에",L860))),"보류(나중에 풀기)",IF(AND(F860="",G860="",H860="",I860=""),"미완료",IF(I860&lt;&gt;"","복습3(마스터)",IF(H860&lt;&gt;"","복습2",IF(G860&lt;&gt;"","복습1",IF(ISNUMBER(SEARCH("제미나이",K860)),"복습대기(AI도움)",IF(ISNUMBER(SEARCH("간당간당",K860)),"복습대기(간당간당)",IF(OR(ISNUMBER(SEARCH("아이디어",K860)),ISNUMBER(SEARCH("시간초과",K860)),ISNUMBER(SEARCH("자료구조",K860)),ISNUMBER(SEARCH("경계값",K860)),ISNUMBER(SEARCH("다른 풀이",K860)),ISNUMBER(SEARCH("또풀기",K860))),"복습대기",IF(OR(ISNUMBER(SEARCH("복습필요없음",K860)),ISNUMBER(SEARCH("자력완벽",K860))),"품(복습불필요)",IF(F860&lt;&gt;"","품","미완료"))))))))))</f>
        <v/>
      </c>
      <c r="K860" s="32" t="inlineStr">
        <is>
          <t>-</t>
        </is>
      </c>
      <c r="L860" s="32" t="n"/>
      <c r="M860" s="28">
        <f>IF(OR(LEFT(J860,2)="보류", LEFT(J860,4)="복습대기", LEFT(J860,3)="복습1", LEFT(J860,3)="복습2"), MAX($M$3:M859)+1, "")</f>
        <v/>
      </c>
      <c r="N860" s="28" t="inlineStr">
        <is>
          <t>W21</t>
        </is>
      </c>
      <c r="O860" s="36" t="n">
        <v>46399</v>
      </c>
      <c r="P860" s="30">
        <f>IF(F860&lt;&gt;"","✅ 완료",IF(O860="","-",IF(TODAY()&gt;O860,"🚨 지연","⏳ 예정")))</f>
        <v/>
      </c>
      <c r="Q860" s="7" t="n"/>
      <c r="R860" s="7" t="n"/>
      <c r="S860" s="7" t="n"/>
      <c r="T860" s="7" t="n"/>
      <c r="U860" s="7" t="n"/>
      <c r="V860" s="7" t="n"/>
      <c r="W860" s="7" t="n"/>
      <c r="X860" s="7" t="n"/>
    </row>
    <row r="861" ht="21.75" customHeight="1" s="209">
      <c r="A861" s="28" t="n">
        <v>858</v>
      </c>
      <c r="B861" s="28" t="inlineStr">
        <is>
          <t>8940</t>
        </is>
      </c>
      <c r="C861" s="30" t="inlineStr">
        <is>
          <t>D6</t>
        </is>
      </c>
      <c r="D861" s="32" t="inlineStr">
        <is>
          <t>대장장이</t>
        </is>
      </c>
      <c r="E861" s="28" t="inlineStr">
        <is>
          <t>동적계획법 (DP) / 그래프</t>
        </is>
      </c>
      <c r="F861" s="28" t="n"/>
      <c r="G861" s="28" t="n"/>
      <c r="H861" s="28" t="n"/>
      <c r="I861" s="28" t="n"/>
      <c r="J861" s="54">
        <f>IF(OR(ISNUMBER(SEARCH("보류",K861)),ISNUMBER(SEARCH("미룸",K861)),ISNUMBER(SEARCH("나중에",K861)),ISNUMBER(SEARCH("보류",L861)),ISNUMBER(SEARCH("미룸",L861)),ISNUMBER(SEARCH("나중에",L861))),"보류(나중에 풀기)",IF(AND(F861="",G861="",H861="",I861=""),"미완료",IF(I861&lt;&gt;"","복습3(마스터)",IF(H861&lt;&gt;"","복습2",IF(G861&lt;&gt;"","복습1",IF(ISNUMBER(SEARCH("제미나이",K861)),"복습대기(AI도움)",IF(ISNUMBER(SEARCH("간당간당",K861)),"복습대기(간당간당)",IF(OR(ISNUMBER(SEARCH("아이디어",K861)),ISNUMBER(SEARCH("시간초과",K861)),ISNUMBER(SEARCH("자료구조",K861)),ISNUMBER(SEARCH("경계값",K861)),ISNUMBER(SEARCH("다른 풀이",K861)),ISNUMBER(SEARCH("또풀기",K861))),"복습대기",IF(OR(ISNUMBER(SEARCH("복습필요없음",K861)),ISNUMBER(SEARCH("자력완벽",K861))),"품(복습불필요)",IF(F861&lt;&gt;"","품","미완료"))))))))))</f>
        <v/>
      </c>
      <c r="K861" s="32" t="inlineStr">
        <is>
          <t>-</t>
        </is>
      </c>
      <c r="L861" s="32" t="n"/>
      <c r="M861" s="28">
        <f>IF(OR(LEFT(J861,2)="보류", LEFT(J861,4)="복습대기", LEFT(J861,3)="복습1", LEFT(J861,3)="복습2"), MAX($M$3:M860)+1, "")</f>
        <v/>
      </c>
      <c r="N861" s="28" t="inlineStr">
        <is>
          <t>W21</t>
        </is>
      </c>
      <c r="O861" s="36" t="n">
        <v>46399</v>
      </c>
      <c r="P861" s="30">
        <f>IF(F861&lt;&gt;"","✅ 완료",IF(O861="","-",IF(TODAY()&gt;O861,"🚨 지연","⏳ 예정")))</f>
        <v/>
      </c>
      <c r="Q861" s="7" t="n"/>
      <c r="R861" s="7" t="n"/>
      <c r="S861" s="7" t="n"/>
      <c r="T861" s="7" t="n"/>
      <c r="U861" s="7" t="n"/>
      <c r="V861" s="7" t="n"/>
      <c r="W861" s="7" t="n"/>
      <c r="X861" s="7" t="n"/>
    </row>
    <row r="862" ht="21.75" customHeight="1" s="209">
      <c r="A862" s="28" t="n">
        <v>859</v>
      </c>
      <c r="B862" s="28" t="inlineStr">
        <is>
          <t>8999</t>
        </is>
      </c>
      <c r="C862" s="30" t="inlineStr">
        <is>
          <t>D6</t>
        </is>
      </c>
      <c r="D862" s="32" t="inlineStr">
        <is>
          <t>스크린 양궁</t>
        </is>
      </c>
      <c r="E862" s="28" t="inlineStr">
        <is>
          <t>동적계획법 (DP) / 그래프</t>
        </is>
      </c>
      <c r="F862" s="28" t="n"/>
      <c r="G862" s="28" t="n"/>
      <c r="H862" s="28" t="n"/>
      <c r="I862" s="28" t="n"/>
      <c r="J862" s="54">
        <f>IF(OR(ISNUMBER(SEARCH("보류",K862)),ISNUMBER(SEARCH("미룸",K862)),ISNUMBER(SEARCH("나중에",K862)),ISNUMBER(SEARCH("보류",L862)),ISNUMBER(SEARCH("미룸",L862)),ISNUMBER(SEARCH("나중에",L862))),"보류(나중에 풀기)",IF(AND(F862="",G862="",H862="",I862=""),"미완료",IF(I862&lt;&gt;"","복습3(마스터)",IF(H862&lt;&gt;"","복습2",IF(G862&lt;&gt;"","복습1",IF(ISNUMBER(SEARCH("제미나이",K862)),"복습대기(AI도움)",IF(ISNUMBER(SEARCH("간당간당",K862)),"복습대기(간당간당)",IF(OR(ISNUMBER(SEARCH("아이디어",K862)),ISNUMBER(SEARCH("시간초과",K862)),ISNUMBER(SEARCH("자료구조",K862)),ISNUMBER(SEARCH("경계값",K862)),ISNUMBER(SEARCH("다른 풀이",K862)),ISNUMBER(SEARCH("또풀기",K862))),"복습대기",IF(OR(ISNUMBER(SEARCH("복습필요없음",K862)),ISNUMBER(SEARCH("자력완벽",K862))),"품(복습불필요)",IF(F862&lt;&gt;"","품","미완료"))))))))))</f>
        <v/>
      </c>
      <c r="K862" s="32" t="inlineStr">
        <is>
          <t>-</t>
        </is>
      </c>
      <c r="L862" s="32" t="n"/>
      <c r="M862" s="28">
        <f>IF(OR(LEFT(J862,2)="보류", LEFT(J862,4)="복습대기", LEFT(J862,3)="복습1", LEFT(J862,3)="복습2"), MAX($M$3:M861)+1, "")</f>
        <v/>
      </c>
      <c r="N862" s="28" t="inlineStr">
        <is>
          <t>W21</t>
        </is>
      </c>
      <c r="O862" s="36" t="n">
        <v>46399</v>
      </c>
      <c r="P862" s="30">
        <f>IF(F862&lt;&gt;"","✅ 완료",IF(O862="","-",IF(TODAY()&gt;O862,"🚨 지연","⏳ 예정")))</f>
        <v/>
      </c>
      <c r="Q862" s="7" t="n"/>
      <c r="R862" s="7" t="n"/>
      <c r="S862" s="7" t="n"/>
      <c r="T862" s="7" t="n"/>
      <c r="U862" s="7" t="n"/>
      <c r="V862" s="7" t="n"/>
      <c r="W862" s="7" t="n"/>
      <c r="X862" s="7" t="n"/>
    </row>
    <row r="863" ht="21.75" customHeight="1" s="209">
      <c r="A863" s="28" t="n">
        <v>860</v>
      </c>
      <c r="B863" s="28" t="inlineStr">
        <is>
          <t>9001</t>
        </is>
      </c>
      <c r="C863" s="30" t="inlineStr">
        <is>
          <t>D6</t>
        </is>
      </c>
      <c r="D863" s="32" t="inlineStr">
        <is>
          <t>기지국 설치</t>
        </is>
      </c>
      <c r="E863" s="28" t="inlineStr">
        <is>
          <t>동적계획법 (DP) / 그래프</t>
        </is>
      </c>
      <c r="F863" s="28" t="n"/>
      <c r="G863" s="28" t="n"/>
      <c r="H863" s="28" t="n"/>
      <c r="I863" s="28" t="n"/>
      <c r="J863" s="54">
        <f>IF(OR(ISNUMBER(SEARCH("보류",K863)),ISNUMBER(SEARCH("미룸",K863)),ISNUMBER(SEARCH("나중에",K863)),ISNUMBER(SEARCH("보류",L863)),ISNUMBER(SEARCH("미룸",L863)),ISNUMBER(SEARCH("나중에",L863))),"보류(나중에 풀기)",IF(AND(F863="",G863="",H863="",I863=""),"미완료",IF(I863&lt;&gt;"","복습3(마스터)",IF(H863&lt;&gt;"","복습2",IF(G863&lt;&gt;"","복습1",IF(ISNUMBER(SEARCH("제미나이",K863)),"복습대기(AI도움)",IF(ISNUMBER(SEARCH("간당간당",K863)),"복습대기(간당간당)",IF(OR(ISNUMBER(SEARCH("아이디어",K863)),ISNUMBER(SEARCH("시간초과",K863)),ISNUMBER(SEARCH("자료구조",K863)),ISNUMBER(SEARCH("경계값",K863)),ISNUMBER(SEARCH("다른 풀이",K863)),ISNUMBER(SEARCH("또풀기",K863))),"복습대기",IF(OR(ISNUMBER(SEARCH("복습필요없음",K863)),ISNUMBER(SEARCH("자력완벽",K863))),"품(복습불필요)",IF(F863&lt;&gt;"","품","미완료"))))))))))</f>
        <v/>
      </c>
      <c r="K863" s="32" t="inlineStr">
        <is>
          <t>-</t>
        </is>
      </c>
      <c r="L863" s="32" t="n"/>
      <c r="M863" s="28">
        <f>IF(OR(LEFT(J863,2)="보류", LEFT(J863,4)="복습대기", LEFT(J863,3)="복습1", LEFT(J863,3)="복습2"), MAX($M$3:M862)+1, "")</f>
        <v/>
      </c>
      <c r="N863" s="28" t="inlineStr">
        <is>
          <t>W21</t>
        </is>
      </c>
      <c r="O863" s="36" t="n">
        <v>46399</v>
      </c>
      <c r="P863" s="30">
        <f>IF(F863&lt;&gt;"","✅ 완료",IF(O863="","-",IF(TODAY()&gt;O863,"🚨 지연","⏳ 예정")))</f>
        <v/>
      </c>
      <c r="Q863" s="7" t="n"/>
      <c r="R863" s="7" t="n"/>
      <c r="S863" s="7" t="n"/>
      <c r="T863" s="7" t="n"/>
      <c r="U863" s="7" t="n"/>
      <c r="V863" s="7" t="n"/>
      <c r="W863" s="7" t="n"/>
      <c r="X863" s="7" t="n"/>
    </row>
    <row r="864" ht="21.75" customHeight="1" s="209">
      <c r="A864" s="28" t="n">
        <v>861</v>
      </c>
      <c r="B864" s="28" t="inlineStr">
        <is>
          <t>9236</t>
        </is>
      </c>
      <c r="C864" s="30" t="inlineStr">
        <is>
          <t>D6</t>
        </is>
      </c>
      <c r="D864" s="32" t="inlineStr">
        <is>
          <t>곰돌이</t>
        </is>
      </c>
      <c r="E864" s="28" t="inlineStr">
        <is>
          <t>동적계획법 (DP) / 그래프</t>
        </is>
      </c>
      <c r="F864" s="28" t="n"/>
      <c r="G864" s="28" t="n"/>
      <c r="H864" s="28" t="n"/>
      <c r="I864" s="28" t="n"/>
      <c r="J864" s="54">
        <f>IF(OR(ISNUMBER(SEARCH("보류",K864)),ISNUMBER(SEARCH("미룸",K864)),ISNUMBER(SEARCH("나중에",K864)),ISNUMBER(SEARCH("보류",L864)),ISNUMBER(SEARCH("미룸",L864)),ISNUMBER(SEARCH("나중에",L864))),"보류(나중에 풀기)",IF(AND(F864="",G864="",H864="",I864=""),"미완료",IF(I864&lt;&gt;"","복습3(마스터)",IF(H864&lt;&gt;"","복습2",IF(G864&lt;&gt;"","복습1",IF(ISNUMBER(SEARCH("제미나이",K864)),"복습대기(AI도움)",IF(ISNUMBER(SEARCH("간당간당",K864)),"복습대기(간당간당)",IF(OR(ISNUMBER(SEARCH("아이디어",K864)),ISNUMBER(SEARCH("시간초과",K864)),ISNUMBER(SEARCH("자료구조",K864)),ISNUMBER(SEARCH("경계값",K864)),ISNUMBER(SEARCH("다른 풀이",K864)),ISNUMBER(SEARCH("또풀기",K864))),"복습대기",IF(OR(ISNUMBER(SEARCH("복습필요없음",K864)),ISNUMBER(SEARCH("자력완벽",K864))),"품(복습불필요)",IF(F864&lt;&gt;"","품","미완료"))))))))))</f>
        <v/>
      </c>
      <c r="K864" s="32" t="inlineStr">
        <is>
          <t>-</t>
        </is>
      </c>
      <c r="L864" s="32" t="n"/>
      <c r="M864" s="28">
        <f>IF(OR(LEFT(J864,2)="보류", LEFT(J864,4)="복습대기", LEFT(J864,3)="복습1", LEFT(J864,3)="복습2"), MAX($M$3:M863)+1, "")</f>
        <v/>
      </c>
      <c r="N864" s="28" t="inlineStr">
        <is>
          <t>W21</t>
        </is>
      </c>
      <c r="O864" s="36" t="n">
        <v>46399</v>
      </c>
      <c r="P864" s="30">
        <f>IF(F864&lt;&gt;"","✅ 완료",IF(O864="","-",IF(TODAY()&gt;O864,"🚨 지연","⏳ 예정")))</f>
        <v/>
      </c>
      <c r="Q864" s="7" t="n"/>
      <c r="R864" s="7" t="n"/>
      <c r="S864" s="7" t="n"/>
      <c r="T864" s="7" t="n"/>
      <c r="U864" s="7" t="n"/>
      <c r="V864" s="7" t="n"/>
      <c r="W864" s="7" t="n"/>
      <c r="X864" s="7" t="n"/>
    </row>
    <row r="865" ht="21.75" customHeight="1" s="209">
      <c r="A865" s="28" t="n">
        <v>862</v>
      </c>
      <c r="B865" s="28" t="inlineStr">
        <is>
          <t>9325</t>
        </is>
      </c>
      <c r="C865" s="30" t="inlineStr">
        <is>
          <t>D6</t>
        </is>
      </c>
      <c r="D865" s="32" t="inlineStr">
        <is>
          <t>백화점</t>
        </is>
      </c>
      <c r="E865" s="28" t="inlineStr">
        <is>
          <t>동적계획법 (DP) / 그래프</t>
        </is>
      </c>
      <c r="F865" s="28" t="n"/>
      <c r="G865" s="28" t="n"/>
      <c r="H865" s="28" t="n"/>
      <c r="I865" s="28" t="n"/>
      <c r="J865" s="54">
        <f>IF(OR(ISNUMBER(SEARCH("보류",K865)),ISNUMBER(SEARCH("미룸",K865)),ISNUMBER(SEARCH("나중에",K865)),ISNUMBER(SEARCH("보류",L865)),ISNUMBER(SEARCH("미룸",L865)),ISNUMBER(SEARCH("나중에",L865))),"보류(나중에 풀기)",IF(AND(F865="",G865="",H865="",I865=""),"미완료",IF(I865&lt;&gt;"","복습3(마스터)",IF(H865&lt;&gt;"","복습2",IF(G865&lt;&gt;"","복습1",IF(ISNUMBER(SEARCH("제미나이",K865)),"복습대기(AI도움)",IF(ISNUMBER(SEARCH("간당간당",K865)),"복습대기(간당간당)",IF(OR(ISNUMBER(SEARCH("아이디어",K865)),ISNUMBER(SEARCH("시간초과",K865)),ISNUMBER(SEARCH("자료구조",K865)),ISNUMBER(SEARCH("경계값",K865)),ISNUMBER(SEARCH("다른 풀이",K865)),ISNUMBER(SEARCH("또풀기",K865))),"복습대기",IF(OR(ISNUMBER(SEARCH("복습필요없음",K865)),ISNUMBER(SEARCH("자력완벽",K865))),"품(복습불필요)",IF(F865&lt;&gt;"","품","미완료"))))))))))</f>
        <v/>
      </c>
      <c r="K865" s="32" t="inlineStr">
        <is>
          <t>-</t>
        </is>
      </c>
      <c r="L865" s="32" t="n"/>
      <c r="M865" s="28">
        <f>IF(OR(LEFT(J865,2)="보류", LEFT(J865,4)="복습대기", LEFT(J865,3)="복습1", LEFT(J865,3)="복습2"), MAX($M$3:M864)+1, "")</f>
        <v/>
      </c>
      <c r="N865" s="28" t="inlineStr">
        <is>
          <t>W21</t>
        </is>
      </c>
      <c r="O865" s="36" t="n">
        <v>46399</v>
      </c>
      <c r="P865" s="30">
        <f>IF(F865&lt;&gt;"","✅ 완료",IF(O865="","-",IF(TODAY()&gt;O865,"🚨 지연","⏳ 예정")))</f>
        <v/>
      </c>
      <c r="Q865" s="7" t="n"/>
      <c r="R865" s="7" t="n"/>
      <c r="S865" s="7" t="n"/>
      <c r="T865" s="7" t="n"/>
      <c r="U865" s="7" t="n"/>
      <c r="V865" s="7" t="n"/>
      <c r="W865" s="7" t="n"/>
      <c r="X865" s="7" t="n"/>
    </row>
    <row r="866" ht="21.75" customHeight="1" s="209">
      <c r="A866" s="28" t="n">
        <v>863</v>
      </c>
      <c r="B866" s="28" t="inlineStr">
        <is>
          <t>9483</t>
        </is>
      </c>
      <c r="C866" s="30" t="inlineStr">
        <is>
          <t>D6</t>
        </is>
      </c>
      <c r="D866" s="32" t="inlineStr">
        <is>
          <t>단체사진</t>
        </is>
      </c>
      <c r="E866" s="28" t="inlineStr">
        <is>
          <t>동적계획법 (DP) / 그래프</t>
        </is>
      </c>
      <c r="F866" s="28" t="n"/>
      <c r="G866" s="28" t="n"/>
      <c r="H866" s="28" t="n"/>
      <c r="I866" s="28" t="n"/>
      <c r="J866" s="54">
        <f>IF(OR(ISNUMBER(SEARCH("보류",K866)),ISNUMBER(SEARCH("미룸",K866)),ISNUMBER(SEARCH("나중에",K866)),ISNUMBER(SEARCH("보류",L866)),ISNUMBER(SEARCH("미룸",L866)),ISNUMBER(SEARCH("나중에",L866))),"보류(나중에 풀기)",IF(AND(F866="",G866="",H866="",I866=""),"미완료",IF(I866&lt;&gt;"","복습3(마스터)",IF(H866&lt;&gt;"","복습2",IF(G866&lt;&gt;"","복습1",IF(ISNUMBER(SEARCH("제미나이",K866)),"복습대기(AI도움)",IF(ISNUMBER(SEARCH("간당간당",K866)),"복습대기(간당간당)",IF(OR(ISNUMBER(SEARCH("아이디어",K866)),ISNUMBER(SEARCH("시간초과",K866)),ISNUMBER(SEARCH("자료구조",K866)),ISNUMBER(SEARCH("경계값",K866)),ISNUMBER(SEARCH("다른 풀이",K866)),ISNUMBER(SEARCH("또풀기",K866))),"복습대기",IF(OR(ISNUMBER(SEARCH("복습필요없음",K866)),ISNUMBER(SEARCH("자력완벽",K866))),"품(복습불필요)",IF(F866&lt;&gt;"","품","미완료"))))))))))</f>
        <v/>
      </c>
      <c r="K866" s="32" t="inlineStr">
        <is>
          <t>-</t>
        </is>
      </c>
      <c r="L866" s="32" t="n"/>
      <c r="M866" s="28">
        <f>IF(OR(LEFT(J866,2)="보류", LEFT(J866,4)="복습대기", LEFT(J866,3)="복습1", LEFT(J866,3)="복습2"), MAX($M$3:M865)+1, "")</f>
        <v/>
      </c>
      <c r="N866" s="28" t="inlineStr">
        <is>
          <t>W21</t>
        </is>
      </c>
      <c r="O866" s="36" t="n">
        <v>46399</v>
      </c>
      <c r="P866" s="30">
        <f>IF(F866&lt;&gt;"","✅ 완료",IF(O866="","-",IF(TODAY()&gt;O866,"🚨 지연","⏳ 예정")))</f>
        <v/>
      </c>
      <c r="Q866" s="7" t="n"/>
      <c r="R866" s="7" t="n"/>
      <c r="S866" s="7" t="n"/>
      <c r="T866" s="7" t="n"/>
      <c r="U866" s="7" t="n"/>
      <c r="V866" s="7" t="n"/>
      <c r="W866" s="7" t="n"/>
      <c r="X866" s="7" t="n"/>
    </row>
    <row r="867" ht="21.75" customHeight="1" s="209">
      <c r="A867" s="28" t="n">
        <v>864</v>
      </c>
      <c r="B867" s="28" t="inlineStr">
        <is>
          <t>9660</t>
        </is>
      </c>
      <c r="C867" s="30" t="inlineStr">
        <is>
          <t>D6</t>
        </is>
      </c>
      <c r="D867" s="32" t="inlineStr">
        <is>
          <t>번호 붙이기</t>
        </is>
      </c>
      <c r="E867" s="28" t="inlineStr">
        <is>
          <t>동적계획법 (DP) / 그래프</t>
        </is>
      </c>
      <c r="F867" s="28" t="n"/>
      <c r="G867" s="28" t="n"/>
      <c r="H867" s="28" t="n"/>
      <c r="I867" s="28" t="n"/>
      <c r="J867" s="54">
        <f>IF(OR(ISNUMBER(SEARCH("보류",K867)),ISNUMBER(SEARCH("미룸",K867)),ISNUMBER(SEARCH("나중에",K867)),ISNUMBER(SEARCH("보류",L867)),ISNUMBER(SEARCH("미룸",L867)),ISNUMBER(SEARCH("나중에",L867))),"보류(나중에 풀기)",IF(AND(F867="",G867="",H867="",I867=""),"미완료",IF(I867&lt;&gt;"","복습3(마스터)",IF(H867&lt;&gt;"","복습2",IF(G867&lt;&gt;"","복습1",IF(ISNUMBER(SEARCH("제미나이",K867)),"복습대기(AI도움)",IF(ISNUMBER(SEARCH("간당간당",K867)),"복습대기(간당간당)",IF(OR(ISNUMBER(SEARCH("아이디어",K867)),ISNUMBER(SEARCH("시간초과",K867)),ISNUMBER(SEARCH("자료구조",K867)),ISNUMBER(SEARCH("경계값",K867)),ISNUMBER(SEARCH("다른 풀이",K867)),ISNUMBER(SEARCH("또풀기",K867))),"복습대기",IF(OR(ISNUMBER(SEARCH("복습필요없음",K867)),ISNUMBER(SEARCH("자력완벽",K867))),"품(복습불필요)",IF(F867&lt;&gt;"","품","미완료"))))))))))</f>
        <v/>
      </c>
      <c r="K867" s="32" t="inlineStr">
        <is>
          <t>-</t>
        </is>
      </c>
      <c r="L867" s="32" t="n"/>
      <c r="M867" s="28">
        <f>IF(OR(LEFT(J867,2)="보류", LEFT(J867,4)="복습대기", LEFT(J867,3)="복습1", LEFT(J867,3)="복습2"), MAX($M$3:M866)+1, "")</f>
        <v/>
      </c>
      <c r="N867" s="28" t="inlineStr">
        <is>
          <t>W21</t>
        </is>
      </c>
      <c r="O867" s="36" t="n">
        <v>46400</v>
      </c>
      <c r="P867" s="30">
        <f>IF(F867&lt;&gt;"","✅ 완료",IF(O867="","-",IF(TODAY()&gt;O867,"🚨 지연","⏳ 예정")))</f>
        <v/>
      </c>
      <c r="Q867" s="7" t="n"/>
      <c r="R867" s="7" t="n"/>
      <c r="S867" s="7" t="n"/>
      <c r="T867" s="7" t="n"/>
      <c r="U867" s="7" t="n"/>
      <c r="V867" s="7" t="n"/>
      <c r="W867" s="7" t="n"/>
      <c r="X867" s="7" t="n"/>
    </row>
    <row r="868" ht="21.75" customHeight="1" s="209">
      <c r="A868" s="28" t="n">
        <v>865</v>
      </c>
      <c r="B868" s="28" t="inlineStr">
        <is>
          <t>9712</t>
        </is>
      </c>
      <c r="C868" s="30" t="inlineStr">
        <is>
          <t>D6</t>
        </is>
      </c>
      <c r="D868" s="32" t="inlineStr">
        <is>
          <t>이상한 정렬</t>
        </is>
      </c>
      <c r="E868" s="28" t="inlineStr">
        <is>
          <t>동적계획법 (DP) / 그래프</t>
        </is>
      </c>
      <c r="F868" s="28" t="n"/>
      <c r="G868" s="28" t="n"/>
      <c r="H868" s="28" t="n"/>
      <c r="I868" s="28" t="n"/>
      <c r="J868" s="54">
        <f>IF(OR(ISNUMBER(SEARCH("보류",K868)),ISNUMBER(SEARCH("미룸",K868)),ISNUMBER(SEARCH("나중에",K868)),ISNUMBER(SEARCH("보류",L868)),ISNUMBER(SEARCH("미룸",L868)),ISNUMBER(SEARCH("나중에",L868))),"보류(나중에 풀기)",IF(AND(F868="",G868="",H868="",I868=""),"미완료",IF(I868&lt;&gt;"","복습3(마스터)",IF(H868&lt;&gt;"","복습2",IF(G868&lt;&gt;"","복습1",IF(ISNUMBER(SEARCH("제미나이",K868)),"복습대기(AI도움)",IF(ISNUMBER(SEARCH("간당간당",K868)),"복습대기(간당간당)",IF(OR(ISNUMBER(SEARCH("아이디어",K868)),ISNUMBER(SEARCH("시간초과",K868)),ISNUMBER(SEARCH("자료구조",K868)),ISNUMBER(SEARCH("경계값",K868)),ISNUMBER(SEARCH("다른 풀이",K868)),ISNUMBER(SEARCH("또풀기",K868))),"복습대기",IF(OR(ISNUMBER(SEARCH("복습필요없음",K868)),ISNUMBER(SEARCH("자력완벽",K868))),"품(복습불필요)",IF(F868&lt;&gt;"","품","미완료"))))))))))</f>
        <v/>
      </c>
      <c r="K868" s="32" t="inlineStr">
        <is>
          <t>-</t>
        </is>
      </c>
      <c r="L868" s="32" t="n"/>
      <c r="M868" s="28">
        <f>IF(OR(LEFT(J868,2)="보류", LEFT(J868,4)="복습대기", LEFT(J868,3)="복습1", LEFT(J868,3)="복습2"), MAX($M$3:M867)+1, "")</f>
        <v/>
      </c>
      <c r="N868" s="28" t="inlineStr">
        <is>
          <t>W21</t>
        </is>
      </c>
      <c r="O868" s="36" t="n">
        <v>46400</v>
      </c>
      <c r="P868" s="30">
        <f>IF(F868&lt;&gt;"","✅ 완료",IF(O868="","-",IF(TODAY()&gt;O868,"🚨 지연","⏳ 예정")))</f>
        <v/>
      </c>
      <c r="Q868" s="7" t="n"/>
      <c r="R868" s="7" t="n"/>
      <c r="S868" s="7" t="n"/>
      <c r="T868" s="7" t="n"/>
      <c r="U868" s="7" t="n"/>
      <c r="V868" s="7" t="n"/>
      <c r="W868" s="7" t="n"/>
      <c r="X868" s="7" t="n"/>
    </row>
    <row r="869" ht="21.75" customHeight="1" s="209">
      <c r="A869" s="28" t="n">
        <v>866</v>
      </c>
      <c r="B869" s="28" t="inlineStr">
        <is>
          <t>9781</t>
        </is>
      </c>
      <c r="C869" s="30" t="inlineStr">
        <is>
          <t>D6</t>
        </is>
      </c>
      <c r="D869" s="32" t="inlineStr">
        <is>
          <t>사과 깎기</t>
        </is>
      </c>
      <c r="E869" s="28" t="inlineStr">
        <is>
          <t>동적계획법 (DP) / 그래프</t>
        </is>
      </c>
      <c r="F869" s="28" t="n"/>
      <c r="G869" s="28" t="n"/>
      <c r="H869" s="28" t="n"/>
      <c r="I869" s="28" t="n"/>
      <c r="J869" s="54">
        <f>IF(OR(ISNUMBER(SEARCH("보류",K869)),ISNUMBER(SEARCH("미룸",K869)),ISNUMBER(SEARCH("나중에",K869)),ISNUMBER(SEARCH("보류",L869)),ISNUMBER(SEARCH("미룸",L869)),ISNUMBER(SEARCH("나중에",L869))),"보류(나중에 풀기)",IF(AND(F869="",G869="",H869="",I869=""),"미완료",IF(I869&lt;&gt;"","복습3(마스터)",IF(H869&lt;&gt;"","복습2",IF(G869&lt;&gt;"","복습1",IF(ISNUMBER(SEARCH("제미나이",K869)),"복습대기(AI도움)",IF(ISNUMBER(SEARCH("간당간당",K869)),"복습대기(간당간당)",IF(OR(ISNUMBER(SEARCH("아이디어",K869)),ISNUMBER(SEARCH("시간초과",K869)),ISNUMBER(SEARCH("자료구조",K869)),ISNUMBER(SEARCH("경계값",K869)),ISNUMBER(SEARCH("다른 풀이",K869)),ISNUMBER(SEARCH("또풀기",K869))),"복습대기",IF(OR(ISNUMBER(SEARCH("복습필요없음",K869)),ISNUMBER(SEARCH("자력완벽",K869))),"품(복습불필요)",IF(F869&lt;&gt;"","품","미완료"))))))))))</f>
        <v/>
      </c>
      <c r="K869" s="32" t="inlineStr">
        <is>
          <t>-</t>
        </is>
      </c>
      <c r="L869" s="32" t="n"/>
      <c r="M869" s="28">
        <f>IF(OR(LEFT(J869,2)="보류", LEFT(J869,4)="복습대기", LEFT(J869,3)="복습1", LEFT(J869,3)="복습2"), MAX($M$3:M868)+1, "")</f>
        <v/>
      </c>
      <c r="N869" s="28" t="inlineStr">
        <is>
          <t>W21</t>
        </is>
      </c>
      <c r="O869" s="36" t="n">
        <v>46400</v>
      </c>
      <c r="P869" s="30">
        <f>IF(F869&lt;&gt;"","✅ 완료",IF(O869="","-",IF(TODAY()&gt;O869,"🚨 지연","⏳ 예정")))</f>
        <v/>
      </c>
      <c r="Q869" s="7" t="n"/>
      <c r="R869" s="7" t="n"/>
      <c r="S869" s="7" t="n"/>
      <c r="T869" s="7" t="n"/>
      <c r="U869" s="7" t="n"/>
      <c r="V869" s="7" t="n"/>
      <c r="W869" s="7" t="n"/>
      <c r="X869" s="7" t="n"/>
    </row>
    <row r="870" ht="21.75" customHeight="1" s="209">
      <c r="A870" s="28" t="n">
        <v>867</v>
      </c>
      <c r="B870" s="28" t="inlineStr">
        <is>
          <t>9788</t>
        </is>
      </c>
      <c r="C870" s="30" t="inlineStr">
        <is>
          <t>D6</t>
        </is>
      </c>
      <c r="D870" s="32" t="inlineStr">
        <is>
          <t>관영나라 동계 올림픽</t>
        </is>
      </c>
      <c r="E870" s="28" t="inlineStr">
        <is>
          <t>동적계획법 (DP) / 그래프</t>
        </is>
      </c>
      <c r="F870" s="28" t="n"/>
      <c r="G870" s="28" t="n"/>
      <c r="H870" s="28" t="n"/>
      <c r="I870" s="28" t="n"/>
      <c r="J870" s="54">
        <f>IF(OR(ISNUMBER(SEARCH("보류",K870)),ISNUMBER(SEARCH("미룸",K870)),ISNUMBER(SEARCH("나중에",K870)),ISNUMBER(SEARCH("보류",L870)),ISNUMBER(SEARCH("미룸",L870)),ISNUMBER(SEARCH("나중에",L870))),"보류(나중에 풀기)",IF(AND(F870="",G870="",H870="",I870=""),"미완료",IF(I870&lt;&gt;"","복습3(마스터)",IF(H870&lt;&gt;"","복습2",IF(G870&lt;&gt;"","복습1",IF(ISNUMBER(SEARCH("제미나이",K870)),"복습대기(AI도움)",IF(ISNUMBER(SEARCH("간당간당",K870)),"복습대기(간당간당)",IF(OR(ISNUMBER(SEARCH("아이디어",K870)),ISNUMBER(SEARCH("시간초과",K870)),ISNUMBER(SEARCH("자료구조",K870)),ISNUMBER(SEARCH("경계값",K870)),ISNUMBER(SEARCH("다른 풀이",K870)),ISNUMBER(SEARCH("또풀기",K870))),"복습대기",IF(OR(ISNUMBER(SEARCH("복습필요없음",K870)),ISNUMBER(SEARCH("자력완벽",K870))),"품(복습불필요)",IF(F870&lt;&gt;"","품","미완료"))))))))))</f>
        <v/>
      </c>
      <c r="K870" s="32" t="inlineStr">
        <is>
          <t>-</t>
        </is>
      </c>
      <c r="L870" s="32" t="n"/>
      <c r="M870" s="28">
        <f>IF(OR(LEFT(J870,2)="보류", LEFT(J870,4)="복습대기", LEFT(J870,3)="복습1", LEFT(J870,3)="복습2"), MAX($M$3:M869)+1, "")</f>
        <v/>
      </c>
      <c r="N870" s="28" t="inlineStr">
        <is>
          <t>W21</t>
        </is>
      </c>
      <c r="O870" s="36" t="n">
        <v>46400</v>
      </c>
      <c r="P870" s="30">
        <f>IF(F870&lt;&gt;"","✅ 완료",IF(O870="","-",IF(TODAY()&gt;O870,"🚨 지연","⏳ 예정")))</f>
        <v/>
      </c>
      <c r="Q870" s="7" t="n"/>
      <c r="R870" s="7" t="n"/>
      <c r="S870" s="7" t="n"/>
      <c r="T870" s="7" t="n"/>
      <c r="U870" s="7" t="n"/>
      <c r="V870" s="7" t="n"/>
      <c r="W870" s="7" t="n"/>
      <c r="X870" s="7" t="n"/>
    </row>
    <row r="871" ht="21.75" customHeight="1" s="209">
      <c r="A871" s="28" t="n">
        <v>868</v>
      </c>
      <c r="B871" s="28" t="inlineStr">
        <is>
          <t>9850</t>
        </is>
      </c>
      <c r="C871" s="30" t="inlineStr">
        <is>
          <t>D6</t>
        </is>
      </c>
      <c r="D871" s="32" t="inlineStr">
        <is>
          <t>의자 제공하기</t>
        </is>
      </c>
      <c r="E871" s="28" t="inlineStr">
        <is>
          <t>동적계획법 (DP) / 그래프</t>
        </is>
      </c>
      <c r="F871" s="28" t="n"/>
      <c r="G871" s="28" t="n"/>
      <c r="H871" s="28" t="n"/>
      <c r="I871" s="28" t="n"/>
      <c r="J871" s="54">
        <f>IF(OR(ISNUMBER(SEARCH("보류",K871)),ISNUMBER(SEARCH("미룸",K871)),ISNUMBER(SEARCH("나중에",K871)),ISNUMBER(SEARCH("보류",L871)),ISNUMBER(SEARCH("미룸",L871)),ISNUMBER(SEARCH("나중에",L871))),"보류(나중에 풀기)",IF(AND(F871="",G871="",H871="",I871=""),"미완료",IF(I871&lt;&gt;"","복습3(마스터)",IF(H871&lt;&gt;"","복습2",IF(G871&lt;&gt;"","복습1",IF(ISNUMBER(SEARCH("제미나이",K871)),"복습대기(AI도움)",IF(ISNUMBER(SEARCH("간당간당",K871)),"복습대기(간당간당)",IF(OR(ISNUMBER(SEARCH("아이디어",K871)),ISNUMBER(SEARCH("시간초과",K871)),ISNUMBER(SEARCH("자료구조",K871)),ISNUMBER(SEARCH("경계값",K871)),ISNUMBER(SEARCH("다른 풀이",K871)),ISNUMBER(SEARCH("또풀기",K871))),"복습대기",IF(OR(ISNUMBER(SEARCH("복습필요없음",K871)),ISNUMBER(SEARCH("자력완벽",K871))),"품(복습불필요)",IF(F871&lt;&gt;"","품","미완료"))))))))))</f>
        <v/>
      </c>
      <c r="K871" s="32" t="inlineStr">
        <is>
          <t>-</t>
        </is>
      </c>
      <c r="L871" s="32" t="n"/>
      <c r="M871" s="28">
        <f>IF(OR(LEFT(J871,2)="보류", LEFT(J871,4)="복습대기", LEFT(J871,3)="복습1", LEFT(J871,3)="복습2"), MAX($M$3:M870)+1, "")</f>
        <v/>
      </c>
      <c r="N871" s="28" t="inlineStr">
        <is>
          <t>W21</t>
        </is>
      </c>
      <c r="O871" s="36" t="n">
        <v>46400</v>
      </c>
      <c r="P871" s="30">
        <f>IF(F871&lt;&gt;"","✅ 완료",IF(O871="","-",IF(TODAY()&gt;O871,"🚨 지연","⏳ 예정")))</f>
        <v/>
      </c>
      <c r="Q871" s="7" t="n"/>
      <c r="R871" s="7" t="n"/>
      <c r="S871" s="7" t="n"/>
      <c r="T871" s="7" t="n"/>
      <c r="U871" s="7" t="n"/>
      <c r="V871" s="7" t="n"/>
      <c r="W871" s="7" t="n"/>
      <c r="X871" s="7" t="n"/>
    </row>
    <row r="872" ht="21.75" customHeight="1" s="209">
      <c r="A872" s="28" t="n">
        <v>869</v>
      </c>
      <c r="B872" s="28" t="inlineStr">
        <is>
          <t>10003</t>
        </is>
      </c>
      <c r="C872" s="30" t="inlineStr">
        <is>
          <t>D6</t>
        </is>
      </c>
      <c r="D872" s="32" t="inlineStr">
        <is>
          <t>트리와 가장 먼 거리</t>
        </is>
      </c>
      <c r="E872" s="28" t="inlineStr">
        <is>
          <t>트리 / 힙 / 세그먼트트리</t>
        </is>
      </c>
      <c r="F872" s="28" t="n"/>
      <c r="G872" s="28" t="n"/>
      <c r="H872" s="28" t="n"/>
      <c r="I872" s="28" t="n"/>
      <c r="J872" s="54">
        <f>IF(OR(ISNUMBER(SEARCH("보류",K872)),ISNUMBER(SEARCH("미룸",K872)),ISNUMBER(SEARCH("나중에",K872)),ISNUMBER(SEARCH("보류",L872)),ISNUMBER(SEARCH("미룸",L872)),ISNUMBER(SEARCH("나중에",L872))),"보류(나중에 풀기)",IF(AND(F872="",G872="",H872="",I872=""),"미완료",IF(I872&lt;&gt;"","복습3(마스터)",IF(H872&lt;&gt;"","복습2",IF(G872&lt;&gt;"","복습1",IF(ISNUMBER(SEARCH("제미나이",K872)),"복습대기(AI도움)",IF(ISNUMBER(SEARCH("간당간당",K872)),"복습대기(간당간당)",IF(OR(ISNUMBER(SEARCH("아이디어",K872)),ISNUMBER(SEARCH("시간초과",K872)),ISNUMBER(SEARCH("자료구조",K872)),ISNUMBER(SEARCH("경계값",K872)),ISNUMBER(SEARCH("다른 풀이",K872)),ISNUMBER(SEARCH("또풀기",K872))),"복습대기",IF(OR(ISNUMBER(SEARCH("복습필요없음",K872)),ISNUMBER(SEARCH("자력완벽",K872))),"품(복습불필요)",IF(F872&lt;&gt;"","품","미완료"))))))))))</f>
        <v/>
      </c>
      <c r="K872" s="32" t="inlineStr">
        <is>
          <t>-</t>
        </is>
      </c>
      <c r="L872" s="32" t="n"/>
      <c r="M872" s="28">
        <f>IF(OR(LEFT(J872,2)="보류", LEFT(J872,4)="복습대기", LEFT(J872,3)="복습1", LEFT(J872,3)="복습2"), MAX($M$3:M871)+1, "")</f>
        <v/>
      </c>
      <c r="N872" s="28" t="inlineStr">
        <is>
          <t>W21</t>
        </is>
      </c>
      <c r="O872" s="36" t="n">
        <v>46400</v>
      </c>
      <c r="P872" s="30">
        <f>IF(F872&lt;&gt;"","✅ 완료",IF(O872="","-",IF(TODAY()&gt;O872,"🚨 지연","⏳ 예정")))</f>
        <v/>
      </c>
      <c r="Q872" s="7" t="n"/>
      <c r="R872" s="7" t="n"/>
      <c r="S872" s="7" t="n"/>
      <c r="T872" s="7" t="n"/>
      <c r="U872" s="7" t="n"/>
      <c r="V872" s="7" t="n"/>
      <c r="W872" s="7" t="n"/>
      <c r="X872" s="7" t="n"/>
    </row>
    <row r="873" ht="21.75" customHeight="1" s="209">
      <c r="A873" s="28" t="n">
        <v>870</v>
      </c>
      <c r="B873" s="28" t="inlineStr">
        <is>
          <t>10037</t>
        </is>
      </c>
      <c r="C873" s="30" t="inlineStr">
        <is>
          <t>D6</t>
        </is>
      </c>
      <c r="D873" s="32" t="inlineStr">
        <is>
          <t>트리 복구</t>
        </is>
      </c>
      <c r="E873" s="28" t="inlineStr">
        <is>
          <t>트리 / 힙 / 세그먼트트리</t>
        </is>
      </c>
      <c r="F873" s="28" t="n"/>
      <c r="G873" s="28" t="n"/>
      <c r="H873" s="28" t="n"/>
      <c r="I873" s="28" t="n"/>
      <c r="J873" s="54">
        <f>IF(OR(ISNUMBER(SEARCH("보류",K873)),ISNUMBER(SEARCH("미룸",K873)),ISNUMBER(SEARCH("나중에",K873)),ISNUMBER(SEARCH("보류",L873)),ISNUMBER(SEARCH("미룸",L873)),ISNUMBER(SEARCH("나중에",L873))),"보류(나중에 풀기)",IF(AND(F873="",G873="",H873="",I873=""),"미완료",IF(I873&lt;&gt;"","복습3(마스터)",IF(H873&lt;&gt;"","복습2",IF(G873&lt;&gt;"","복습1",IF(ISNUMBER(SEARCH("제미나이",K873)),"복습대기(AI도움)",IF(ISNUMBER(SEARCH("간당간당",K873)),"복습대기(간당간당)",IF(OR(ISNUMBER(SEARCH("아이디어",K873)),ISNUMBER(SEARCH("시간초과",K873)),ISNUMBER(SEARCH("자료구조",K873)),ISNUMBER(SEARCH("경계값",K873)),ISNUMBER(SEARCH("다른 풀이",K873)),ISNUMBER(SEARCH("또풀기",K873))),"복습대기",IF(OR(ISNUMBER(SEARCH("복습필요없음",K873)),ISNUMBER(SEARCH("자력완벽",K873))),"품(복습불필요)",IF(F873&lt;&gt;"","품","미완료"))))))))))</f>
        <v/>
      </c>
      <c r="K873" s="32" t="inlineStr">
        <is>
          <t>-</t>
        </is>
      </c>
      <c r="L873" s="32" t="n"/>
      <c r="M873" s="28">
        <f>IF(OR(LEFT(J873,2)="보류", LEFT(J873,4)="복습대기", LEFT(J873,3)="복습1", LEFT(J873,3)="복습2"), MAX($M$3:M872)+1, "")</f>
        <v/>
      </c>
      <c r="N873" s="28" t="inlineStr">
        <is>
          <t>W21</t>
        </is>
      </c>
      <c r="O873" s="36" t="n">
        <v>46400</v>
      </c>
      <c r="P873" s="30">
        <f>IF(F873&lt;&gt;"","✅ 완료",IF(O873="","-",IF(TODAY()&gt;O873,"🚨 지연","⏳ 예정")))</f>
        <v/>
      </c>
      <c r="Q873" s="7" t="n"/>
      <c r="R873" s="7" t="n"/>
      <c r="S873" s="7" t="n"/>
      <c r="T873" s="7" t="n"/>
      <c r="U873" s="7" t="n"/>
      <c r="V873" s="7" t="n"/>
      <c r="W873" s="7" t="n"/>
      <c r="X873" s="7" t="n"/>
    </row>
    <row r="874" ht="21.75" customHeight="1" s="209">
      <c r="A874" s="28" t="n">
        <v>871</v>
      </c>
      <c r="B874" s="28" t="inlineStr">
        <is>
          <t>10069</t>
        </is>
      </c>
      <c r="C874" s="30" t="inlineStr">
        <is>
          <t>D6</t>
        </is>
      </c>
      <c r="D874" s="32" t="inlineStr">
        <is>
          <t>편차가 작은 집합</t>
        </is>
      </c>
      <c r="E874" s="28" t="inlineStr">
        <is>
          <t>수학 / 정수론</t>
        </is>
      </c>
      <c r="F874" s="28" t="n"/>
      <c r="G874" s="28" t="n"/>
      <c r="H874" s="28" t="n"/>
      <c r="I874" s="28" t="n"/>
      <c r="J874" s="54">
        <f>IF(OR(ISNUMBER(SEARCH("보류",K874)),ISNUMBER(SEARCH("미룸",K874)),ISNUMBER(SEARCH("나중에",K874)),ISNUMBER(SEARCH("보류",L874)),ISNUMBER(SEARCH("미룸",L874)),ISNUMBER(SEARCH("나중에",L874))),"보류(나중에 풀기)",IF(AND(F874="",G874="",H874="",I874=""),"미완료",IF(I874&lt;&gt;"","복습3(마스터)",IF(H874&lt;&gt;"","복습2",IF(G874&lt;&gt;"","복습1",IF(ISNUMBER(SEARCH("제미나이",K874)),"복습대기(AI도움)",IF(ISNUMBER(SEARCH("간당간당",K874)),"복습대기(간당간당)",IF(OR(ISNUMBER(SEARCH("아이디어",K874)),ISNUMBER(SEARCH("시간초과",K874)),ISNUMBER(SEARCH("자료구조",K874)),ISNUMBER(SEARCH("경계값",K874)),ISNUMBER(SEARCH("다른 풀이",K874)),ISNUMBER(SEARCH("또풀기",K874))),"복습대기",IF(OR(ISNUMBER(SEARCH("복습필요없음",K874)),ISNUMBER(SEARCH("자력완벽",K874))),"품(복습불필요)",IF(F874&lt;&gt;"","품","미완료"))))))))))</f>
        <v/>
      </c>
      <c r="K874" s="32" t="inlineStr">
        <is>
          <t>-</t>
        </is>
      </c>
      <c r="L874" s="32" t="n"/>
      <c r="M874" s="28">
        <f>IF(OR(LEFT(J874,2)="보류", LEFT(J874,4)="복습대기", LEFT(J874,3)="복습1", LEFT(J874,3)="복습2"), MAX($M$3:M873)+1, "")</f>
        <v/>
      </c>
      <c r="N874" s="28" t="inlineStr">
        <is>
          <t>W21</t>
        </is>
      </c>
      <c r="O874" s="36" t="n">
        <v>46401</v>
      </c>
      <c r="P874" s="30">
        <f>IF(F874&lt;&gt;"","✅ 완료",IF(O874="","-",IF(TODAY()&gt;O874,"🚨 지연","⏳ 예정")))</f>
        <v/>
      </c>
      <c r="Q874" s="7" t="n"/>
      <c r="R874" s="7" t="n"/>
      <c r="S874" s="7" t="n"/>
      <c r="T874" s="7" t="n"/>
      <c r="U874" s="7" t="n"/>
      <c r="V874" s="7" t="n"/>
      <c r="W874" s="7" t="n"/>
      <c r="X874" s="7" t="n"/>
    </row>
    <row r="875" ht="21.75" customHeight="1" s="209">
      <c r="A875" s="28" t="n">
        <v>872</v>
      </c>
      <c r="B875" s="28" t="inlineStr">
        <is>
          <t>10510</t>
        </is>
      </c>
      <c r="C875" s="30" t="inlineStr">
        <is>
          <t>D6</t>
        </is>
      </c>
      <c r="D875" s="32" t="inlineStr">
        <is>
          <t>천종원의 골목식당</t>
        </is>
      </c>
      <c r="E875" s="28" t="inlineStr">
        <is>
          <t>동적계획법 (DP) / 그래프</t>
        </is>
      </c>
      <c r="F875" s="28" t="n"/>
      <c r="G875" s="28" t="n"/>
      <c r="H875" s="28" t="n"/>
      <c r="I875" s="28" t="n"/>
      <c r="J875" s="54">
        <f>IF(OR(ISNUMBER(SEARCH("보류",K875)),ISNUMBER(SEARCH("미룸",K875)),ISNUMBER(SEARCH("나중에",K875)),ISNUMBER(SEARCH("보류",L875)),ISNUMBER(SEARCH("미룸",L875)),ISNUMBER(SEARCH("나중에",L875))),"보류(나중에 풀기)",IF(AND(F875="",G875="",H875="",I875=""),"미완료",IF(I875&lt;&gt;"","복습3(마스터)",IF(H875&lt;&gt;"","복습2",IF(G875&lt;&gt;"","복습1",IF(ISNUMBER(SEARCH("제미나이",K875)),"복습대기(AI도움)",IF(ISNUMBER(SEARCH("간당간당",K875)),"복습대기(간당간당)",IF(OR(ISNUMBER(SEARCH("아이디어",K875)),ISNUMBER(SEARCH("시간초과",K875)),ISNUMBER(SEARCH("자료구조",K875)),ISNUMBER(SEARCH("경계값",K875)),ISNUMBER(SEARCH("다른 풀이",K875)),ISNUMBER(SEARCH("또풀기",K875))),"복습대기",IF(OR(ISNUMBER(SEARCH("복습필요없음",K875)),ISNUMBER(SEARCH("자력완벽",K875))),"품(복습불필요)",IF(F875&lt;&gt;"","품","미완료"))))))))))</f>
        <v/>
      </c>
      <c r="K875" s="32" t="inlineStr">
        <is>
          <t>-</t>
        </is>
      </c>
      <c r="L875" s="32" t="n"/>
      <c r="M875" s="28">
        <f>IF(OR(LEFT(J875,2)="보류", LEFT(J875,4)="복습대기", LEFT(J875,3)="복습1", LEFT(J875,3)="복습2"), MAX($M$3:M874)+1, "")</f>
        <v/>
      </c>
      <c r="N875" s="28" t="inlineStr">
        <is>
          <t>W21</t>
        </is>
      </c>
      <c r="O875" s="36" t="n">
        <v>46401</v>
      </c>
      <c r="P875" s="30">
        <f>IF(F875&lt;&gt;"","✅ 완료",IF(O875="","-",IF(TODAY()&gt;O875,"🚨 지연","⏳ 예정")))</f>
        <v/>
      </c>
      <c r="Q875" s="7" t="n"/>
      <c r="R875" s="7" t="n"/>
      <c r="S875" s="7" t="n"/>
      <c r="T875" s="7" t="n"/>
      <c r="U875" s="7" t="n"/>
      <c r="V875" s="7" t="n"/>
      <c r="W875" s="7" t="n"/>
      <c r="X875" s="7" t="n"/>
    </row>
    <row r="876" ht="21.75" customHeight="1" s="209">
      <c r="A876" s="28" t="n">
        <v>873</v>
      </c>
      <c r="B876" s="28" t="inlineStr">
        <is>
          <t>10572</t>
        </is>
      </c>
      <c r="C876" s="30" t="inlineStr">
        <is>
          <t>D6</t>
        </is>
      </c>
      <c r="D876" s="32" t="inlineStr">
        <is>
          <t>사과 정렬하기</t>
        </is>
      </c>
      <c r="E876" s="28" t="inlineStr">
        <is>
          <t>동적계획법 (DP) / 그래프</t>
        </is>
      </c>
      <c r="F876" s="28" t="n"/>
      <c r="G876" s="28" t="n"/>
      <c r="H876" s="28" t="n"/>
      <c r="I876" s="28" t="n"/>
      <c r="J876" s="54">
        <f>IF(OR(ISNUMBER(SEARCH("보류",K876)),ISNUMBER(SEARCH("미룸",K876)),ISNUMBER(SEARCH("나중에",K876)),ISNUMBER(SEARCH("보류",L876)),ISNUMBER(SEARCH("미룸",L876)),ISNUMBER(SEARCH("나중에",L876))),"보류(나중에 풀기)",IF(AND(F876="",G876="",H876="",I876=""),"미완료",IF(I876&lt;&gt;"","복습3(마스터)",IF(H876&lt;&gt;"","복습2",IF(G876&lt;&gt;"","복습1",IF(ISNUMBER(SEARCH("제미나이",K876)),"복습대기(AI도움)",IF(ISNUMBER(SEARCH("간당간당",K876)),"복습대기(간당간당)",IF(OR(ISNUMBER(SEARCH("아이디어",K876)),ISNUMBER(SEARCH("시간초과",K876)),ISNUMBER(SEARCH("자료구조",K876)),ISNUMBER(SEARCH("경계값",K876)),ISNUMBER(SEARCH("다른 풀이",K876)),ISNUMBER(SEARCH("또풀기",K876))),"복습대기",IF(OR(ISNUMBER(SEARCH("복습필요없음",K876)),ISNUMBER(SEARCH("자력완벽",K876))),"품(복습불필요)",IF(F876&lt;&gt;"","품","미완료"))))))))))</f>
        <v/>
      </c>
      <c r="K876" s="32" t="inlineStr">
        <is>
          <t>-</t>
        </is>
      </c>
      <c r="L876" s="32" t="n"/>
      <c r="M876" s="28">
        <f>IF(OR(LEFT(J876,2)="보류", LEFT(J876,4)="복습대기", LEFT(J876,3)="복습1", LEFT(J876,3)="복습2"), MAX($M$3:M875)+1, "")</f>
        <v/>
      </c>
      <c r="N876" s="28" t="inlineStr">
        <is>
          <t>W21</t>
        </is>
      </c>
      <c r="O876" s="36" t="n">
        <v>46401</v>
      </c>
      <c r="P876" s="30">
        <f>IF(F876&lt;&gt;"","✅ 완료",IF(O876="","-",IF(TODAY()&gt;O876,"🚨 지연","⏳ 예정")))</f>
        <v/>
      </c>
      <c r="Q876" s="7" t="n"/>
      <c r="R876" s="7" t="n"/>
      <c r="S876" s="7" t="n"/>
      <c r="T876" s="7" t="n"/>
      <c r="U876" s="7" t="n"/>
      <c r="V876" s="7" t="n"/>
      <c r="W876" s="7" t="n"/>
      <c r="X876" s="7" t="n"/>
    </row>
    <row r="877" ht="21.75" customHeight="1" s="209">
      <c r="A877" s="28" t="n">
        <v>874</v>
      </c>
      <c r="B877" s="28" t="inlineStr">
        <is>
          <t>10728</t>
        </is>
      </c>
      <c r="C877" s="30" t="inlineStr">
        <is>
          <t>D6</t>
        </is>
      </c>
      <c r="D877" s="32" t="inlineStr">
        <is>
          <t>수나열누기</t>
        </is>
      </c>
      <c r="E877" s="28" t="inlineStr">
        <is>
          <t>동적계획법 (DP) / 그래프</t>
        </is>
      </c>
      <c r="F877" s="28" t="n"/>
      <c r="G877" s="28" t="n"/>
      <c r="H877" s="28" t="n"/>
      <c r="I877" s="28" t="n"/>
      <c r="J877" s="54">
        <f>IF(OR(ISNUMBER(SEARCH("보류",K877)),ISNUMBER(SEARCH("미룸",K877)),ISNUMBER(SEARCH("나중에",K877)),ISNUMBER(SEARCH("보류",L877)),ISNUMBER(SEARCH("미룸",L877)),ISNUMBER(SEARCH("나중에",L877))),"보류(나중에 풀기)",IF(AND(F877="",G877="",H877="",I877=""),"미완료",IF(I877&lt;&gt;"","복습3(마스터)",IF(H877&lt;&gt;"","복습2",IF(G877&lt;&gt;"","복습1",IF(ISNUMBER(SEARCH("제미나이",K877)),"복습대기(AI도움)",IF(ISNUMBER(SEARCH("간당간당",K877)),"복습대기(간당간당)",IF(OR(ISNUMBER(SEARCH("아이디어",K877)),ISNUMBER(SEARCH("시간초과",K877)),ISNUMBER(SEARCH("자료구조",K877)),ISNUMBER(SEARCH("경계값",K877)),ISNUMBER(SEARCH("다른 풀이",K877)),ISNUMBER(SEARCH("또풀기",K877))),"복습대기",IF(OR(ISNUMBER(SEARCH("복습필요없음",K877)),ISNUMBER(SEARCH("자력완벽",K877))),"품(복습불필요)",IF(F877&lt;&gt;"","품","미완료"))))))))))</f>
        <v/>
      </c>
      <c r="K877" s="32" t="inlineStr">
        <is>
          <t>-</t>
        </is>
      </c>
      <c r="L877" s="32" t="n"/>
      <c r="M877" s="28">
        <f>IF(OR(LEFT(J877,2)="보류", LEFT(J877,4)="복습대기", LEFT(J877,3)="복습1", LEFT(J877,3)="복습2"), MAX($M$3:M876)+1, "")</f>
        <v/>
      </c>
      <c r="N877" s="28" t="inlineStr">
        <is>
          <t>W21</t>
        </is>
      </c>
      <c r="O877" s="36" t="n">
        <v>46401</v>
      </c>
      <c r="P877" s="30">
        <f>IF(F877&lt;&gt;"","✅ 완료",IF(O877="","-",IF(TODAY()&gt;O877,"🚨 지연","⏳ 예정")))</f>
        <v/>
      </c>
      <c r="Q877" s="7" t="n"/>
      <c r="R877" s="7" t="n"/>
      <c r="S877" s="7" t="n"/>
      <c r="T877" s="7" t="n"/>
      <c r="U877" s="7" t="n"/>
      <c r="V877" s="7" t="n"/>
      <c r="W877" s="7" t="n"/>
      <c r="X877" s="7" t="n"/>
    </row>
    <row r="878" ht="21.75" customHeight="1" s="209">
      <c r="A878" s="28" t="n">
        <v>875</v>
      </c>
      <c r="B878" s="28" t="inlineStr">
        <is>
          <t>10806</t>
        </is>
      </c>
      <c r="C878" s="30" t="inlineStr">
        <is>
          <t>D6</t>
        </is>
      </c>
      <c r="D878" s="32" t="inlineStr">
        <is>
          <t>수 만들기</t>
        </is>
      </c>
      <c r="E878" s="28" t="inlineStr">
        <is>
          <t>동적계획법 (DP) / 그래프</t>
        </is>
      </c>
      <c r="F878" s="28" t="n"/>
      <c r="G878" s="28" t="n"/>
      <c r="H878" s="28" t="n"/>
      <c r="I878" s="28" t="n"/>
      <c r="J878" s="54">
        <f>IF(OR(ISNUMBER(SEARCH("보류",K878)),ISNUMBER(SEARCH("미룸",K878)),ISNUMBER(SEARCH("나중에",K878)),ISNUMBER(SEARCH("보류",L878)),ISNUMBER(SEARCH("미룸",L878)),ISNUMBER(SEARCH("나중에",L878))),"보류(나중에 풀기)",IF(AND(F878="",G878="",H878="",I878=""),"미완료",IF(I878&lt;&gt;"","복습3(마스터)",IF(H878&lt;&gt;"","복습2",IF(G878&lt;&gt;"","복습1",IF(ISNUMBER(SEARCH("제미나이",K878)),"복습대기(AI도움)",IF(ISNUMBER(SEARCH("간당간당",K878)),"복습대기(간당간당)",IF(OR(ISNUMBER(SEARCH("아이디어",K878)),ISNUMBER(SEARCH("시간초과",K878)),ISNUMBER(SEARCH("자료구조",K878)),ISNUMBER(SEARCH("경계값",K878)),ISNUMBER(SEARCH("다른 풀이",K878)),ISNUMBER(SEARCH("또풀기",K878))),"복습대기",IF(OR(ISNUMBER(SEARCH("복습필요없음",K878)),ISNUMBER(SEARCH("자력완벽",K878))),"품(복습불필요)",IF(F878&lt;&gt;"","품","미완료"))))))))))</f>
        <v/>
      </c>
      <c r="K878" s="32" t="inlineStr">
        <is>
          <t>-</t>
        </is>
      </c>
      <c r="L878" s="32" t="n"/>
      <c r="M878" s="28">
        <f>IF(OR(LEFT(J878,2)="보류", LEFT(J878,4)="복습대기", LEFT(J878,3)="복습1", LEFT(J878,3)="복습2"), MAX($M$3:M877)+1, "")</f>
        <v/>
      </c>
      <c r="N878" s="28" t="inlineStr">
        <is>
          <t>W21</t>
        </is>
      </c>
      <c r="O878" s="36" t="n">
        <v>46401</v>
      </c>
      <c r="P878" s="30">
        <f>IF(F878&lt;&gt;"","✅ 완료",IF(O878="","-",IF(TODAY()&gt;O878,"🚨 지연","⏳ 예정")))</f>
        <v/>
      </c>
      <c r="Q878" s="7" t="n"/>
      <c r="R878" s="7" t="n"/>
      <c r="S878" s="7" t="n"/>
      <c r="T878" s="7" t="n"/>
      <c r="U878" s="7" t="n"/>
      <c r="V878" s="7" t="n"/>
      <c r="W878" s="7" t="n"/>
      <c r="X878" s="7" t="n"/>
    </row>
    <row r="879" ht="21.75" customHeight="1" s="209">
      <c r="A879" s="28" t="n">
        <v>876</v>
      </c>
      <c r="B879" s="28" t="inlineStr">
        <is>
          <t>10909</t>
        </is>
      </c>
      <c r="C879" s="30" t="inlineStr">
        <is>
          <t>D6</t>
        </is>
      </c>
      <c r="D879" s="32" t="inlineStr">
        <is>
          <t>트리 부수기</t>
        </is>
      </c>
      <c r="E879" s="28" t="inlineStr">
        <is>
          <t>트리 / 힙 / 세그먼트트리</t>
        </is>
      </c>
      <c r="F879" s="28" t="n"/>
      <c r="G879" s="28" t="n"/>
      <c r="H879" s="28" t="n"/>
      <c r="I879" s="28" t="n"/>
      <c r="J879" s="54">
        <f>IF(OR(ISNUMBER(SEARCH("보류",K879)),ISNUMBER(SEARCH("미룸",K879)),ISNUMBER(SEARCH("나중에",K879)),ISNUMBER(SEARCH("보류",L879)),ISNUMBER(SEARCH("미룸",L879)),ISNUMBER(SEARCH("나중에",L879))),"보류(나중에 풀기)",IF(AND(F879="",G879="",H879="",I879=""),"미완료",IF(I879&lt;&gt;"","복습3(마스터)",IF(H879&lt;&gt;"","복습2",IF(G879&lt;&gt;"","복습1",IF(ISNUMBER(SEARCH("제미나이",K879)),"복습대기(AI도움)",IF(ISNUMBER(SEARCH("간당간당",K879)),"복습대기(간당간당)",IF(OR(ISNUMBER(SEARCH("아이디어",K879)),ISNUMBER(SEARCH("시간초과",K879)),ISNUMBER(SEARCH("자료구조",K879)),ISNUMBER(SEARCH("경계값",K879)),ISNUMBER(SEARCH("다른 풀이",K879)),ISNUMBER(SEARCH("또풀기",K879))),"복습대기",IF(OR(ISNUMBER(SEARCH("복습필요없음",K879)),ISNUMBER(SEARCH("자력완벽",K879))),"품(복습불필요)",IF(F879&lt;&gt;"","품","미완료"))))))))))</f>
        <v/>
      </c>
      <c r="K879" s="32" t="inlineStr">
        <is>
          <t>-</t>
        </is>
      </c>
      <c r="L879" s="32" t="n"/>
      <c r="M879" s="28">
        <f>IF(OR(LEFT(J879,2)="보류", LEFT(J879,4)="복습대기", LEFT(J879,3)="복습1", LEFT(J879,3)="복습2"), MAX($M$3:M878)+1, "")</f>
        <v/>
      </c>
      <c r="N879" s="28" t="inlineStr">
        <is>
          <t>W21</t>
        </is>
      </c>
      <c r="O879" s="36" t="n">
        <v>46401</v>
      </c>
      <c r="P879" s="30">
        <f>IF(F879&lt;&gt;"","✅ 완료",IF(O879="","-",IF(TODAY()&gt;O879,"🚨 지연","⏳ 예정")))</f>
        <v/>
      </c>
      <c r="Q879" s="7" t="n"/>
      <c r="R879" s="7" t="n"/>
      <c r="S879" s="7" t="n"/>
      <c r="T879" s="7" t="n"/>
      <c r="U879" s="7" t="n"/>
      <c r="V879" s="7" t="n"/>
      <c r="W879" s="7" t="n"/>
      <c r="X879" s="7" t="n"/>
    </row>
    <row r="880" ht="21.75" customHeight="1" s="209">
      <c r="A880" s="28" t="n">
        <v>877</v>
      </c>
      <c r="B880" s="28" t="inlineStr">
        <is>
          <t>10968</t>
        </is>
      </c>
      <c r="C880" s="30" t="inlineStr">
        <is>
          <t>D6</t>
        </is>
      </c>
      <c r="D880" s="32" t="inlineStr">
        <is>
          <t>슬럼프에 빠진 프로그래머</t>
        </is>
      </c>
      <c r="E880" s="28" t="inlineStr">
        <is>
          <t>동적계획법 (DP) / 그래프</t>
        </is>
      </c>
      <c r="F880" s="28" t="n"/>
      <c r="G880" s="28" t="n"/>
      <c r="H880" s="28" t="n"/>
      <c r="I880" s="28" t="n"/>
      <c r="J880" s="54">
        <f>IF(OR(ISNUMBER(SEARCH("보류",K880)),ISNUMBER(SEARCH("미룸",K880)),ISNUMBER(SEARCH("나중에",K880)),ISNUMBER(SEARCH("보류",L880)),ISNUMBER(SEARCH("미룸",L880)),ISNUMBER(SEARCH("나중에",L880))),"보류(나중에 풀기)",IF(AND(F880="",G880="",H880="",I880=""),"미완료",IF(I880&lt;&gt;"","복습3(마스터)",IF(H880&lt;&gt;"","복습2",IF(G880&lt;&gt;"","복습1",IF(ISNUMBER(SEARCH("제미나이",K880)),"복습대기(AI도움)",IF(ISNUMBER(SEARCH("간당간당",K880)),"복습대기(간당간당)",IF(OR(ISNUMBER(SEARCH("아이디어",K880)),ISNUMBER(SEARCH("시간초과",K880)),ISNUMBER(SEARCH("자료구조",K880)),ISNUMBER(SEARCH("경계값",K880)),ISNUMBER(SEARCH("다른 풀이",K880)),ISNUMBER(SEARCH("또풀기",K880))),"복습대기",IF(OR(ISNUMBER(SEARCH("복습필요없음",K880)),ISNUMBER(SEARCH("자력완벽",K880))),"품(복습불필요)",IF(F880&lt;&gt;"","품","미완료"))))))))))</f>
        <v/>
      </c>
      <c r="K880" s="32" t="inlineStr">
        <is>
          <t>-</t>
        </is>
      </c>
      <c r="L880" s="32" t="n"/>
      <c r="M880" s="28">
        <f>IF(OR(LEFT(J880,2)="보류", LEFT(J880,4)="복습대기", LEFT(J880,3)="복습1", LEFT(J880,3)="복습2"), MAX($M$3:M879)+1, "")</f>
        <v/>
      </c>
      <c r="N880" s="28" t="inlineStr">
        <is>
          <t>W21</t>
        </is>
      </c>
      <c r="O880" s="36" t="n">
        <v>46401</v>
      </c>
      <c r="P880" s="30">
        <f>IF(F880&lt;&gt;"","✅ 완료",IF(O880="","-",IF(TODAY()&gt;O880,"🚨 지연","⏳ 예정")))</f>
        <v/>
      </c>
      <c r="Q880" s="7" t="n"/>
      <c r="R880" s="7" t="n"/>
      <c r="S880" s="7" t="n"/>
      <c r="T880" s="7" t="n"/>
      <c r="U880" s="7" t="n"/>
      <c r="V880" s="7" t="n"/>
      <c r="W880" s="7" t="n"/>
      <c r="X880" s="7" t="n"/>
    </row>
    <row r="881" ht="21.75" customHeight="1" s="209">
      <c r="A881" s="28" t="n">
        <v>878</v>
      </c>
      <c r="B881" s="28" t="inlineStr">
        <is>
          <t>10997</t>
        </is>
      </c>
      <c r="C881" s="30" t="inlineStr">
        <is>
          <t>D6</t>
        </is>
      </c>
      <c r="D881" s="32" t="inlineStr">
        <is>
          <t>클러스터링</t>
        </is>
      </c>
      <c r="E881" s="28" t="inlineStr">
        <is>
          <t>동적계획법 (DP) / 그래프</t>
        </is>
      </c>
      <c r="F881" s="28" t="n"/>
      <c r="G881" s="28" t="n"/>
      <c r="H881" s="28" t="n"/>
      <c r="I881" s="28" t="n"/>
      <c r="J881" s="54">
        <f>IF(OR(ISNUMBER(SEARCH("보류",K881)),ISNUMBER(SEARCH("미룸",K881)),ISNUMBER(SEARCH("나중에",K881)),ISNUMBER(SEARCH("보류",L881)),ISNUMBER(SEARCH("미룸",L881)),ISNUMBER(SEARCH("나중에",L881))),"보류(나중에 풀기)",IF(AND(F881="",G881="",H881="",I881=""),"미완료",IF(I881&lt;&gt;"","복습3(마스터)",IF(H881&lt;&gt;"","복습2",IF(G881&lt;&gt;"","복습1",IF(ISNUMBER(SEARCH("제미나이",K881)),"복습대기(AI도움)",IF(ISNUMBER(SEARCH("간당간당",K881)),"복습대기(간당간당)",IF(OR(ISNUMBER(SEARCH("아이디어",K881)),ISNUMBER(SEARCH("시간초과",K881)),ISNUMBER(SEARCH("자료구조",K881)),ISNUMBER(SEARCH("경계값",K881)),ISNUMBER(SEARCH("다른 풀이",K881)),ISNUMBER(SEARCH("또풀기",K881))),"복습대기",IF(OR(ISNUMBER(SEARCH("복습필요없음",K881)),ISNUMBER(SEARCH("자력완벽",K881))),"품(복습불필요)",IF(F881&lt;&gt;"","품","미완료"))))))))))</f>
        <v/>
      </c>
      <c r="K881" s="32" t="inlineStr">
        <is>
          <t>-</t>
        </is>
      </c>
      <c r="L881" s="32" t="n"/>
      <c r="M881" s="28">
        <f>IF(OR(LEFT(J881,2)="보류", LEFT(J881,4)="복습대기", LEFT(J881,3)="복습1", LEFT(J881,3)="복습2"), MAX($M$3:M880)+1, "")</f>
        <v/>
      </c>
      <c r="N881" s="28" t="inlineStr">
        <is>
          <t>W21</t>
        </is>
      </c>
      <c r="O881" s="36" t="n">
        <v>46401</v>
      </c>
      <c r="P881" s="30">
        <f>IF(F881&lt;&gt;"","✅ 완료",IF(O881="","-",IF(TODAY()&gt;O881,"🚨 지연","⏳ 예정")))</f>
        <v/>
      </c>
      <c r="Q881" s="7" t="n"/>
      <c r="R881" s="7" t="n"/>
      <c r="S881" s="7" t="n"/>
      <c r="T881" s="7" t="n"/>
      <c r="U881" s="7" t="n"/>
      <c r="V881" s="7" t="n"/>
      <c r="W881" s="7" t="n"/>
      <c r="X881" s="7" t="n"/>
    </row>
    <row r="882" ht="21.75" customHeight="1" s="209">
      <c r="A882" s="28" t="n">
        <v>879</v>
      </c>
      <c r="B882" s="28" t="inlineStr">
        <is>
          <t>11115</t>
        </is>
      </c>
      <c r="C882" s="30" t="inlineStr">
        <is>
          <t>D6</t>
        </is>
      </c>
      <c r="D882" s="32" t="inlineStr">
        <is>
          <t>쿼리의 최대값</t>
        </is>
      </c>
      <c r="E882" s="28" t="inlineStr">
        <is>
          <t>동적계획법 (DP) / 그래프</t>
        </is>
      </c>
      <c r="F882" s="28" t="n"/>
      <c r="G882" s="28" t="n"/>
      <c r="H882" s="28" t="n"/>
      <c r="I882" s="28" t="n"/>
      <c r="J882" s="54">
        <f>IF(OR(ISNUMBER(SEARCH("보류",K882)),ISNUMBER(SEARCH("미룸",K882)),ISNUMBER(SEARCH("나중에",K882)),ISNUMBER(SEARCH("보류",L882)),ISNUMBER(SEARCH("미룸",L882)),ISNUMBER(SEARCH("나중에",L882))),"보류(나중에 풀기)",IF(AND(F882="",G882="",H882="",I882=""),"미완료",IF(I882&lt;&gt;"","복습3(마스터)",IF(H882&lt;&gt;"","복습2",IF(G882&lt;&gt;"","복습1",IF(ISNUMBER(SEARCH("제미나이",K882)),"복습대기(AI도움)",IF(ISNUMBER(SEARCH("간당간당",K882)),"복습대기(간당간당)",IF(OR(ISNUMBER(SEARCH("아이디어",K882)),ISNUMBER(SEARCH("시간초과",K882)),ISNUMBER(SEARCH("자료구조",K882)),ISNUMBER(SEARCH("경계값",K882)),ISNUMBER(SEARCH("다른 풀이",K882)),ISNUMBER(SEARCH("또풀기",K882))),"복습대기",IF(OR(ISNUMBER(SEARCH("복습필요없음",K882)),ISNUMBER(SEARCH("자력완벽",K882))),"품(복습불필요)",IF(F882&lt;&gt;"","품","미완료"))))))))))</f>
        <v/>
      </c>
      <c r="K882" s="32" t="inlineStr">
        <is>
          <t>-</t>
        </is>
      </c>
      <c r="L882" s="32" t="n"/>
      <c r="M882" s="28">
        <f>IF(OR(LEFT(J882,2)="보류", LEFT(J882,4)="복습대기", LEFT(J882,3)="복습1", LEFT(J882,3)="복습2"), MAX($M$3:M881)+1, "")</f>
        <v/>
      </c>
      <c r="N882" s="28" t="inlineStr">
        <is>
          <t>W21</t>
        </is>
      </c>
      <c r="O882" s="36" t="n">
        <v>46402</v>
      </c>
      <c r="P882" s="30">
        <f>IF(F882&lt;&gt;"","✅ 완료",IF(O882="","-",IF(TODAY()&gt;O882,"🚨 지연","⏳ 예정")))</f>
        <v/>
      </c>
      <c r="Q882" s="7" t="n"/>
      <c r="R882" s="7" t="n"/>
      <c r="S882" s="7" t="n"/>
      <c r="T882" s="7" t="n"/>
      <c r="U882" s="7" t="n"/>
      <c r="V882" s="7" t="n"/>
      <c r="W882" s="7" t="n"/>
      <c r="X882" s="7" t="n"/>
    </row>
    <row r="883" ht="21.75" customHeight="1" s="209">
      <c r="A883" s="28" t="n">
        <v>880</v>
      </c>
      <c r="B883" s="28" t="inlineStr">
        <is>
          <t>11116</t>
        </is>
      </c>
      <c r="C883" s="30" t="inlineStr">
        <is>
          <t>D6</t>
        </is>
      </c>
      <c r="D883" s="32" t="inlineStr">
        <is>
          <t>소수 뒤집기</t>
        </is>
      </c>
      <c r="E883" s="28" t="inlineStr">
        <is>
          <t>수학 / 정수론</t>
        </is>
      </c>
      <c r="F883" s="28" t="n"/>
      <c r="G883" s="28" t="n"/>
      <c r="H883" s="28" t="n"/>
      <c r="I883" s="28" t="n"/>
      <c r="J883" s="54">
        <f>IF(OR(ISNUMBER(SEARCH("보류",K883)),ISNUMBER(SEARCH("미룸",K883)),ISNUMBER(SEARCH("나중에",K883)),ISNUMBER(SEARCH("보류",L883)),ISNUMBER(SEARCH("미룸",L883)),ISNUMBER(SEARCH("나중에",L883))),"보류(나중에 풀기)",IF(AND(F883="",G883="",H883="",I883=""),"미완료",IF(I883&lt;&gt;"","복습3(마스터)",IF(H883&lt;&gt;"","복습2",IF(G883&lt;&gt;"","복습1",IF(ISNUMBER(SEARCH("제미나이",K883)),"복습대기(AI도움)",IF(ISNUMBER(SEARCH("간당간당",K883)),"복습대기(간당간당)",IF(OR(ISNUMBER(SEARCH("아이디어",K883)),ISNUMBER(SEARCH("시간초과",K883)),ISNUMBER(SEARCH("자료구조",K883)),ISNUMBER(SEARCH("경계값",K883)),ISNUMBER(SEARCH("다른 풀이",K883)),ISNUMBER(SEARCH("또풀기",K883))),"복습대기",IF(OR(ISNUMBER(SEARCH("복습필요없음",K883)),ISNUMBER(SEARCH("자력완벽",K883))),"품(복습불필요)",IF(F883&lt;&gt;"","품","미완료"))))))))))</f>
        <v/>
      </c>
      <c r="K883" s="32" t="inlineStr">
        <is>
          <t>-</t>
        </is>
      </c>
      <c r="L883" s="32" t="n"/>
      <c r="M883" s="28">
        <f>IF(OR(LEFT(J883,2)="보류", LEFT(J883,4)="복습대기", LEFT(J883,3)="복습1", LEFT(J883,3)="복습2"), MAX($M$3:M882)+1, "")</f>
        <v/>
      </c>
      <c r="N883" s="28" t="inlineStr">
        <is>
          <t>W21</t>
        </is>
      </c>
      <c r="O883" s="36" t="n">
        <v>46402</v>
      </c>
      <c r="P883" s="30">
        <f>IF(F883&lt;&gt;"","✅ 완료",IF(O883="","-",IF(TODAY()&gt;O883,"🚨 지연","⏳ 예정")))</f>
        <v/>
      </c>
      <c r="Q883" s="7" t="n"/>
      <c r="R883" s="7" t="n"/>
      <c r="S883" s="7" t="n"/>
      <c r="T883" s="7" t="n"/>
      <c r="U883" s="7" t="n"/>
      <c r="V883" s="7" t="n"/>
      <c r="W883" s="7" t="n"/>
      <c r="X883" s="7" t="n"/>
    </row>
    <row r="884" ht="21.75" customHeight="1" s="209">
      <c r="A884" s="28" t="n">
        <v>881</v>
      </c>
      <c r="B884" s="28" t="inlineStr">
        <is>
          <t>11287</t>
        </is>
      </c>
      <c r="C884" s="30" t="inlineStr">
        <is>
          <t>D6</t>
        </is>
      </c>
      <c r="D884" s="32" t="inlineStr">
        <is>
          <t>보석 도둑</t>
        </is>
      </c>
      <c r="E884" s="28" t="inlineStr">
        <is>
          <t>동적계획법 (DP) / 그래프</t>
        </is>
      </c>
      <c r="F884" s="28" t="n"/>
      <c r="G884" s="28" t="n"/>
      <c r="H884" s="28" t="n"/>
      <c r="I884" s="28" t="n"/>
      <c r="J884" s="54">
        <f>IF(OR(ISNUMBER(SEARCH("보류",K884)),ISNUMBER(SEARCH("미룸",K884)),ISNUMBER(SEARCH("나중에",K884)),ISNUMBER(SEARCH("보류",L884)),ISNUMBER(SEARCH("미룸",L884)),ISNUMBER(SEARCH("나중에",L884))),"보류(나중에 풀기)",IF(AND(F884="",G884="",H884="",I884=""),"미완료",IF(I884&lt;&gt;"","복습3(마스터)",IF(H884&lt;&gt;"","복습2",IF(G884&lt;&gt;"","복습1",IF(ISNUMBER(SEARCH("제미나이",K884)),"복습대기(AI도움)",IF(ISNUMBER(SEARCH("간당간당",K884)),"복습대기(간당간당)",IF(OR(ISNUMBER(SEARCH("아이디어",K884)),ISNUMBER(SEARCH("시간초과",K884)),ISNUMBER(SEARCH("자료구조",K884)),ISNUMBER(SEARCH("경계값",K884)),ISNUMBER(SEARCH("다른 풀이",K884)),ISNUMBER(SEARCH("또풀기",K884))),"복습대기",IF(OR(ISNUMBER(SEARCH("복습필요없음",K884)),ISNUMBER(SEARCH("자력완벽",K884))),"품(복습불필요)",IF(F884&lt;&gt;"","품","미완료"))))))))))</f>
        <v/>
      </c>
      <c r="K884" s="32" t="inlineStr">
        <is>
          <t>-</t>
        </is>
      </c>
      <c r="L884" s="32" t="n"/>
      <c r="M884" s="28">
        <f>IF(OR(LEFT(J884,2)="보류", LEFT(J884,4)="복습대기", LEFT(J884,3)="복습1", LEFT(J884,3)="복습2"), MAX($M$3:M883)+1, "")</f>
        <v/>
      </c>
      <c r="N884" s="28" t="inlineStr">
        <is>
          <t>W21</t>
        </is>
      </c>
      <c r="O884" s="36" t="n">
        <v>46402</v>
      </c>
      <c r="P884" s="30">
        <f>IF(F884&lt;&gt;"","✅ 완료",IF(O884="","-",IF(TODAY()&gt;O884,"🚨 지연","⏳ 예정")))</f>
        <v/>
      </c>
      <c r="Q884" s="7" t="n"/>
      <c r="R884" s="7" t="n"/>
      <c r="S884" s="7" t="n"/>
      <c r="T884" s="7" t="n"/>
      <c r="U884" s="7" t="n"/>
      <c r="V884" s="7" t="n"/>
      <c r="W884" s="7" t="n"/>
      <c r="X884" s="7" t="n"/>
    </row>
    <row r="885" ht="21.75" customHeight="1" s="209">
      <c r="A885" s="28" t="n">
        <v>882</v>
      </c>
      <c r="B885" s="28" t="inlineStr">
        <is>
          <t>11317</t>
        </is>
      </c>
      <c r="C885" s="30" t="inlineStr">
        <is>
          <t>D6</t>
        </is>
      </c>
      <c r="D885" s="32" t="inlineStr">
        <is>
          <t>가위바위보와 무승부</t>
        </is>
      </c>
      <c r="E885" s="28" t="inlineStr">
        <is>
          <t>동적계획법 (DP) / 그래프</t>
        </is>
      </c>
      <c r="F885" s="28" t="n"/>
      <c r="G885" s="28" t="n"/>
      <c r="H885" s="28" t="n"/>
      <c r="I885" s="28" t="n"/>
      <c r="J885" s="54">
        <f>IF(OR(ISNUMBER(SEARCH("보류",K885)),ISNUMBER(SEARCH("미룸",K885)),ISNUMBER(SEARCH("나중에",K885)),ISNUMBER(SEARCH("보류",L885)),ISNUMBER(SEARCH("미룸",L885)),ISNUMBER(SEARCH("나중에",L885))),"보류(나중에 풀기)",IF(AND(F885="",G885="",H885="",I885=""),"미완료",IF(I885&lt;&gt;"","복습3(마스터)",IF(H885&lt;&gt;"","복습2",IF(G885&lt;&gt;"","복습1",IF(ISNUMBER(SEARCH("제미나이",K885)),"복습대기(AI도움)",IF(ISNUMBER(SEARCH("간당간당",K885)),"복습대기(간당간당)",IF(OR(ISNUMBER(SEARCH("아이디어",K885)),ISNUMBER(SEARCH("시간초과",K885)),ISNUMBER(SEARCH("자료구조",K885)),ISNUMBER(SEARCH("경계값",K885)),ISNUMBER(SEARCH("다른 풀이",K885)),ISNUMBER(SEARCH("또풀기",K885))),"복습대기",IF(OR(ISNUMBER(SEARCH("복습필요없음",K885)),ISNUMBER(SEARCH("자력완벽",K885))),"품(복습불필요)",IF(F885&lt;&gt;"","품","미완료"))))))))))</f>
        <v/>
      </c>
      <c r="K885" s="32" t="inlineStr">
        <is>
          <t>-</t>
        </is>
      </c>
      <c r="L885" s="32" t="n"/>
      <c r="M885" s="28">
        <f>IF(OR(LEFT(J885,2)="보류", LEFT(J885,4)="복습대기", LEFT(J885,3)="복습1", LEFT(J885,3)="복습2"), MAX($M$3:M884)+1, "")</f>
        <v/>
      </c>
      <c r="N885" s="28" t="inlineStr">
        <is>
          <t>W21</t>
        </is>
      </c>
      <c r="O885" s="36" t="n">
        <v>46402</v>
      </c>
      <c r="P885" s="30">
        <f>IF(F885&lt;&gt;"","✅ 완료",IF(O885="","-",IF(TODAY()&gt;O885,"🚨 지연","⏳ 예정")))</f>
        <v/>
      </c>
      <c r="Q885" s="7" t="n"/>
      <c r="R885" s="7" t="n"/>
      <c r="S885" s="7" t="n"/>
      <c r="T885" s="7" t="n"/>
      <c r="U885" s="7" t="n"/>
      <c r="V885" s="7" t="n"/>
      <c r="W885" s="7" t="n"/>
      <c r="X885" s="7" t="n"/>
    </row>
    <row r="886" ht="21.75" customHeight="1" s="209">
      <c r="A886" s="28" t="n">
        <v>883</v>
      </c>
      <c r="B886" s="28" t="inlineStr">
        <is>
          <t>11389</t>
        </is>
      </c>
      <c r="C886" s="30" t="inlineStr">
        <is>
          <t>D6</t>
        </is>
      </c>
      <c r="D886" s="32" t="inlineStr">
        <is>
          <t>연속하는 수의 곱셈</t>
        </is>
      </c>
      <c r="E886" s="28" t="inlineStr">
        <is>
          <t>수학 / 정수론</t>
        </is>
      </c>
      <c r="F886" s="28" t="n"/>
      <c r="G886" s="28" t="n"/>
      <c r="H886" s="28" t="n"/>
      <c r="I886" s="28" t="n"/>
      <c r="J886" s="54">
        <f>IF(OR(ISNUMBER(SEARCH("보류",K886)),ISNUMBER(SEARCH("미룸",K886)),ISNUMBER(SEARCH("나중에",K886)),ISNUMBER(SEARCH("보류",L886)),ISNUMBER(SEARCH("미룸",L886)),ISNUMBER(SEARCH("나중에",L886))),"보류(나중에 풀기)",IF(AND(F886="",G886="",H886="",I886=""),"미완료",IF(I886&lt;&gt;"","복습3(마스터)",IF(H886&lt;&gt;"","복습2",IF(G886&lt;&gt;"","복습1",IF(ISNUMBER(SEARCH("제미나이",K886)),"복습대기(AI도움)",IF(ISNUMBER(SEARCH("간당간당",K886)),"복습대기(간당간당)",IF(OR(ISNUMBER(SEARCH("아이디어",K886)),ISNUMBER(SEARCH("시간초과",K886)),ISNUMBER(SEARCH("자료구조",K886)),ISNUMBER(SEARCH("경계값",K886)),ISNUMBER(SEARCH("다른 풀이",K886)),ISNUMBER(SEARCH("또풀기",K886))),"복습대기",IF(OR(ISNUMBER(SEARCH("복습필요없음",K886)),ISNUMBER(SEARCH("자력완벽",K886))),"품(복습불필요)",IF(F886&lt;&gt;"","품","미완료"))))))))))</f>
        <v/>
      </c>
      <c r="K886" s="32" t="inlineStr">
        <is>
          <t>-</t>
        </is>
      </c>
      <c r="L886" s="32" t="n"/>
      <c r="M886" s="28">
        <f>IF(OR(LEFT(J886,2)="보류", LEFT(J886,4)="복습대기", LEFT(J886,3)="복습1", LEFT(J886,3)="복습2"), MAX($M$3:M885)+1, "")</f>
        <v/>
      </c>
      <c r="N886" s="28" t="inlineStr">
        <is>
          <t>W21</t>
        </is>
      </c>
      <c r="O886" s="36" t="n">
        <v>46402</v>
      </c>
      <c r="P886" s="30">
        <f>IF(F886&lt;&gt;"","✅ 완료",IF(O886="","-",IF(TODAY()&gt;O886,"🚨 지연","⏳ 예정")))</f>
        <v/>
      </c>
      <c r="Q886" s="7" t="n"/>
      <c r="R886" s="7" t="n"/>
      <c r="S886" s="7" t="n"/>
      <c r="T886" s="7" t="n"/>
      <c r="U886" s="7" t="n"/>
      <c r="V886" s="7" t="n"/>
      <c r="W886" s="7" t="n"/>
      <c r="X886" s="7" t="n"/>
    </row>
    <row r="887" ht="21.75" customHeight="1" s="209">
      <c r="A887" s="28" t="n">
        <v>884</v>
      </c>
      <c r="B887" s="28" t="inlineStr">
        <is>
          <t>11447</t>
        </is>
      </c>
      <c r="C887" s="30" t="inlineStr">
        <is>
          <t>D6</t>
        </is>
      </c>
      <c r="D887" s="32" t="inlineStr">
        <is>
          <t>최솟값의 인덱스</t>
        </is>
      </c>
      <c r="E887" s="28" t="inlineStr">
        <is>
          <t>자료구조 (스택/큐/리스트)</t>
        </is>
      </c>
      <c r="F887" s="28" t="n"/>
      <c r="G887" s="28" t="n"/>
      <c r="H887" s="28" t="n"/>
      <c r="I887" s="28" t="n"/>
      <c r="J887" s="54">
        <f>IF(OR(ISNUMBER(SEARCH("보류",K887)),ISNUMBER(SEARCH("미룸",K887)),ISNUMBER(SEARCH("나중에",K887)),ISNUMBER(SEARCH("보류",L887)),ISNUMBER(SEARCH("미룸",L887)),ISNUMBER(SEARCH("나중에",L887))),"보류(나중에 풀기)",IF(AND(F887="",G887="",H887="",I887=""),"미완료",IF(I887&lt;&gt;"","복습3(마스터)",IF(H887&lt;&gt;"","복습2",IF(G887&lt;&gt;"","복습1",IF(ISNUMBER(SEARCH("제미나이",K887)),"복습대기(AI도움)",IF(ISNUMBER(SEARCH("간당간당",K887)),"복습대기(간당간당)",IF(OR(ISNUMBER(SEARCH("아이디어",K887)),ISNUMBER(SEARCH("시간초과",K887)),ISNUMBER(SEARCH("자료구조",K887)),ISNUMBER(SEARCH("경계값",K887)),ISNUMBER(SEARCH("다른 풀이",K887)),ISNUMBER(SEARCH("또풀기",K887))),"복습대기",IF(OR(ISNUMBER(SEARCH("복습필요없음",K887)),ISNUMBER(SEARCH("자력완벽",K887))),"품(복습불필요)",IF(F887&lt;&gt;"","품","미완료"))))))))))</f>
        <v/>
      </c>
      <c r="K887" s="32" t="inlineStr">
        <is>
          <t>-</t>
        </is>
      </c>
      <c r="L887" s="32" t="n"/>
      <c r="M887" s="28">
        <f>IF(OR(LEFT(J887,2)="보류", LEFT(J887,4)="복습대기", LEFT(J887,3)="복습1", LEFT(J887,3)="복습2"), MAX($M$3:M886)+1, "")</f>
        <v/>
      </c>
      <c r="N887" s="28" t="inlineStr">
        <is>
          <t>W21</t>
        </is>
      </c>
      <c r="O887" s="36" t="n">
        <v>46402</v>
      </c>
      <c r="P887" s="30">
        <f>IF(F887&lt;&gt;"","✅ 완료",IF(O887="","-",IF(TODAY()&gt;O887,"🚨 지연","⏳ 예정")))</f>
        <v/>
      </c>
      <c r="Q887" s="7" t="n"/>
      <c r="R887" s="7" t="n"/>
      <c r="S887" s="7" t="n"/>
      <c r="T887" s="7" t="n"/>
      <c r="U887" s="7" t="n"/>
      <c r="V887" s="7" t="n"/>
      <c r="W887" s="7" t="n"/>
      <c r="X887" s="7" t="n"/>
    </row>
    <row r="888" ht="21.75" customHeight="1" s="209">
      <c r="A888" s="28" t="n">
        <v>885</v>
      </c>
      <c r="B888" s="28" t="inlineStr">
        <is>
          <t>11547</t>
        </is>
      </c>
      <c r="C888" s="30" t="inlineStr">
        <is>
          <t>D6</t>
        </is>
      </c>
      <c r="D888" s="32" t="inlineStr">
        <is>
          <t>보물</t>
        </is>
      </c>
      <c r="E888" s="28" t="inlineStr">
        <is>
          <t>동적계획법 (DP) / 그래프</t>
        </is>
      </c>
      <c r="F888" s="28" t="n"/>
      <c r="G888" s="28" t="n"/>
      <c r="H888" s="28" t="n"/>
      <c r="I888" s="28" t="n"/>
      <c r="J888" s="54">
        <f>IF(OR(ISNUMBER(SEARCH("보류",K888)),ISNUMBER(SEARCH("미룸",K888)),ISNUMBER(SEARCH("나중에",K888)),ISNUMBER(SEARCH("보류",L888)),ISNUMBER(SEARCH("미룸",L888)),ISNUMBER(SEARCH("나중에",L888))),"보류(나중에 풀기)",IF(AND(F888="",G888="",H888="",I888=""),"미완료",IF(I888&lt;&gt;"","복습3(마스터)",IF(H888&lt;&gt;"","복습2",IF(G888&lt;&gt;"","복습1",IF(ISNUMBER(SEARCH("제미나이",K888)),"복습대기(AI도움)",IF(ISNUMBER(SEARCH("간당간당",K888)),"복습대기(간당간당)",IF(OR(ISNUMBER(SEARCH("아이디어",K888)),ISNUMBER(SEARCH("시간초과",K888)),ISNUMBER(SEARCH("자료구조",K888)),ISNUMBER(SEARCH("경계값",K888)),ISNUMBER(SEARCH("다른 풀이",K888)),ISNUMBER(SEARCH("또풀기",K888))),"복습대기",IF(OR(ISNUMBER(SEARCH("복습필요없음",K888)),ISNUMBER(SEARCH("자력완벽",K888))),"품(복습불필요)",IF(F888&lt;&gt;"","품","미완료"))))))))))</f>
        <v/>
      </c>
      <c r="K888" s="32" t="inlineStr">
        <is>
          <t>-</t>
        </is>
      </c>
      <c r="L888" s="32" t="n"/>
      <c r="M888" s="28">
        <f>IF(OR(LEFT(J888,2)="보류", LEFT(J888,4)="복습대기", LEFT(J888,3)="복습1", LEFT(J888,3)="복습2"), MAX($M$3:M887)+1, "")</f>
        <v/>
      </c>
      <c r="N888" s="28" t="inlineStr">
        <is>
          <t>W21</t>
        </is>
      </c>
      <c r="O888" s="36" t="n">
        <v>46402</v>
      </c>
      <c r="P888" s="30">
        <f>IF(F888&lt;&gt;"","✅ 완료",IF(O888="","-",IF(TODAY()&gt;O888,"🚨 지연","⏳ 예정")))</f>
        <v/>
      </c>
      <c r="Q888" s="7" t="n"/>
      <c r="R888" s="7" t="n"/>
      <c r="S888" s="7" t="n"/>
      <c r="T888" s="7" t="n"/>
      <c r="U888" s="7" t="n"/>
      <c r="V888" s="7" t="n"/>
      <c r="W888" s="7" t="n"/>
      <c r="X888" s="7" t="n"/>
    </row>
    <row r="889" ht="21.75" customHeight="1" s="209">
      <c r="A889" s="28" t="n">
        <v>886</v>
      </c>
      <c r="B889" s="28" t="inlineStr">
        <is>
          <t>11594</t>
        </is>
      </c>
      <c r="C889" s="30" t="inlineStr">
        <is>
          <t>D6</t>
        </is>
      </c>
      <c r="D889" s="32" t="inlineStr">
        <is>
          <t>두 트리</t>
        </is>
      </c>
      <c r="E889" s="28" t="inlineStr">
        <is>
          <t>트리 / 힙 / 세그먼트트리</t>
        </is>
      </c>
      <c r="F889" s="28" t="n"/>
      <c r="G889" s="28" t="n"/>
      <c r="H889" s="28" t="n"/>
      <c r="I889" s="28" t="n"/>
      <c r="J889" s="54">
        <f>IF(OR(ISNUMBER(SEARCH("보류",K889)),ISNUMBER(SEARCH("미룸",K889)),ISNUMBER(SEARCH("나중에",K889)),ISNUMBER(SEARCH("보류",L889)),ISNUMBER(SEARCH("미룸",L889)),ISNUMBER(SEARCH("나중에",L889))),"보류(나중에 풀기)",IF(AND(F889="",G889="",H889="",I889=""),"미완료",IF(I889&lt;&gt;"","복습3(마스터)",IF(H889&lt;&gt;"","복습2",IF(G889&lt;&gt;"","복습1",IF(ISNUMBER(SEARCH("제미나이",K889)),"복습대기(AI도움)",IF(ISNUMBER(SEARCH("간당간당",K889)),"복습대기(간당간당)",IF(OR(ISNUMBER(SEARCH("아이디어",K889)),ISNUMBER(SEARCH("시간초과",K889)),ISNUMBER(SEARCH("자료구조",K889)),ISNUMBER(SEARCH("경계값",K889)),ISNUMBER(SEARCH("다른 풀이",K889)),ISNUMBER(SEARCH("또풀기",K889))),"복습대기",IF(OR(ISNUMBER(SEARCH("복습필요없음",K889)),ISNUMBER(SEARCH("자력완벽",K889))),"품(복습불필요)",IF(F889&lt;&gt;"","품","미완료"))))))))))</f>
        <v/>
      </c>
      <c r="K889" s="32" t="inlineStr">
        <is>
          <t>-</t>
        </is>
      </c>
      <c r="L889" s="32" t="n"/>
      <c r="M889" s="28">
        <f>IF(OR(LEFT(J889,2)="보류", LEFT(J889,4)="복습대기", LEFT(J889,3)="복습1", LEFT(J889,3)="복습2"), MAX($M$3:M888)+1, "")</f>
        <v/>
      </c>
      <c r="N889" s="28" t="inlineStr">
        <is>
          <t>W21</t>
        </is>
      </c>
      <c r="O889" s="36" t="n">
        <v>46403</v>
      </c>
      <c r="P889" s="30">
        <f>IF(F889&lt;&gt;"","✅ 완료",IF(O889="","-",IF(TODAY()&gt;O889,"🚨 지연","⏳ 예정")))</f>
        <v/>
      </c>
      <c r="Q889" s="7" t="n"/>
      <c r="R889" s="7" t="n"/>
      <c r="S889" s="7" t="n"/>
      <c r="T889" s="7" t="n"/>
      <c r="U889" s="7" t="n"/>
      <c r="V889" s="7" t="n"/>
      <c r="W889" s="7" t="n"/>
      <c r="X889" s="7" t="n"/>
    </row>
    <row r="890" ht="21.75" customHeight="1" s="209">
      <c r="A890" s="28" t="n">
        <v>887</v>
      </c>
      <c r="B890" s="28" t="inlineStr">
        <is>
          <t>11690</t>
        </is>
      </c>
      <c r="C890" s="30" t="inlineStr">
        <is>
          <t>D6</t>
        </is>
      </c>
      <c r="D890" s="32" t="inlineStr">
        <is>
          <t>부분수열의 증가수열</t>
        </is>
      </c>
      <c r="E890" s="28" t="inlineStr">
        <is>
          <t>동적계획법 (DP)</t>
        </is>
      </c>
      <c r="F890" s="28" t="n"/>
      <c r="G890" s="28" t="n"/>
      <c r="H890" s="28" t="n"/>
      <c r="I890" s="28" t="n"/>
      <c r="J890" s="54">
        <f>IF(OR(ISNUMBER(SEARCH("보류",K890)),ISNUMBER(SEARCH("미룸",K890)),ISNUMBER(SEARCH("나중에",K890)),ISNUMBER(SEARCH("보류",L890)),ISNUMBER(SEARCH("미룸",L890)),ISNUMBER(SEARCH("나중에",L890))),"보류(나중에 풀기)",IF(AND(F890="",G890="",H890="",I890=""),"미완료",IF(I890&lt;&gt;"","복습3(마스터)",IF(H890&lt;&gt;"","복습2",IF(G890&lt;&gt;"","복습1",IF(ISNUMBER(SEARCH("제미나이",K890)),"복습대기(AI도움)",IF(ISNUMBER(SEARCH("간당간당",K890)),"복습대기(간당간당)",IF(OR(ISNUMBER(SEARCH("아이디어",K890)),ISNUMBER(SEARCH("시간초과",K890)),ISNUMBER(SEARCH("자료구조",K890)),ISNUMBER(SEARCH("경계값",K890)),ISNUMBER(SEARCH("다른 풀이",K890)),ISNUMBER(SEARCH("또풀기",K890))),"복습대기",IF(OR(ISNUMBER(SEARCH("복습필요없음",K890)),ISNUMBER(SEARCH("자력완벽",K890))),"품(복습불필요)",IF(F890&lt;&gt;"","품","미완료"))))))))))</f>
        <v/>
      </c>
      <c r="K890" s="32" t="inlineStr">
        <is>
          <t>-</t>
        </is>
      </c>
      <c r="L890" s="32" t="n"/>
      <c r="M890" s="28">
        <f>IF(OR(LEFT(J890,2)="보류", LEFT(J890,4)="복습대기", LEFT(J890,3)="복습1", LEFT(J890,3)="복습2"), MAX($M$3:M889)+1, "")</f>
        <v/>
      </c>
      <c r="N890" s="28" t="inlineStr">
        <is>
          <t>W21</t>
        </is>
      </c>
      <c r="O890" s="36" t="n">
        <v>46403</v>
      </c>
      <c r="P890" s="30">
        <f>IF(F890&lt;&gt;"","✅ 완료",IF(O890="","-",IF(TODAY()&gt;O890,"🚨 지연","⏳ 예정")))</f>
        <v/>
      </c>
      <c r="Q890" s="7" t="n"/>
      <c r="R890" s="7" t="n"/>
      <c r="S890" s="7" t="n"/>
      <c r="T890" s="7" t="n"/>
      <c r="U890" s="7" t="n"/>
      <c r="V890" s="7" t="n"/>
      <c r="W890" s="7" t="n"/>
      <c r="X890" s="7" t="n"/>
    </row>
    <row r="891" ht="21.75" customHeight="1" s="209">
      <c r="A891" s="28" t="n">
        <v>888</v>
      </c>
      <c r="B891" s="28" t="inlineStr">
        <is>
          <t>11738</t>
        </is>
      </c>
      <c r="C891" s="30" t="inlineStr">
        <is>
          <t>D6</t>
        </is>
      </c>
      <c r="D891" s="32" t="inlineStr">
        <is>
          <t>에너지 절약</t>
        </is>
      </c>
      <c r="E891" s="28" t="inlineStr">
        <is>
          <t>동적계획법 (DP) / 그래프</t>
        </is>
      </c>
      <c r="F891" s="28" t="n"/>
      <c r="G891" s="28" t="n"/>
      <c r="H891" s="28" t="n"/>
      <c r="I891" s="28" t="n"/>
      <c r="J891" s="54">
        <f>IF(OR(ISNUMBER(SEARCH("보류",K891)),ISNUMBER(SEARCH("미룸",K891)),ISNUMBER(SEARCH("나중에",K891)),ISNUMBER(SEARCH("보류",L891)),ISNUMBER(SEARCH("미룸",L891)),ISNUMBER(SEARCH("나중에",L891))),"보류(나중에 풀기)",IF(AND(F891="",G891="",H891="",I891=""),"미완료",IF(I891&lt;&gt;"","복습3(마스터)",IF(H891&lt;&gt;"","복습2",IF(G891&lt;&gt;"","복습1",IF(ISNUMBER(SEARCH("제미나이",K891)),"복습대기(AI도움)",IF(ISNUMBER(SEARCH("간당간당",K891)),"복습대기(간당간당)",IF(OR(ISNUMBER(SEARCH("아이디어",K891)),ISNUMBER(SEARCH("시간초과",K891)),ISNUMBER(SEARCH("자료구조",K891)),ISNUMBER(SEARCH("경계값",K891)),ISNUMBER(SEARCH("다른 풀이",K891)),ISNUMBER(SEARCH("또풀기",K891))),"복습대기",IF(OR(ISNUMBER(SEARCH("복습필요없음",K891)),ISNUMBER(SEARCH("자력완벽",K891))),"품(복습불필요)",IF(F891&lt;&gt;"","품","미완료"))))))))))</f>
        <v/>
      </c>
      <c r="K891" s="32" t="inlineStr">
        <is>
          <t>-</t>
        </is>
      </c>
      <c r="L891" s="32" t="n"/>
      <c r="M891" s="28">
        <f>IF(OR(LEFT(J891,2)="보류", LEFT(J891,4)="복습대기", LEFT(J891,3)="복습1", LEFT(J891,3)="복습2"), MAX($M$3:M890)+1, "")</f>
        <v/>
      </c>
      <c r="N891" s="28" t="inlineStr">
        <is>
          <t>W21</t>
        </is>
      </c>
      <c r="O891" s="36" t="n">
        <v>46403</v>
      </c>
      <c r="P891" s="30">
        <f>IF(F891&lt;&gt;"","✅ 완료",IF(O891="","-",IF(TODAY()&gt;O891,"🚨 지연","⏳ 예정")))</f>
        <v/>
      </c>
      <c r="Q891" s="7" t="n"/>
      <c r="R891" s="7" t="n"/>
      <c r="S891" s="7" t="n"/>
      <c r="T891" s="7" t="n"/>
      <c r="U891" s="7" t="n"/>
      <c r="V891" s="7" t="n"/>
      <c r="W891" s="7" t="n"/>
      <c r="X891" s="7" t="n"/>
    </row>
    <row r="892" ht="21.75" customHeight="1" s="209">
      <c r="A892" s="28" t="n">
        <v>889</v>
      </c>
      <c r="B892" s="28" t="inlineStr">
        <is>
          <t>11858</t>
        </is>
      </c>
      <c r="C892" s="30" t="inlineStr">
        <is>
          <t>D6</t>
        </is>
      </c>
      <c r="D892" s="32" t="inlineStr">
        <is>
          <t>프로그래밍 캠프</t>
        </is>
      </c>
      <c r="E892" s="28" t="inlineStr">
        <is>
          <t>동적계획법 (DP) / 그래프</t>
        </is>
      </c>
      <c r="F892" s="28" t="n"/>
      <c r="G892" s="28" t="n"/>
      <c r="H892" s="28" t="n"/>
      <c r="I892" s="28" t="n"/>
      <c r="J892" s="54">
        <f>IF(OR(ISNUMBER(SEARCH("보류",K892)),ISNUMBER(SEARCH("미룸",K892)),ISNUMBER(SEARCH("나중에",K892)),ISNUMBER(SEARCH("보류",L892)),ISNUMBER(SEARCH("미룸",L892)),ISNUMBER(SEARCH("나중에",L892))),"보류(나중에 풀기)",IF(AND(F892="",G892="",H892="",I892=""),"미완료",IF(I892&lt;&gt;"","복습3(마스터)",IF(H892&lt;&gt;"","복습2",IF(G892&lt;&gt;"","복습1",IF(ISNUMBER(SEARCH("제미나이",K892)),"복습대기(AI도움)",IF(ISNUMBER(SEARCH("간당간당",K892)),"복습대기(간당간당)",IF(OR(ISNUMBER(SEARCH("아이디어",K892)),ISNUMBER(SEARCH("시간초과",K892)),ISNUMBER(SEARCH("자료구조",K892)),ISNUMBER(SEARCH("경계값",K892)),ISNUMBER(SEARCH("다른 풀이",K892)),ISNUMBER(SEARCH("또풀기",K892))),"복습대기",IF(OR(ISNUMBER(SEARCH("복습필요없음",K892)),ISNUMBER(SEARCH("자력완벽",K892))),"품(복습불필요)",IF(F892&lt;&gt;"","품","미완료"))))))))))</f>
        <v/>
      </c>
      <c r="K892" s="32" t="inlineStr">
        <is>
          <t>-</t>
        </is>
      </c>
      <c r="L892" s="32" t="n"/>
      <c r="M892" s="28">
        <f>IF(OR(LEFT(J892,2)="보류", LEFT(J892,4)="복습대기", LEFT(J892,3)="복습1", LEFT(J892,3)="복습2"), MAX($M$3:M891)+1, "")</f>
        <v/>
      </c>
      <c r="N892" s="28" t="inlineStr">
        <is>
          <t>W21</t>
        </is>
      </c>
      <c r="O892" s="36" t="n">
        <v>46403</v>
      </c>
      <c r="P892" s="30">
        <f>IF(F892&lt;&gt;"","✅ 완료",IF(O892="","-",IF(TODAY()&gt;O892,"🚨 지연","⏳ 예정")))</f>
        <v/>
      </c>
      <c r="Q892" s="7" t="n"/>
      <c r="R892" s="7" t="n"/>
      <c r="S892" s="7" t="n"/>
      <c r="T892" s="7" t="n"/>
      <c r="U892" s="7" t="n"/>
      <c r="V892" s="7" t="n"/>
      <c r="W892" s="7" t="n"/>
      <c r="X892" s="7" t="n"/>
    </row>
    <row r="893" ht="21.75" customHeight="1" s="209">
      <c r="A893" s="28" t="n">
        <v>890</v>
      </c>
      <c r="B893" s="28" t="inlineStr">
        <is>
          <t>12032</t>
        </is>
      </c>
      <c r="C893" s="30" t="inlineStr">
        <is>
          <t>D6</t>
        </is>
      </c>
      <c r="D893" s="32" t="inlineStr">
        <is>
          <t>너무 가까운 구들</t>
        </is>
      </c>
      <c r="E893" s="28" t="inlineStr">
        <is>
          <t>동적계획법 (DP) / 그래프</t>
        </is>
      </c>
      <c r="F893" s="28" t="n"/>
      <c r="G893" s="28" t="n"/>
      <c r="H893" s="28" t="n"/>
      <c r="I893" s="28" t="n"/>
      <c r="J893" s="54">
        <f>IF(OR(ISNUMBER(SEARCH("보류",K893)),ISNUMBER(SEARCH("미룸",K893)),ISNUMBER(SEARCH("나중에",K893)),ISNUMBER(SEARCH("보류",L893)),ISNUMBER(SEARCH("미룸",L893)),ISNUMBER(SEARCH("나중에",L893))),"보류(나중에 풀기)",IF(AND(F893="",G893="",H893="",I893=""),"미완료",IF(I893&lt;&gt;"","복습3(마스터)",IF(H893&lt;&gt;"","복습2",IF(G893&lt;&gt;"","복습1",IF(ISNUMBER(SEARCH("제미나이",K893)),"복습대기(AI도움)",IF(ISNUMBER(SEARCH("간당간당",K893)),"복습대기(간당간당)",IF(OR(ISNUMBER(SEARCH("아이디어",K893)),ISNUMBER(SEARCH("시간초과",K893)),ISNUMBER(SEARCH("자료구조",K893)),ISNUMBER(SEARCH("경계값",K893)),ISNUMBER(SEARCH("다른 풀이",K893)),ISNUMBER(SEARCH("또풀기",K893))),"복습대기",IF(OR(ISNUMBER(SEARCH("복습필요없음",K893)),ISNUMBER(SEARCH("자력완벽",K893))),"품(복습불필요)",IF(F893&lt;&gt;"","품","미완료"))))))))))</f>
        <v/>
      </c>
      <c r="K893" s="32" t="inlineStr">
        <is>
          <t>-</t>
        </is>
      </c>
      <c r="L893" s="32" t="n"/>
      <c r="M893" s="28">
        <f>IF(OR(LEFT(J893,2)="보류", LEFT(J893,4)="복습대기", LEFT(J893,3)="복습1", LEFT(J893,3)="복습2"), MAX($M$3:M892)+1, "")</f>
        <v/>
      </c>
      <c r="N893" s="28" t="inlineStr">
        <is>
          <t>W21</t>
        </is>
      </c>
      <c r="O893" s="36" t="n">
        <v>46403</v>
      </c>
      <c r="P893" s="30">
        <f>IF(F893&lt;&gt;"","✅ 완료",IF(O893="","-",IF(TODAY()&gt;O893,"🚨 지연","⏳ 예정")))</f>
        <v/>
      </c>
      <c r="Q893" s="7" t="n"/>
      <c r="R893" s="7" t="n"/>
      <c r="S893" s="7" t="n"/>
      <c r="T893" s="7" t="n"/>
      <c r="U893" s="7" t="n"/>
      <c r="V893" s="7" t="n"/>
      <c r="W893" s="7" t="n"/>
      <c r="X893" s="7" t="n"/>
    </row>
    <row r="894" ht="21.75" customHeight="1" s="209">
      <c r="A894" s="28" t="n">
        <v>891</v>
      </c>
      <c r="B894" s="28" t="inlineStr">
        <is>
          <t>12098</t>
        </is>
      </c>
      <c r="C894" s="30" t="inlineStr">
        <is>
          <t>D6</t>
        </is>
      </c>
      <c r="D894" s="32" t="inlineStr">
        <is>
          <t>우주 전시회</t>
        </is>
      </c>
      <c r="E894" s="28" t="inlineStr">
        <is>
          <t>동적계획법 (DP) / 그래프</t>
        </is>
      </c>
      <c r="F894" s="28" t="n"/>
      <c r="G894" s="28" t="n"/>
      <c r="H894" s="28" t="n"/>
      <c r="I894" s="28" t="n"/>
      <c r="J894" s="54">
        <f>IF(OR(ISNUMBER(SEARCH("보류",K894)),ISNUMBER(SEARCH("미룸",K894)),ISNUMBER(SEARCH("나중에",K894)),ISNUMBER(SEARCH("보류",L894)),ISNUMBER(SEARCH("미룸",L894)),ISNUMBER(SEARCH("나중에",L894))),"보류(나중에 풀기)",IF(AND(F894="",G894="",H894="",I894=""),"미완료",IF(I894&lt;&gt;"","복습3(마스터)",IF(H894&lt;&gt;"","복습2",IF(G894&lt;&gt;"","복습1",IF(ISNUMBER(SEARCH("제미나이",K894)),"복습대기(AI도움)",IF(ISNUMBER(SEARCH("간당간당",K894)),"복습대기(간당간당)",IF(OR(ISNUMBER(SEARCH("아이디어",K894)),ISNUMBER(SEARCH("시간초과",K894)),ISNUMBER(SEARCH("자료구조",K894)),ISNUMBER(SEARCH("경계값",K894)),ISNUMBER(SEARCH("다른 풀이",K894)),ISNUMBER(SEARCH("또풀기",K894))),"복습대기",IF(OR(ISNUMBER(SEARCH("복습필요없음",K894)),ISNUMBER(SEARCH("자력완벽",K894))),"품(복습불필요)",IF(F894&lt;&gt;"","품","미완료"))))))))))</f>
        <v/>
      </c>
      <c r="K894" s="32" t="inlineStr">
        <is>
          <t>-</t>
        </is>
      </c>
      <c r="L894" s="32" t="n"/>
      <c r="M894" s="28">
        <f>IF(OR(LEFT(J894,2)="보류", LEFT(J894,4)="복습대기", LEFT(J894,3)="복습1", LEFT(J894,3)="복습2"), MAX($M$3:M893)+1, "")</f>
        <v/>
      </c>
      <c r="N894" s="28" t="inlineStr">
        <is>
          <t>W21</t>
        </is>
      </c>
      <c r="O894" s="36" t="n">
        <v>46403</v>
      </c>
      <c r="P894" s="30">
        <f>IF(F894&lt;&gt;"","✅ 완료",IF(O894="","-",IF(TODAY()&gt;O894,"🚨 지연","⏳ 예정")))</f>
        <v/>
      </c>
      <c r="Q894" s="7" t="n"/>
      <c r="R894" s="7" t="n"/>
      <c r="S894" s="7" t="n"/>
      <c r="T894" s="7" t="n"/>
      <c r="U894" s="7" t="n"/>
      <c r="V894" s="7" t="n"/>
      <c r="W894" s="7" t="n"/>
      <c r="X894" s="7" t="n"/>
    </row>
    <row r="895" ht="21.75" customHeight="1" s="209">
      <c r="A895" s="28" t="n">
        <v>892</v>
      </c>
      <c r="B895" s="28" t="inlineStr">
        <is>
          <t>12100</t>
        </is>
      </c>
      <c r="C895" s="30" t="inlineStr">
        <is>
          <t>D6</t>
        </is>
      </c>
      <c r="D895" s="32" t="inlineStr">
        <is>
          <t>로봇 조종 프로그래밍 언어</t>
        </is>
      </c>
      <c r="E895" s="28" t="inlineStr">
        <is>
          <t>시뮬레이션 / 구현</t>
        </is>
      </c>
      <c r="F895" s="28" t="n"/>
      <c r="G895" s="28" t="n"/>
      <c r="H895" s="28" t="n"/>
      <c r="I895" s="28" t="n"/>
      <c r="J895" s="54">
        <f>IF(OR(ISNUMBER(SEARCH("보류",K895)),ISNUMBER(SEARCH("미룸",K895)),ISNUMBER(SEARCH("나중에",K895)),ISNUMBER(SEARCH("보류",L895)),ISNUMBER(SEARCH("미룸",L895)),ISNUMBER(SEARCH("나중에",L895))),"보류(나중에 풀기)",IF(AND(F895="",G895="",H895="",I895=""),"미완료",IF(I895&lt;&gt;"","복습3(마스터)",IF(H895&lt;&gt;"","복습2",IF(G895&lt;&gt;"","복습1",IF(ISNUMBER(SEARCH("제미나이",K895)),"복습대기(AI도움)",IF(ISNUMBER(SEARCH("간당간당",K895)),"복습대기(간당간당)",IF(OR(ISNUMBER(SEARCH("아이디어",K895)),ISNUMBER(SEARCH("시간초과",K895)),ISNUMBER(SEARCH("자료구조",K895)),ISNUMBER(SEARCH("경계값",K895)),ISNUMBER(SEARCH("다른 풀이",K895)),ISNUMBER(SEARCH("또풀기",K895))),"복습대기",IF(OR(ISNUMBER(SEARCH("복습필요없음",K895)),ISNUMBER(SEARCH("자력완벽",K895))),"품(복습불필요)",IF(F895&lt;&gt;"","품","미완료"))))))))))</f>
        <v/>
      </c>
      <c r="K895" s="32" t="inlineStr">
        <is>
          <t>-</t>
        </is>
      </c>
      <c r="L895" s="32" t="n"/>
      <c r="M895" s="28">
        <f>IF(OR(LEFT(J895,2)="보류", LEFT(J895,4)="복습대기", LEFT(J895,3)="복습1", LEFT(J895,3)="복습2"), MAX($M$3:M894)+1, "")</f>
        <v/>
      </c>
      <c r="N895" s="28" t="inlineStr">
        <is>
          <t>W21</t>
        </is>
      </c>
      <c r="O895" s="36" t="n">
        <v>46403</v>
      </c>
      <c r="P895" s="30">
        <f>IF(F895&lt;&gt;"","✅ 완료",IF(O895="","-",IF(TODAY()&gt;O895,"🚨 지연","⏳ 예정")))</f>
        <v/>
      </c>
      <c r="Q895" s="7" t="n"/>
      <c r="R895" s="7" t="n"/>
      <c r="S895" s="7" t="n"/>
      <c r="T895" s="7" t="n"/>
      <c r="U895" s="7" t="n"/>
      <c r="V895" s="7" t="n"/>
      <c r="W895" s="7" t="n"/>
      <c r="X895" s="7" t="n"/>
    </row>
    <row r="896" ht="21.75" customHeight="1" s="209">
      <c r="A896" s="28" t="n">
        <v>893</v>
      </c>
      <c r="B896" s="28" t="inlineStr">
        <is>
          <t>12224</t>
        </is>
      </c>
      <c r="C896" s="30" t="inlineStr">
        <is>
          <t>D6</t>
        </is>
      </c>
      <c r="D896" s="32" t="inlineStr">
        <is>
          <t>언론의 자유</t>
        </is>
      </c>
      <c r="E896" s="28" t="inlineStr">
        <is>
          <t>동적계획법 (DP) / 그래프</t>
        </is>
      </c>
      <c r="F896" s="28" t="n"/>
      <c r="G896" s="28" t="n"/>
      <c r="H896" s="28" t="n"/>
      <c r="I896" s="28" t="n"/>
      <c r="J896" s="54">
        <f>IF(OR(ISNUMBER(SEARCH("보류",K896)),ISNUMBER(SEARCH("미룸",K896)),ISNUMBER(SEARCH("나중에",K896)),ISNUMBER(SEARCH("보류",L896)),ISNUMBER(SEARCH("미룸",L896)),ISNUMBER(SEARCH("나중에",L896))),"보류(나중에 풀기)",IF(AND(F896="",G896="",H896="",I896=""),"미완료",IF(I896&lt;&gt;"","복습3(마스터)",IF(H896&lt;&gt;"","복습2",IF(G896&lt;&gt;"","복습1",IF(ISNUMBER(SEARCH("제미나이",K896)),"복습대기(AI도움)",IF(ISNUMBER(SEARCH("간당간당",K896)),"복습대기(간당간당)",IF(OR(ISNUMBER(SEARCH("아이디어",K896)),ISNUMBER(SEARCH("시간초과",K896)),ISNUMBER(SEARCH("자료구조",K896)),ISNUMBER(SEARCH("경계값",K896)),ISNUMBER(SEARCH("다른 풀이",K896)),ISNUMBER(SEARCH("또풀기",K896))),"복습대기",IF(OR(ISNUMBER(SEARCH("복습필요없음",K896)),ISNUMBER(SEARCH("자력완벽",K896))),"품(복습불필요)",IF(F896&lt;&gt;"","품","미완료"))))))))))</f>
        <v/>
      </c>
      <c r="K896" s="32" t="inlineStr">
        <is>
          <t>-</t>
        </is>
      </c>
      <c r="L896" s="32" t="n"/>
      <c r="M896" s="28">
        <f>IF(OR(LEFT(J896,2)="보류", LEFT(J896,4)="복습대기", LEFT(J896,3)="복습1", LEFT(J896,3)="복습2"), MAX($M$3:M895)+1, "")</f>
        <v/>
      </c>
      <c r="N896" s="28" t="inlineStr">
        <is>
          <t>W21</t>
        </is>
      </c>
      <c r="O896" s="36" t="n">
        <v>46404</v>
      </c>
      <c r="P896" s="30">
        <f>IF(F896&lt;&gt;"","✅ 완료",IF(O896="","-",IF(TODAY()&gt;O896,"🚨 지연","⏳ 예정")))</f>
        <v/>
      </c>
      <c r="Q896" s="7" t="n"/>
      <c r="R896" s="7" t="n"/>
      <c r="S896" s="7" t="n"/>
      <c r="T896" s="7" t="n"/>
      <c r="U896" s="7" t="n"/>
      <c r="V896" s="7" t="n"/>
      <c r="W896" s="7" t="n"/>
      <c r="X896" s="7" t="n"/>
    </row>
    <row r="897" ht="21.75" customHeight="1" s="209">
      <c r="A897" s="28" t="n">
        <v>894</v>
      </c>
      <c r="B897" s="28" t="inlineStr">
        <is>
          <t>12371</t>
        </is>
      </c>
      <c r="C897" s="30" t="inlineStr">
        <is>
          <t>D6</t>
        </is>
      </c>
      <c r="D897" s="32" t="inlineStr">
        <is>
          <t>사다리와 가짜 사다리</t>
        </is>
      </c>
      <c r="E897" s="28" t="inlineStr">
        <is>
          <t>동적계획법 (DP) / 그래프</t>
        </is>
      </c>
      <c r="F897" s="28" t="n"/>
      <c r="G897" s="28" t="n"/>
      <c r="H897" s="28" t="n"/>
      <c r="I897" s="28" t="n"/>
      <c r="J897" s="54">
        <f>IF(OR(ISNUMBER(SEARCH("보류",K897)),ISNUMBER(SEARCH("미룸",K897)),ISNUMBER(SEARCH("나중에",K897)),ISNUMBER(SEARCH("보류",L897)),ISNUMBER(SEARCH("미룸",L897)),ISNUMBER(SEARCH("나중에",L897))),"보류(나중에 풀기)",IF(AND(F897="",G897="",H897="",I897=""),"미완료",IF(I897&lt;&gt;"","복습3(마스터)",IF(H897&lt;&gt;"","복습2",IF(G897&lt;&gt;"","복습1",IF(ISNUMBER(SEARCH("제미나이",K897)),"복습대기(AI도움)",IF(ISNUMBER(SEARCH("간당간당",K897)),"복습대기(간당간당)",IF(OR(ISNUMBER(SEARCH("아이디어",K897)),ISNUMBER(SEARCH("시간초과",K897)),ISNUMBER(SEARCH("자료구조",K897)),ISNUMBER(SEARCH("경계값",K897)),ISNUMBER(SEARCH("다른 풀이",K897)),ISNUMBER(SEARCH("또풀기",K897))),"복습대기",IF(OR(ISNUMBER(SEARCH("복습필요없음",K897)),ISNUMBER(SEARCH("자력완벽",K897))),"품(복습불필요)",IF(F897&lt;&gt;"","품","미완료"))))))))))</f>
        <v/>
      </c>
      <c r="K897" s="32" t="inlineStr">
        <is>
          <t>-</t>
        </is>
      </c>
      <c r="L897" s="32" t="n"/>
      <c r="M897" s="28">
        <f>IF(OR(LEFT(J897,2)="보류", LEFT(J897,4)="복습대기", LEFT(J897,3)="복습1", LEFT(J897,3)="복습2"), MAX($M$3:M896)+1, "")</f>
        <v/>
      </c>
      <c r="N897" s="28" t="inlineStr">
        <is>
          <t>W21</t>
        </is>
      </c>
      <c r="O897" s="36" t="n">
        <v>46404</v>
      </c>
      <c r="P897" s="30">
        <f>IF(F897&lt;&gt;"","✅ 완료",IF(O897="","-",IF(TODAY()&gt;O897,"🚨 지연","⏳ 예정")))</f>
        <v/>
      </c>
      <c r="Q897" s="7" t="n"/>
      <c r="R897" s="7" t="n"/>
      <c r="S897" s="7" t="n"/>
      <c r="T897" s="7" t="n"/>
      <c r="U897" s="7" t="n"/>
      <c r="V897" s="7" t="n"/>
      <c r="W897" s="7" t="n"/>
      <c r="X897" s="7" t="n"/>
    </row>
    <row r="898" ht="21.75" customHeight="1" s="209">
      <c r="A898" s="28" t="n">
        <v>895</v>
      </c>
      <c r="B898" s="28" t="inlineStr">
        <is>
          <t>12744</t>
        </is>
      </c>
      <c r="C898" s="30" t="inlineStr">
        <is>
          <t>D6</t>
        </is>
      </c>
      <c r="D898" s="32" t="inlineStr">
        <is>
          <t>원 위의 점</t>
        </is>
      </c>
      <c r="E898" s="28" t="inlineStr">
        <is>
          <t>동적계획법 (DP) / 그래프</t>
        </is>
      </c>
      <c r="F898" s="28" t="n"/>
      <c r="G898" s="28" t="n"/>
      <c r="H898" s="28" t="n"/>
      <c r="I898" s="28" t="n"/>
      <c r="J898" s="54">
        <f>IF(OR(ISNUMBER(SEARCH("보류",K898)),ISNUMBER(SEARCH("미룸",K898)),ISNUMBER(SEARCH("나중에",K898)),ISNUMBER(SEARCH("보류",L898)),ISNUMBER(SEARCH("미룸",L898)),ISNUMBER(SEARCH("나중에",L898))),"보류(나중에 풀기)",IF(AND(F898="",G898="",H898="",I898=""),"미완료",IF(I898&lt;&gt;"","복습3(마스터)",IF(H898&lt;&gt;"","복습2",IF(G898&lt;&gt;"","복습1",IF(ISNUMBER(SEARCH("제미나이",K898)),"복습대기(AI도움)",IF(ISNUMBER(SEARCH("간당간당",K898)),"복습대기(간당간당)",IF(OR(ISNUMBER(SEARCH("아이디어",K898)),ISNUMBER(SEARCH("시간초과",K898)),ISNUMBER(SEARCH("자료구조",K898)),ISNUMBER(SEARCH("경계값",K898)),ISNUMBER(SEARCH("다른 풀이",K898)),ISNUMBER(SEARCH("또풀기",K898))),"복습대기",IF(OR(ISNUMBER(SEARCH("복습필요없음",K898)),ISNUMBER(SEARCH("자력완벽",K898))),"품(복습불필요)",IF(F898&lt;&gt;"","품","미완료"))))))))))</f>
        <v/>
      </c>
      <c r="K898" s="32" t="inlineStr">
        <is>
          <t>-</t>
        </is>
      </c>
      <c r="L898" s="32" t="n"/>
      <c r="M898" s="28">
        <f>IF(OR(LEFT(J898,2)="보류", LEFT(J898,4)="복습대기", LEFT(J898,3)="복습1", LEFT(J898,3)="복습2"), MAX($M$3:M897)+1, "")</f>
        <v/>
      </c>
      <c r="N898" s="28" t="inlineStr">
        <is>
          <t>W21</t>
        </is>
      </c>
      <c r="O898" s="36" t="n">
        <v>46404</v>
      </c>
      <c r="P898" s="30">
        <f>IF(F898&lt;&gt;"","✅ 완료",IF(O898="","-",IF(TODAY()&gt;O898,"🚨 지연","⏳ 예정")))</f>
        <v/>
      </c>
      <c r="Q898" s="7" t="n"/>
      <c r="R898" s="7" t="n"/>
      <c r="S898" s="7" t="n"/>
      <c r="T898" s="7" t="n"/>
      <c r="U898" s="7" t="n"/>
      <c r="V898" s="7" t="n"/>
      <c r="W898" s="7" t="n"/>
      <c r="X898" s="7" t="n"/>
    </row>
    <row r="899" ht="21.75" customHeight="1" s="209">
      <c r="A899" s="28" t="n">
        <v>896</v>
      </c>
      <c r="B899" s="28" t="inlineStr">
        <is>
          <t>13043</t>
        </is>
      </c>
      <c r="C899" s="30" t="inlineStr">
        <is>
          <t>D6</t>
        </is>
      </c>
      <c r="D899" s="32" t="inlineStr">
        <is>
          <t>구간 없는 순열</t>
        </is>
      </c>
      <c r="E899" s="28" t="inlineStr">
        <is>
          <t>DFS / 백트래킹</t>
        </is>
      </c>
      <c r="F899" s="28" t="n"/>
      <c r="G899" s="28" t="n"/>
      <c r="H899" s="28" t="n"/>
      <c r="I899" s="28" t="n"/>
      <c r="J899" s="54">
        <f>IF(OR(ISNUMBER(SEARCH("보류",K899)),ISNUMBER(SEARCH("미룸",K899)),ISNUMBER(SEARCH("나중에",K899)),ISNUMBER(SEARCH("보류",L899)),ISNUMBER(SEARCH("미룸",L899)),ISNUMBER(SEARCH("나중에",L899))),"보류(나중에 풀기)",IF(AND(F899="",G899="",H899="",I899=""),"미완료",IF(I899&lt;&gt;"","복습3(마스터)",IF(H899&lt;&gt;"","복습2",IF(G899&lt;&gt;"","복습1",IF(ISNUMBER(SEARCH("제미나이",K899)),"복습대기(AI도움)",IF(ISNUMBER(SEARCH("간당간당",K899)),"복습대기(간당간당)",IF(OR(ISNUMBER(SEARCH("아이디어",K899)),ISNUMBER(SEARCH("시간초과",K899)),ISNUMBER(SEARCH("자료구조",K899)),ISNUMBER(SEARCH("경계값",K899)),ISNUMBER(SEARCH("다른 풀이",K899)),ISNUMBER(SEARCH("또풀기",K899))),"복습대기",IF(OR(ISNUMBER(SEARCH("복습필요없음",K899)),ISNUMBER(SEARCH("자력완벽",K899))),"품(복습불필요)",IF(F899&lt;&gt;"","품","미완료"))))))))))</f>
        <v/>
      </c>
      <c r="K899" s="32" t="inlineStr">
        <is>
          <t>-</t>
        </is>
      </c>
      <c r="L899" s="32" t="n"/>
      <c r="M899" s="28">
        <f>IF(OR(LEFT(J899,2)="보류", LEFT(J899,4)="복습대기", LEFT(J899,3)="복습1", LEFT(J899,3)="복습2"), MAX($M$3:M898)+1, "")</f>
        <v/>
      </c>
      <c r="N899" s="28" t="inlineStr">
        <is>
          <t>W21</t>
        </is>
      </c>
      <c r="O899" s="36" t="n">
        <v>46404</v>
      </c>
      <c r="P899" s="30">
        <f>IF(F899&lt;&gt;"","✅ 완료",IF(O899="","-",IF(TODAY()&gt;O899,"🚨 지연","⏳ 예정")))</f>
        <v/>
      </c>
      <c r="Q899" s="7" t="n"/>
      <c r="R899" s="7" t="n"/>
      <c r="S899" s="7" t="n"/>
      <c r="T899" s="7" t="n"/>
      <c r="U899" s="7" t="n"/>
      <c r="V899" s="7" t="n"/>
      <c r="W899" s="7" t="n"/>
      <c r="X899" s="7" t="n"/>
    </row>
    <row r="900" ht="21.75" customHeight="1" s="209">
      <c r="A900" s="28" t="n">
        <v>897</v>
      </c>
      <c r="B900" s="28" t="inlineStr">
        <is>
          <t>13221</t>
        </is>
      </c>
      <c r="C900" s="30" t="inlineStr">
        <is>
          <t>D6</t>
        </is>
      </c>
      <c r="D900" s="32" t="inlineStr">
        <is>
          <t>특이한 배치</t>
        </is>
      </c>
      <c r="E900" s="28" t="inlineStr">
        <is>
          <t>동적계획법 (DP) / 그래프</t>
        </is>
      </c>
      <c r="F900" s="28" t="n"/>
      <c r="G900" s="28" t="n"/>
      <c r="H900" s="28" t="n"/>
      <c r="I900" s="28" t="n"/>
      <c r="J900" s="54">
        <f>IF(OR(ISNUMBER(SEARCH("보류",K900)),ISNUMBER(SEARCH("미룸",K900)),ISNUMBER(SEARCH("나중에",K900)),ISNUMBER(SEARCH("보류",L900)),ISNUMBER(SEARCH("미룸",L900)),ISNUMBER(SEARCH("나중에",L900))),"보류(나중에 풀기)",IF(AND(F900="",G900="",H900="",I900=""),"미완료",IF(I900&lt;&gt;"","복습3(마스터)",IF(H900&lt;&gt;"","복습2",IF(G900&lt;&gt;"","복습1",IF(ISNUMBER(SEARCH("제미나이",K900)),"복습대기(AI도움)",IF(ISNUMBER(SEARCH("간당간당",K900)),"복습대기(간당간당)",IF(OR(ISNUMBER(SEARCH("아이디어",K900)),ISNUMBER(SEARCH("시간초과",K900)),ISNUMBER(SEARCH("자료구조",K900)),ISNUMBER(SEARCH("경계값",K900)),ISNUMBER(SEARCH("다른 풀이",K900)),ISNUMBER(SEARCH("또풀기",K900))),"복습대기",IF(OR(ISNUMBER(SEARCH("복습필요없음",K900)),ISNUMBER(SEARCH("자력완벽",K900))),"품(복습불필요)",IF(F900&lt;&gt;"","품","미완료"))))))))))</f>
        <v/>
      </c>
      <c r="K900" s="32" t="inlineStr">
        <is>
          <t>-</t>
        </is>
      </c>
      <c r="L900" s="32" t="n"/>
      <c r="M900" s="28">
        <f>IF(OR(LEFT(J900,2)="보류", LEFT(J900,4)="복습대기", LEFT(J900,3)="복습1", LEFT(J900,3)="복습2"), MAX($M$3:M899)+1, "")</f>
        <v/>
      </c>
      <c r="N900" s="28" t="inlineStr">
        <is>
          <t>W21</t>
        </is>
      </c>
      <c r="O900" s="36" t="n">
        <v>46404</v>
      </c>
      <c r="P900" s="30">
        <f>IF(F900&lt;&gt;"","✅ 완료",IF(O900="","-",IF(TODAY()&gt;O900,"🚨 지연","⏳ 예정")))</f>
        <v/>
      </c>
      <c r="Q900" s="7" t="n"/>
      <c r="R900" s="7" t="n"/>
      <c r="S900" s="7" t="n"/>
      <c r="T900" s="7" t="n"/>
      <c r="U900" s="7" t="n"/>
      <c r="V900" s="7" t="n"/>
      <c r="W900" s="7" t="n"/>
      <c r="X900" s="7" t="n"/>
    </row>
    <row r="901" ht="21.75" customHeight="1" s="209">
      <c r="A901" s="28" t="n">
        <v>898</v>
      </c>
      <c r="B901" s="28" t="inlineStr">
        <is>
          <t>13244</t>
        </is>
      </c>
      <c r="C901" s="30" t="inlineStr">
        <is>
          <t>D6</t>
        </is>
      </c>
      <c r="D901" s="32" t="inlineStr">
        <is>
          <t>다항식의 최대공약수</t>
        </is>
      </c>
      <c r="E901" s="28" t="inlineStr">
        <is>
          <t>수학 / 정수론</t>
        </is>
      </c>
      <c r="F901" s="28" t="n"/>
      <c r="G901" s="28" t="n"/>
      <c r="H901" s="28" t="n"/>
      <c r="I901" s="28" t="n"/>
      <c r="J901" s="54">
        <f>IF(OR(ISNUMBER(SEARCH("보류",K901)),ISNUMBER(SEARCH("미룸",K901)),ISNUMBER(SEARCH("나중에",K901)),ISNUMBER(SEARCH("보류",L901)),ISNUMBER(SEARCH("미룸",L901)),ISNUMBER(SEARCH("나중에",L901))),"보류(나중에 풀기)",IF(AND(F901="",G901="",H901="",I901=""),"미완료",IF(I901&lt;&gt;"","복습3(마스터)",IF(H901&lt;&gt;"","복습2",IF(G901&lt;&gt;"","복습1",IF(ISNUMBER(SEARCH("제미나이",K901)),"복습대기(AI도움)",IF(ISNUMBER(SEARCH("간당간당",K901)),"복습대기(간당간당)",IF(OR(ISNUMBER(SEARCH("아이디어",K901)),ISNUMBER(SEARCH("시간초과",K901)),ISNUMBER(SEARCH("자료구조",K901)),ISNUMBER(SEARCH("경계값",K901)),ISNUMBER(SEARCH("다른 풀이",K901)),ISNUMBER(SEARCH("또풀기",K901))),"복습대기",IF(OR(ISNUMBER(SEARCH("복습필요없음",K901)),ISNUMBER(SEARCH("자력완벽",K901))),"품(복습불필요)",IF(F901&lt;&gt;"","품","미완료"))))))))))</f>
        <v/>
      </c>
      <c r="K901" s="32" t="inlineStr">
        <is>
          <t>-</t>
        </is>
      </c>
      <c r="L901" s="32" t="n"/>
      <c r="M901" s="28">
        <f>IF(OR(LEFT(J901,2)="보류", LEFT(J901,4)="복습대기", LEFT(J901,3)="복습1", LEFT(J901,3)="복습2"), MAX($M$3:M900)+1, "")</f>
        <v/>
      </c>
      <c r="N901" s="28" t="inlineStr">
        <is>
          <t>W21</t>
        </is>
      </c>
      <c r="O901" s="36" t="n">
        <v>46404</v>
      </c>
      <c r="P901" s="30">
        <f>IF(F901&lt;&gt;"","✅ 완료",IF(O901="","-",IF(TODAY()&gt;O901,"🚨 지연","⏳ 예정")))</f>
        <v/>
      </c>
      <c r="Q901" s="7" t="n"/>
      <c r="R901" s="7" t="n"/>
      <c r="S901" s="7" t="n"/>
      <c r="T901" s="7" t="n"/>
      <c r="U901" s="7" t="n"/>
      <c r="V901" s="7" t="n"/>
      <c r="W901" s="7" t="n"/>
      <c r="X901" s="7" t="n"/>
    </row>
    <row r="902" ht="21.75" customHeight="1" s="209">
      <c r="A902" s="28" t="n">
        <v>899</v>
      </c>
      <c r="B902" s="28" t="inlineStr">
        <is>
          <t>13434</t>
        </is>
      </c>
      <c r="C902" s="30" t="inlineStr">
        <is>
          <t>D6</t>
        </is>
      </c>
      <c r="D902" s="32" t="inlineStr">
        <is>
          <t>복제 및 반전</t>
        </is>
      </c>
      <c r="E902" s="28" t="inlineStr">
        <is>
          <t>동적계획법 (DP) / 그래프</t>
        </is>
      </c>
      <c r="F902" s="28" t="n"/>
      <c r="G902" s="28" t="n"/>
      <c r="H902" s="28" t="n"/>
      <c r="I902" s="28" t="n"/>
      <c r="J902" s="54">
        <f>IF(OR(ISNUMBER(SEARCH("보류",K902)),ISNUMBER(SEARCH("미룸",K902)),ISNUMBER(SEARCH("나중에",K902)),ISNUMBER(SEARCH("보류",L902)),ISNUMBER(SEARCH("미룸",L902)),ISNUMBER(SEARCH("나중에",L902))),"보류(나중에 풀기)",IF(AND(F902="",G902="",H902="",I902=""),"미완료",IF(I902&lt;&gt;"","복습3(마스터)",IF(H902&lt;&gt;"","복습2",IF(G902&lt;&gt;"","복습1",IF(ISNUMBER(SEARCH("제미나이",K902)),"복습대기(AI도움)",IF(ISNUMBER(SEARCH("간당간당",K902)),"복습대기(간당간당)",IF(OR(ISNUMBER(SEARCH("아이디어",K902)),ISNUMBER(SEARCH("시간초과",K902)),ISNUMBER(SEARCH("자료구조",K902)),ISNUMBER(SEARCH("경계값",K902)),ISNUMBER(SEARCH("다른 풀이",K902)),ISNUMBER(SEARCH("또풀기",K902))),"복습대기",IF(OR(ISNUMBER(SEARCH("복습필요없음",K902)),ISNUMBER(SEARCH("자력완벽",K902))),"품(복습불필요)",IF(F902&lt;&gt;"","품","미완료"))))))))))</f>
        <v/>
      </c>
      <c r="K902" s="32" t="inlineStr">
        <is>
          <t>-</t>
        </is>
      </c>
      <c r="L902" s="32" t="n"/>
      <c r="M902" s="28">
        <f>IF(OR(LEFT(J902,2)="보류", LEFT(J902,4)="복습대기", LEFT(J902,3)="복습1", LEFT(J902,3)="복습2"), MAX($M$3:M901)+1, "")</f>
        <v/>
      </c>
      <c r="N902" s="28" t="inlineStr">
        <is>
          <t>W21</t>
        </is>
      </c>
      <c r="O902" s="36" t="n">
        <v>46404</v>
      </c>
      <c r="P902" s="30">
        <f>IF(F902&lt;&gt;"","✅ 완료",IF(O902="","-",IF(TODAY()&gt;O902,"🚨 지연","⏳ 예정")))</f>
        <v/>
      </c>
      <c r="Q902" s="7" t="n"/>
      <c r="R902" s="7" t="n"/>
      <c r="S902" s="7" t="n"/>
      <c r="T902" s="7" t="n"/>
      <c r="U902" s="7" t="n"/>
      <c r="V902" s="7" t="n"/>
      <c r="W902" s="7" t="n"/>
      <c r="X902" s="7" t="n"/>
    </row>
    <row r="903" ht="21.75" customHeight="1" s="209">
      <c r="A903" s="28" t="n">
        <v>900</v>
      </c>
      <c r="B903" s="28" t="inlineStr">
        <is>
          <t>13551</t>
        </is>
      </c>
      <c r="C903" s="30" t="inlineStr">
        <is>
          <t>D6</t>
        </is>
      </c>
      <c r="D903" s="32" t="inlineStr">
        <is>
          <t>토너먼트</t>
        </is>
      </c>
      <c r="E903" s="28" t="inlineStr">
        <is>
          <t>동적계획법 (DP) / 그래프</t>
        </is>
      </c>
      <c r="F903" s="28" t="n"/>
      <c r="G903" s="28" t="n"/>
      <c r="H903" s="28" t="n"/>
      <c r="I903" s="28" t="n"/>
      <c r="J903" s="54">
        <f>IF(OR(ISNUMBER(SEARCH("보류",K903)),ISNUMBER(SEARCH("미룸",K903)),ISNUMBER(SEARCH("나중에",K903)),ISNUMBER(SEARCH("보류",L903)),ISNUMBER(SEARCH("미룸",L903)),ISNUMBER(SEARCH("나중에",L903))),"보류(나중에 풀기)",IF(AND(F903="",G903="",H903="",I903=""),"미완료",IF(I903&lt;&gt;"","복습3(마스터)",IF(H903&lt;&gt;"","복습2",IF(G903&lt;&gt;"","복습1",IF(ISNUMBER(SEARCH("제미나이",K903)),"복습대기(AI도움)",IF(ISNUMBER(SEARCH("간당간당",K903)),"복습대기(간당간당)",IF(OR(ISNUMBER(SEARCH("아이디어",K903)),ISNUMBER(SEARCH("시간초과",K903)),ISNUMBER(SEARCH("자료구조",K903)),ISNUMBER(SEARCH("경계값",K903)),ISNUMBER(SEARCH("다른 풀이",K903)),ISNUMBER(SEARCH("또풀기",K903))),"복습대기",IF(OR(ISNUMBER(SEARCH("복습필요없음",K903)),ISNUMBER(SEARCH("자력완벽",K903))),"품(복습불필요)",IF(F903&lt;&gt;"","품","미완료"))))))))))</f>
        <v/>
      </c>
      <c r="K903" s="32" t="inlineStr">
        <is>
          <t>-</t>
        </is>
      </c>
      <c r="L903" s="32" t="n"/>
      <c r="M903" s="28">
        <f>IF(OR(LEFT(J903,2)="보류", LEFT(J903,4)="복습대기", LEFT(J903,3)="복습1", LEFT(J903,3)="복습2"), MAX($M$3:M902)+1, "")</f>
        <v/>
      </c>
      <c r="N903" s="28" t="inlineStr">
        <is>
          <t>W22</t>
        </is>
      </c>
      <c r="O903" s="36" t="n">
        <v>46405</v>
      </c>
      <c r="P903" s="30">
        <f>IF(F903&lt;&gt;"","✅ 완료",IF(O903="","-",IF(TODAY()&gt;O903,"🚨 지연","⏳ 예정")))</f>
        <v/>
      </c>
      <c r="Q903" s="7" t="n"/>
      <c r="R903" s="7" t="n"/>
      <c r="S903" s="7" t="n"/>
      <c r="T903" s="7" t="n"/>
      <c r="U903" s="7" t="n"/>
      <c r="V903" s="7" t="n"/>
      <c r="W903" s="7" t="n"/>
      <c r="X903" s="7" t="n"/>
    </row>
    <row r="904" ht="21.75" customHeight="1" s="209">
      <c r="A904" s="28" t="n">
        <v>901</v>
      </c>
      <c r="B904" s="28" t="inlineStr">
        <is>
          <t>13744</t>
        </is>
      </c>
      <c r="C904" s="30" t="inlineStr">
        <is>
          <t>D6</t>
        </is>
      </c>
      <c r="D904" s="32" t="inlineStr">
        <is>
          <t>토러스 점프</t>
        </is>
      </c>
      <c r="E904" s="28" t="inlineStr">
        <is>
          <t>동적계획법 (DP) / 그래프</t>
        </is>
      </c>
      <c r="F904" s="28" t="n"/>
      <c r="G904" s="28" t="n"/>
      <c r="H904" s="28" t="n"/>
      <c r="I904" s="28" t="n"/>
      <c r="J904" s="54">
        <f>IF(OR(ISNUMBER(SEARCH("보류",K904)),ISNUMBER(SEARCH("미룸",K904)),ISNUMBER(SEARCH("나중에",K904)),ISNUMBER(SEARCH("보류",L904)),ISNUMBER(SEARCH("미룸",L904)),ISNUMBER(SEARCH("나중에",L904))),"보류(나중에 풀기)",IF(AND(F904="",G904="",H904="",I904=""),"미완료",IF(I904&lt;&gt;"","복습3(마스터)",IF(H904&lt;&gt;"","복습2",IF(G904&lt;&gt;"","복습1",IF(ISNUMBER(SEARCH("제미나이",K904)),"복습대기(AI도움)",IF(ISNUMBER(SEARCH("간당간당",K904)),"복습대기(간당간당)",IF(OR(ISNUMBER(SEARCH("아이디어",K904)),ISNUMBER(SEARCH("시간초과",K904)),ISNUMBER(SEARCH("자료구조",K904)),ISNUMBER(SEARCH("경계값",K904)),ISNUMBER(SEARCH("다른 풀이",K904)),ISNUMBER(SEARCH("또풀기",K904))),"복습대기",IF(OR(ISNUMBER(SEARCH("복습필요없음",K904)),ISNUMBER(SEARCH("자력완벽",K904))),"품(복습불필요)",IF(F904&lt;&gt;"","품","미완료"))))))))))</f>
        <v/>
      </c>
      <c r="K904" s="32" t="inlineStr">
        <is>
          <t>-</t>
        </is>
      </c>
      <c r="L904" s="32" t="n"/>
      <c r="M904" s="28">
        <f>IF(OR(LEFT(J904,2)="보류", LEFT(J904,4)="복습대기", LEFT(J904,3)="복습1", LEFT(J904,3)="복습2"), MAX($M$3:M903)+1, "")</f>
        <v/>
      </c>
      <c r="N904" s="28" t="inlineStr">
        <is>
          <t>W22</t>
        </is>
      </c>
      <c r="O904" s="36" t="n">
        <v>46405</v>
      </c>
      <c r="P904" s="30">
        <f>IF(F904&lt;&gt;"","✅ 완료",IF(O904="","-",IF(TODAY()&gt;O904,"🚨 지연","⏳ 예정")))</f>
        <v/>
      </c>
      <c r="Q904" s="7" t="n"/>
      <c r="R904" s="7" t="n"/>
      <c r="S904" s="7" t="n"/>
      <c r="T904" s="7" t="n"/>
      <c r="U904" s="7" t="n"/>
      <c r="V904" s="7" t="n"/>
      <c r="W904" s="7" t="n"/>
      <c r="X904" s="7" t="n"/>
    </row>
    <row r="905" ht="21.75" customHeight="1" s="209">
      <c r="A905" s="28" t="n">
        <v>902</v>
      </c>
      <c r="B905" s="28" t="inlineStr">
        <is>
          <t>14181</t>
        </is>
      </c>
      <c r="C905" s="30" t="inlineStr">
        <is>
          <t>D6</t>
        </is>
      </c>
      <c r="D905" s="32" t="inlineStr">
        <is>
          <t>신장 그래프의 개수</t>
        </is>
      </c>
      <c r="E905" s="28" t="inlineStr">
        <is>
          <t>그래프 / 최단경로 / 위상정렬</t>
        </is>
      </c>
      <c r="F905" s="28" t="n"/>
      <c r="G905" s="28" t="n"/>
      <c r="H905" s="28" t="n"/>
      <c r="I905" s="28" t="n"/>
      <c r="J905" s="54">
        <f>IF(OR(ISNUMBER(SEARCH("보류",K905)),ISNUMBER(SEARCH("미룸",K905)),ISNUMBER(SEARCH("나중에",K905)),ISNUMBER(SEARCH("보류",L905)),ISNUMBER(SEARCH("미룸",L905)),ISNUMBER(SEARCH("나중에",L905))),"보류(나중에 풀기)",IF(AND(F905="",G905="",H905="",I905=""),"미완료",IF(I905&lt;&gt;"","복습3(마스터)",IF(H905&lt;&gt;"","복습2",IF(G905&lt;&gt;"","복습1",IF(ISNUMBER(SEARCH("제미나이",K905)),"복습대기(AI도움)",IF(ISNUMBER(SEARCH("간당간당",K905)),"복습대기(간당간당)",IF(OR(ISNUMBER(SEARCH("아이디어",K905)),ISNUMBER(SEARCH("시간초과",K905)),ISNUMBER(SEARCH("자료구조",K905)),ISNUMBER(SEARCH("경계값",K905)),ISNUMBER(SEARCH("다른 풀이",K905)),ISNUMBER(SEARCH("또풀기",K905))),"복습대기",IF(OR(ISNUMBER(SEARCH("복습필요없음",K905)),ISNUMBER(SEARCH("자력완벽",K905))),"품(복습불필요)",IF(F905&lt;&gt;"","품","미완료"))))))))))</f>
        <v/>
      </c>
      <c r="K905" s="32" t="inlineStr">
        <is>
          <t>-</t>
        </is>
      </c>
      <c r="L905" s="32" t="n"/>
      <c r="M905" s="28">
        <f>IF(OR(LEFT(J905,2)="보류", LEFT(J905,4)="복습대기", LEFT(J905,3)="복습1", LEFT(J905,3)="복습2"), MAX($M$3:M904)+1, "")</f>
        <v/>
      </c>
      <c r="N905" s="28" t="inlineStr">
        <is>
          <t>W22</t>
        </is>
      </c>
      <c r="O905" s="36" t="n">
        <v>46405</v>
      </c>
      <c r="P905" s="30">
        <f>IF(F905&lt;&gt;"","✅ 완료",IF(O905="","-",IF(TODAY()&gt;O905,"🚨 지연","⏳ 예정")))</f>
        <v/>
      </c>
      <c r="Q905" s="7" t="n"/>
      <c r="R905" s="7" t="n"/>
      <c r="S905" s="7" t="n"/>
      <c r="T905" s="7" t="n"/>
      <c r="U905" s="7" t="n"/>
      <c r="V905" s="7" t="n"/>
      <c r="W905" s="7" t="n"/>
      <c r="X905" s="7" t="n"/>
    </row>
    <row r="906" ht="21.75" customHeight="1" s="209">
      <c r="A906" s="28" t="n">
        <v>903</v>
      </c>
      <c r="B906" s="28" t="inlineStr">
        <is>
          <t>14364</t>
        </is>
      </c>
      <c r="C906" s="30" t="inlineStr">
        <is>
          <t>D6</t>
        </is>
      </c>
      <c r="D906" s="32" t="inlineStr">
        <is>
          <t>차이 그래프</t>
        </is>
      </c>
      <c r="E906" s="28" t="inlineStr">
        <is>
          <t>그래프 / 최단경로 / 위상정렬</t>
        </is>
      </c>
      <c r="F906" s="28" t="n"/>
      <c r="G906" s="28" t="n"/>
      <c r="H906" s="28" t="n"/>
      <c r="I906" s="28" t="n"/>
      <c r="J906" s="54">
        <f>IF(OR(ISNUMBER(SEARCH("보류",K906)),ISNUMBER(SEARCH("미룸",K906)),ISNUMBER(SEARCH("나중에",K906)),ISNUMBER(SEARCH("보류",L906)),ISNUMBER(SEARCH("미룸",L906)),ISNUMBER(SEARCH("나중에",L906))),"보류(나중에 풀기)",IF(AND(F906="",G906="",H906="",I906=""),"미완료",IF(I906&lt;&gt;"","복습3(마스터)",IF(H906&lt;&gt;"","복습2",IF(G906&lt;&gt;"","복습1",IF(ISNUMBER(SEARCH("제미나이",K906)),"복습대기(AI도움)",IF(ISNUMBER(SEARCH("간당간당",K906)),"복습대기(간당간당)",IF(OR(ISNUMBER(SEARCH("아이디어",K906)),ISNUMBER(SEARCH("시간초과",K906)),ISNUMBER(SEARCH("자료구조",K906)),ISNUMBER(SEARCH("경계값",K906)),ISNUMBER(SEARCH("다른 풀이",K906)),ISNUMBER(SEARCH("또풀기",K906))),"복습대기",IF(OR(ISNUMBER(SEARCH("복습필요없음",K906)),ISNUMBER(SEARCH("자력완벽",K906))),"품(복습불필요)",IF(F906&lt;&gt;"","품","미완료"))))))))))</f>
        <v/>
      </c>
      <c r="K906" s="32" t="inlineStr">
        <is>
          <t>-</t>
        </is>
      </c>
      <c r="L906" s="32" t="n"/>
      <c r="M906" s="28">
        <f>IF(OR(LEFT(J906,2)="보류", LEFT(J906,4)="복습대기", LEFT(J906,3)="복습1", LEFT(J906,3)="복습2"), MAX($M$3:M905)+1, "")</f>
        <v/>
      </c>
      <c r="N906" s="28" t="inlineStr">
        <is>
          <t>W22</t>
        </is>
      </c>
      <c r="O906" s="36" t="n">
        <v>46405</v>
      </c>
      <c r="P906" s="30">
        <f>IF(F906&lt;&gt;"","✅ 완료",IF(O906="","-",IF(TODAY()&gt;O906,"🚨 지연","⏳ 예정")))</f>
        <v/>
      </c>
      <c r="Q906" s="7" t="n"/>
      <c r="R906" s="7" t="n"/>
      <c r="S906" s="7" t="n"/>
      <c r="T906" s="7" t="n"/>
      <c r="U906" s="7" t="n"/>
      <c r="V906" s="7" t="n"/>
      <c r="W906" s="7" t="n"/>
      <c r="X906" s="7" t="n"/>
    </row>
    <row r="907" ht="21.75" customHeight="1" s="209">
      <c r="A907" s="28" t="n">
        <v>904</v>
      </c>
      <c r="B907" s="28" t="inlineStr">
        <is>
          <t>14454</t>
        </is>
      </c>
      <c r="C907" s="30" t="inlineStr">
        <is>
          <t>D6</t>
        </is>
      </c>
      <c r="D907" s="32" t="inlineStr">
        <is>
          <t>최적화 문제</t>
        </is>
      </c>
      <c r="E907" s="28" t="inlineStr">
        <is>
          <t>동적계획법 (DP) / 그래프</t>
        </is>
      </c>
      <c r="F907" s="28" t="n"/>
      <c r="G907" s="28" t="n"/>
      <c r="H907" s="28" t="n"/>
      <c r="I907" s="28" t="n"/>
      <c r="J907" s="54">
        <f>IF(OR(ISNUMBER(SEARCH("보류",K907)),ISNUMBER(SEARCH("미룸",K907)),ISNUMBER(SEARCH("나중에",K907)),ISNUMBER(SEARCH("보류",L907)),ISNUMBER(SEARCH("미룸",L907)),ISNUMBER(SEARCH("나중에",L907))),"보류(나중에 풀기)",IF(AND(F907="",G907="",H907="",I907=""),"미완료",IF(I907&lt;&gt;"","복습3(마스터)",IF(H907&lt;&gt;"","복습2",IF(G907&lt;&gt;"","복습1",IF(ISNUMBER(SEARCH("제미나이",K907)),"복습대기(AI도움)",IF(ISNUMBER(SEARCH("간당간당",K907)),"복습대기(간당간당)",IF(OR(ISNUMBER(SEARCH("아이디어",K907)),ISNUMBER(SEARCH("시간초과",K907)),ISNUMBER(SEARCH("자료구조",K907)),ISNUMBER(SEARCH("경계값",K907)),ISNUMBER(SEARCH("다른 풀이",K907)),ISNUMBER(SEARCH("또풀기",K907))),"복습대기",IF(OR(ISNUMBER(SEARCH("복습필요없음",K907)),ISNUMBER(SEARCH("자력완벽",K907))),"품(복습불필요)",IF(F907&lt;&gt;"","품","미완료"))))))))))</f>
        <v/>
      </c>
      <c r="K907" s="32" t="inlineStr">
        <is>
          <t>-</t>
        </is>
      </c>
      <c r="L907" s="32" t="n"/>
      <c r="M907" s="28">
        <f>IF(OR(LEFT(J907,2)="보류", LEFT(J907,4)="복습대기", LEFT(J907,3)="복습1", LEFT(J907,3)="복습2"), MAX($M$3:M906)+1, "")</f>
        <v/>
      </c>
      <c r="N907" s="28" t="inlineStr">
        <is>
          <t>W22</t>
        </is>
      </c>
      <c r="O907" s="36" t="n">
        <v>46405</v>
      </c>
      <c r="P907" s="30">
        <f>IF(F907&lt;&gt;"","✅ 완료",IF(O907="","-",IF(TODAY()&gt;O907,"🚨 지연","⏳ 예정")))</f>
        <v/>
      </c>
      <c r="Q907" s="7" t="n"/>
      <c r="R907" s="7" t="n"/>
      <c r="S907" s="7" t="n"/>
      <c r="T907" s="7" t="n"/>
      <c r="U907" s="7" t="n"/>
      <c r="V907" s="7" t="n"/>
      <c r="W907" s="7" t="n"/>
      <c r="X907" s="7" t="n"/>
    </row>
    <row r="908" ht="21.75" customHeight="1" s="209">
      <c r="A908" s="28" t="n">
        <v>905</v>
      </c>
      <c r="B908" s="28" t="inlineStr">
        <is>
          <t>14560</t>
        </is>
      </c>
      <c r="C908" s="30" t="inlineStr">
        <is>
          <t>D6</t>
        </is>
      </c>
      <c r="D908" s="32" t="inlineStr">
        <is>
          <t>X2+1</t>
        </is>
      </c>
      <c r="E908" s="28" t="inlineStr">
        <is>
          <t>동적계획법 (DP) / 그래프</t>
        </is>
      </c>
      <c r="F908" s="28" t="n"/>
      <c r="G908" s="28" t="n"/>
      <c r="H908" s="28" t="n"/>
      <c r="I908" s="28" t="n"/>
      <c r="J908" s="54">
        <f>IF(OR(ISNUMBER(SEARCH("보류",K908)),ISNUMBER(SEARCH("미룸",K908)),ISNUMBER(SEARCH("나중에",K908)),ISNUMBER(SEARCH("보류",L908)),ISNUMBER(SEARCH("미룸",L908)),ISNUMBER(SEARCH("나중에",L908))),"보류(나중에 풀기)",IF(AND(F908="",G908="",H908="",I908=""),"미완료",IF(I908&lt;&gt;"","복습3(마스터)",IF(H908&lt;&gt;"","복습2",IF(G908&lt;&gt;"","복습1",IF(ISNUMBER(SEARCH("제미나이",K908)),"복습대기(AI도움)",IF(ISNUMBER(SEARCH("간당간당",K908)),"복습대기(간당간당)",IF(OR(ISNUMBER(SEARCH("아이디어",K908)),ISNUMBER(SEARCH("시간초과",K908)),ISNUMBER(SEARCH("자료구조",K908)),ISNUMBER(SEARCH("경계값",K908)),ISNUMBER(SEARCH("다른 풀이",K908)),ISNUMBER(SEARCH("또풀기",K908))),"복습대기",IF(OR(ISNUMBER(SEARCH("복습필요없음",K908)),ISNUMBER(SEARCH("자력완벽",K908))),"품(복습불필요)",IF(F908&lt;&gt;"","품","미완료"))))))))))</f>
        <v/>
      </c>
      <c r="K908" s="32" t="inlineStr">
        <is>
          <t>-</t>
        </is>
      </c>
      <c r="L908" s="32" t="n"/>
      <c r="M908" s="28">
        <f>IF(OR(LEFT(J908,2)="보류", LEFT(J908,4)="복습대기", LEFT(J908,3)="복습1", LEFT(J908,3)="복습2"), MAX($M$3:M907)+1, "")</f>
        <v/>
      </c>
      <c r="N908" s="28" t="inlineStr">
        <is>
          <t>W22</t>
        </is>
      </c>
      <c r="O908" s="36" t="n">
        <v>46405</v>
      </c>
      <c r="P908" s="30">
        <f>IF(F908&lt;&gt;"","✅ 완료",IF(O908="","-",IF(TODAY()&gt;O908,"🚨 지연","⏳ 예정")))</f>
        <v/>
      </c>
      <c r="Q908" s="7" t="n"/>
      <c r="R908" s="7" t="n"/>
      <c r="S908" s="7" t="n"/>
      <c r="T908" s="7" t="n"/>
      <c r="U908" s="7" t="n"/>
      <c r="V908" s="7" t="n"/>
      <c r="W908" s="7" t="n"/>
      <c r="X908" s="7" t="n"/>
    </row>
    <row r="909" ht="21.75" customHeight="1" s="209">
      <c r="A909" s="28" t="n">
        <v>906</v>
      </c>
      <c r="B909" s="28" t="inlineStr">
        <is>
          <t>14704</t>
        </is>
      </c>
      <c r="C909" s="30" t="inlineStr">
        <is>
          <t>D6</t>
        </is>
      </c>
      <c r="D909" s="32" t="inlineStr">
        <is>
          <t>구간의 개수가 정해진 순열</t>
        </is>
      </c>
      <c r="E909" s="28" t="inlineStr">
        <is>
          <t>DFS / 백트래킹</t>
        </is>
      </c>
      <c r="F909" s="28" t="n"/>
      <c r="G909" s="28" t="n"/>
      <c r="H909" s="28" t="n"/>
      <c r="I909" s="28" t="n"/>
      <c r="J909" s="54">
        <f>IF(OR(ISNUMBER(SEARCH("보류",K909)),ISNUMBER(SEARCH("미룸",K909)),ISNUMBER(SEARCH("나중에",K909)),ISNUMBER(SEARCH("보류",L909)),ISNUMBER(SEARCH("미룸",L909)),ISNUMBER(SEARCH("나중에",L909))),"보류(나중에 풀기)",IF(AND(F909="",G909="",H909="",I909=""),"미완료",IF(I909&lt;&gt;"","복습3(마스터)",IF(H909&lt;&gt;"","복습2",IF(G909&lt;&gt;"","복습1",IF(ISNUMBER(SEARCH("제미나이",K909)),"복습대기(AI도움)",IF(ISNUMBER(SEARCH("간당간당",K909)),"복습대기(간당간당)",IF(OR(ISNUMBER(SEARCH("아이디어",K909)),ISNUMBER(SEARCH("시간초과",K909)),ISNUMBER(SEARCH("자료구조",K909)),ISNUMBER(SEARCH("경계값",K909)),ISNUMBER(SEARCH("다른 풀이",K909)),ISNUMBER(SEARCH("또풀기",K909))),"복습대기",IF(OR(ISNUMBER(SEARCH("복습필요없음",K909)),ISNUMBER(SEARCH("자력완벽",K909))),"품(복습불필요)",IF(F909&lt;&gt;"","품","미완료"))))))))))</f>
        <v/>
      </c>
      <c r="K909" s="32" t="inlineStr">
        <is>
          <t>-</t>
        </is>
      </c>
      <c r="L909" s="32" t="n"/>
      <c r="M909" s="28">
        <f>IF(OR(LEFT(J909,2)="보류", LEFT(J909,4)="복습대기", LEFT(J909,3)="복습1", LEFT(J909,3)="복습2"), MAX($M$3:M908)+1, "")</f>
        <v/>
      </c>
      <c r="N909" s="28" t="inlineStr">
        <is>
          <t>W22</t>
        </is>
      </c>
      <c r="O909" s="36" t="n">
        <v>46405</v>
      </c>
      <c r="P909" s="30">
        <f>IF(F909&lt;&gt;"","✅ 완료",IF(O909="","-",IF(TODAY()&gt;O909,"🚨 지연","⏳ 예정")))</f>
        <v/>
      </c>
      <c r="Q909" s="7" t="n"/>
      <c r="R909" s="7" t="n"/>
      <c r="S909" s="7" t="n"/>
      <c r="T909" s="7" t="n"/>
      <c r="U909" s="7" t="n"/>
      <c r="V909" s="7" t="n"/>
      <c r="W909" s="7" t="n"/>
      <c r="X909" s="7" t="n"/>
    </row>
    <row r="910" ht="21.75" customHeight="1" s="209">
      <c r="A910" s="28" t="n">
        <v>907</v>
      </c>
      <c r="B910" s="28" t="inlineStr">
        <is>
          <t>15248</t>
        </is>
      </c>
      <c r="C910" s="30" t="inlineStr">
        <is>
          <t>D6</t>
        </is>
      </c>
      <c r="D910" s="32" t="inlineStr">
        <is>
          <t>부분 직사각형</t>
        </is>
      </c>
      <c r="E910" s="28" t="inlineStr">
        <is>
          <t>동적계획법 (DP) / 그래프</t>
        </is>
      </c>
      <c r="F910" s="28" t="n"/>
      <c r="G910" s="28" t="n"/>
      <c r="H910" s="28" t="n"/>
      <c r="I910" s="28" t="n"/>
      <c r="J910" s="54">
        <f>IF(OR(ISNUMBER(SEARCH("보류",K910)),ISNUMBER(SEARCH("미룸",K910)),ISNUMBER(SEARCH("나중에",K910)),ISNUMBER(SEARCH("보류",L910)),ISNUMBER(SEARCH("미룸",L910)),ISNUMBER(SEARCH("나중에",L910))),"보류(나중에 풀기)",IF(AND(F910="",G910="",H910="",I910=""),"미완료",IF(I910&lt;&gt;"","복습3(마스터)",IF(H910&lt;&gt;"","복습2",IF(G910&lt;&gt;"","복습1",IF(ISNUMBER(SEARCH("제미나이",K910)),"복습대기(AI도움)",IF(ISNUMBER(SEARCH("간당간당",K910)),"복습대기(간당간당)",IF(OR(ISNUMBER(SEARCH("아이디어",K910)),ISNUMBER(SEARCH("시간초과",K910)),ISNUMBER(SEARCH("자료구조",K910)),ISNUMBER(SEARCH("경계값",K910)),ISNUMBER(SEARCH("다른 풀이",K910)),ISNUMBER(SEARCH("또풀기",K910))),"복습대기",IF(OR(ISNUMBER(SEARCH("복습필요없음",K910)),ISNUMBER(SEARCH("자력완벽",K910))),"품(복습불필요)",IF(F910&lt;&gt;"","품","미완료"))))))))))</f>
        <v/>
      </c>
      <c r="K910" s="32" t="inlineStr">
        <is>
          <t>-</t>
        </is>
      </c>
      <c r="L910" s="32" t="n"/>
      <c r="M910" s="28">
        <f>IF(OR(LEFT(J910,2)="보류", LEFT(J910,4)="복습대기", LEFT(J910,3)="복습1", LEFT(J910,3)="복습2"), MAX($M$3:M909)+1, "")</f>
        <v/>
      </c>
      <c r="N910" s="28" t="inlineStr">
        <is>
          <t>W22</t>
        </is>
      </c>
      <c r="O910" s="36" t="n">
        <v>46406</v>
      </c>
      <c r="P910" s="30">
        <f>IF(F910&lt;&gt;"","✅ 완료",IF(O910="","-",IF(TODAY()&gt;O910,"🚨 지연","⏳ 예정")))</f>
        <v/>
      </c>
      <c r="Q910" s="7" t="n"/>
      <c r="R910" s="7" t="n"/>
      <c r="S910" s="7" t="n"/>
      <c r="T910" s="7" t="n"/>
      <c r="U910" s="7" t="n"/>
      <c r="V910" s="7" t="n"/>
      <c r="W910" s="7" t="n"/>
      <c r="X910" s="7" t="n"/>
    </row>
    <row r="911" ht="21.75" customHeight="1" s="209">
      <c r="A911" s="28" t="n">
        <v>908</v>
      </c>
      <c r="B911" s="28" t="inlineStr">
        <is>
          <t>15637</t>
        </is>
      </c>
      <c r="C911" s="30" t="inlineStr">
        <is>
          <t>D6</t>
        </is>
      </c>
      <c r="D911" s="32" t="inlineStr">
        <is>
          <t>연산자 추론</t>
        </is>
      </c>
      <c r="E911" s="28" t="inlineStr">
        <is>
          <t>동적계획법 (DP) / 그래프</t>
        </is>
      </c>
      <c r="F911" s="28" t="n"/>
      <c r="G911" s="28" t="n"/>
      <c r="H911" s="28" t="n"/>
      <c r="I911" s="28" t="n"/>
      <c r="J911" s="54">
        <f>IF(OR(ISNUMBER(SEARCH("보류",K911)),ISNUMBER(SEARCH("미룸",K911)),ISNUMBER(SEARCH("나중에",K911)),ISNUMBER(SEARCH("보류",L911)),ISNUMBER(SEARCH("미룸",L911)),ISNUMBER(SEARCH("나중에",L911))),"보류(나중에 풀기)",IF(AND(F911="",G911="",H911="",I911=""),"미완료",IF(I911&lt;&gt;"","복습3(마스터)",IF(H911&lt;&gt;"","복습2",IF(G911&lt;&gt;"","복습1",IF(ISNUMBER(SEARCH("제미나이",K911)),"복습대기(AI도움)",IF(ISNUMBER(SEARCH("간당간당",K911)),"복습대기(간당간당)",IF(OR(ISNUMBER(SEARCH("아이디어",K911)),ISNUMBER(SEARCH("시간초과",K911)),ISNUMBER(SEARCH("자료구조",K911)),ISNUMBER(SEARCH("경계값",K911)),ISNUMBER(SEARCH("다른 풀이",K911)),ISNUMBER(SEARCH("또풀기",K911))),"복습대기",IF(OR(ISNUMBER(SEARCH("복습필요없음",K911)),ISNUMBER(SEARCH("자력완벽",K911))),"품(복습불필요)",IF(F911&lt;&gt;"","품","미완료"))))))))))</f>
        <v/>
      </c>
      <c r="K911" s="32" t="inlineStr">
        <is>
          <t>-</t>
        </is>
      </c>
      <c r="L911" s="32" t="n"/>
      <c r="M911" s="28">
        <f>IF(OR(LEFT(J911,2)="보류", LEFT(J911,4)="복습대기", LEFT(J911,3)="복습1", LEFT(J911,3)="복습2"), MAX($M$3:M910)+1, "")</f>
        <v/>
      </c>
      <c r="N911" s="28" t="inlineStr">
        <is>
          <t>W22</t>
        </is>
      </c>
      <c r="O911" s="36" t="n">
        <v>46406</v>
      </c>
      <c r="P911" s="30">
        <f>IF(F911&lt;&gt;"","✅ 완료",IF(O911="","-",IF(TODAY()&gt;O911,"🚨 지연","⏳ 예정")))</f>
        <v/>
      </c>
      <c r="Q911" s="7" t="n"/>
      <c r="R911" s="7" t="n"/>
      <c r="S911" s="7" t="n"/>
      <c r="T911" s="7" t="n"/>
      <c r="U911" s="7" t="n"/>
      <c r="V911" s="7" t="n"/>
      <c r="W911" s="7" t="n"/>
      <c r="X911" s="7" t="n"/>
    </row>
    <row r="912" ht="21.75" customHeight="1" s="209">
      <c r="A912" s="28" t="n">
        <v>909</v>
      </c>
      <c r="B912" s="28" t="inlineStr">
        <is>
          <t>15766</t>
        </is>
      </c>
      <c r="C912" s="30" t="inlineStr">
        <is>
          <t>D6</t>
        </is>
      </c>
      <c r="D912" s="32" t="inlineStr">
        <is>
          <t>땅굴 탈출</t>
        </is>
      </c>
      <c r="E912" s="28" t="inlineStr">
        <is>
          <t>BFS (너비우선탐색)</t>
        </is>
      </c>
      <c r="F912" s="28" t="n"/>
      <c r="G912" s="28" t="n"/>
      <c r="H912" s="28" t="n"/>
      <c r="I912" s="28" t="n"/>
      <c r="J912" s="54">
        <f>IF(OR(ISNUMBER(SEARCH("보류",K912)),ISNUMBER(SEARCH("미룸",K912)),ISNUMBER(SEARCH("나중에",K912)),ISNUMBER(SEARCH("보류",L912)),ISNUMBER(SEARCH("미룸",L912)),ISNUMBER(SEARCH("나중에",L912))),"보류(나중에 풀기)",IF(AND(F912="",G912="",H912="",I912=""),"미완료",IF(I912&lt;&gt;"","복습3(마스터)",IF(H912&lt;&gt;"","복습2",IF(G912&lt;&gt;"","복습1",IF(ISNUMBER(SEARCH("제미나이",K912)),"복습대기(AI도움)",IF(ISNUMBER(SEARCH("간당간당",K912)),"복습대기(간당간당)",IF(OR(ISNUMBER(SEARCH("아이디어",K912)),ISNUMBER(SEARCH("시간초과",K912)),ISNUMBER(SEARCH("자료구조",K912)),ISNUMBER(SEARCH("경계값",K912)),ISNUMBER(SEARCH("다른 풀이",K912)),ISNUMBER(SEARCH("또풀기",K912))),"복습대기",IF(OR(ISNUMBER(SEARCH("복습필요없음",K912)),ISNUMBER(SEARCH("자력완벽",K912))),"품(복습불필요)",IF(F912&lt;&gt;"","품","미완료"))))))))))</f>
        <v/>
      </c>
      <c r="K912" s="32" t="inlineStr">
        <is>
          <t>-</t>
        </is>
      </c>
      <c r="L912" s="32" t="n"/>
      <c r="M912" s="28">
        <f>IF(OR(LEFT(J912,2)="보류", LEFT(J912,4)="복습대기", LEFT(J912,3)="복습1", LEFT(J912,3)="복습2"), MAX($M$3:M911)+1, "")</f>
        <v/>
      </c>
      <c r="N912" s="28" t="inlineStr">
        <is>
          <t>W22</t>
        </is>
      </c>
      <c r="O912" s="36" t="n">
        <v>46406</v>
      </c>
      <c r="P912" s="30">
        <f>IF(F912&lt;&gt;"","✅ 완료",IF(O912="","-",IF(TODAY()&gt;O912,"🚨 지연","⏳ 예정")))</f>
        <v/>
      </c>
      <c r="Q912" s="7" t="n"/>
      <c r="R912" s="7" t="n"/>
      <c r="S912" s="7" t="n"/>
      <c r="T912" s="7" t="n"/>
      <c r="U912" s="7" t="n"/>
      <c r="V912" s="7" t="n"/>
      <c r="W912" s="7" t="n"/>
      <c r="X912" s="7" t="n"/>
    </row>
    <row r="913" ht="21.75" customHeight="1" s="209">
      <c r="A913" s="28" t="n">
        <v>910</v>
      </c>
      <c r="B913" s="28" t="inlineStr">
        <is>
          <t>15874</t>
        </is>
      </c>
      <c r="C913" s="30" t="inlineStr">
        <is>
          <t>D6</t>
        </is>
      </c>
      <c r="D913" s="32" t="inlineStr">
        <is>
          <t>흑돌과 백돌</t>
        </is>
      </c>
      <c r="E913" s="28" t="inlineStr">
        <is>
          <t>동적계획법 (DP) / 그래프</t>
        </is>
      </c>
      <c r="F913" s="28" t="n"/>
      <c r="G913" s="28" t="n"/>
      <c r="H913" s="28" t="n"/>
      <c r="I913" s="28" t="n"/>
      <c r="J913" s="54">
        <f>IF(OR(ISNUMBER(SEARCH("보류",K913)),ISNUMBER(SEARCH("미룸",K913)),ISNUMBER(SEARCH("나중에",K913)),ISNUMBER(SEARCH("보류",L913)),ISNUMBER(SEARCH("미룸",L913)),ISNUMBER(SEARCH("나중에",L913))),"보류(나중에 풀기)",IF(AND(F913="",G913="",H913="",I913=""),"미완료",IF(I913&lt;&gt;"","복습3(마스터)",IF(H913&lt;&gt;"","복습2",IF(G913&lt;&gt;"","복습1",IF(ISNUMBER(SEARCH("제미나이",K913)),"복습대기(AI도움)",IF(ISNUMBER(SEARCH("간당간당",K913)),"복습대기(간당간당)",IF(OR(ISNUMBER(SEARCH("아이디어",K913)),ISNUMBER(SEARCH("시간초과",K913)),ISNUMBER(SEARCH("자료구조",K913)),ISNUMBER(SEARCH("경계값",K913)),ISNUMBER(SEARCH("다른 풀이",K913)),ISNUMBER(SEARCH("또풀기",K913))),"복습대기",IF(OR(ISNUMBER(SEARCH("복습필요없음",K913)),ISNUMBER(SEARCH("자력완벽",K913))),"품(복습불필요)",IF(F913&lt;&gt;"","품","미완료"))))))))))</f>
        <v/>
      </c>
      <c r="K913" s="32" t="inlineStr">
        <is>
          <t>-</t>
        </is>
      </c>
      <c r="L913" s="32" t="n"/>
      <c r="M913" s="28">
        <f>IF(OR(LEFT(J913,2)="보류", LEFT(J913,4)="복습대기", LEFT(J913,3)="복습1", LEFT(J913,3)="복습2"), MAX($M$3:M912)+1, "")</f>
        <v/>
      </c>
      <c r="N913" s="28" t="inlineStr">
        <is>
          <t>W22</t>
        </is>
      </c>
      <c r="O913" s="36" t="n">
        <v>46406</v>
      </c>
      <c r="P913" s="30">
        <f>IF(F913&lt;&gt;"","✅ 완료",IF(O913="","-",IF(TODAY()&gt;O913,"🚨 지연","⏳ 예정")))</f>
        <v/>
      </c>
      <c r="Q913" s="7" t="n"/>
      <c r="R913" s="7" t="n"/>
      <c r="S913" s="7" t="n"/>
      <c r="T913" s="7" t="n"/>
      <c r="U913" s="7" t="n"/>
      <c r="V913" s="7" t="n"/>
      <c r="W913" s="7" t="n"/>
      <c r="X913" s="7" t="n"/>
    </row>
    <row r="914" ht="21.75" customHeight="1" s="209">
      <c r="A914" s="28" t="n">
        <v>911</v>
      </c>
      <c r="B914" s="28" t="inlineStr">
        <is>
          <t>15944</t>
        </is>
      </c>
      <c r="C914" s="30" t="inlineStr">
        <is>
          <t>D6</t>
        </is>
      </c>
      <c r="D914" s="32" t="inlineStr">
        <is>
          <t>구간 동형 사상</t>
        </is>
      </c>
      <c r="E914" s="28" t="inlineStr">
        <is>
          <t>동적계획법 (DP) / 그래프</t>
        </is>
      </c>
      <c r="F914" s="28" t="n"/>
      <c r="G914" s="28" t="n"/>
      <c r="H914" s="28" t="n"/>
      <c r="I914" s="28" t="n"/>
      <c r="J914" s="54">
        <f>IF(OR(ISNUMBER(SEARCH("보류",K914)),ISNUMBER(SEARCH("미룸",K914)),ISNUMBER(SEARCH("나중에",K914)),ISNUMBER(SEARCH("보류",L914)),ISNUMBER(SEARCH("미룸",L914)),ISNUMBER(SEARCH("나중에",L914))),"보류(나중에 풀기)",IF(AND(F914="",G914="",H914="",I914=""),"미완료",IF(I914&lt;&gt;"","복습3(마스터)",IF(H914&lt;&gt;"","복습2",IF(G914&lt;&gt;"","복습1",IF(ISNUMBER(SEARCH("제미나이",K914)),"복습대기(AI도움)",IF(ISNUMBER(SEARCH("간당간당",K914)),"복습대기(간당간당)",IF(OR(ISNUMBER(SEARCH("아이디어",K914)),ISNUMBER(SEARCH("시간초과",K914)),ISNUMBER(SEARCH("자료구조",K914)),ISNUMBER(SEARCH("경계값",K914)),ISNUMBER(SEARCH("다른 풀이",K914)),ISNUMBER(SEARCH("또풀기",K914))),"복습대기",IF(OR(ISNUMBER(SEARCH("복습필요없음",K914)),ISNUMBER(SEARCH("자력완벽",K914))),"품(복습불필요)",IF(F914&lt;&gt;"","품","미완료"))))))))))</f>
        <v/>
      </c>
      <c r="K914" s="32" t="inlineStr">
        <is>
          <t>-</t>
        </is>
      </c>
      <c r="L914" s="32" t="n"/>
      <c r="M914" s="28">
        <f>IF(OR(LEFT(J914,2)="보류", LEFT(J914,4)="복습대기", LEFT(J914,3)="복습1", LEFT(J914,3)="복습2"), MAX($M$3:M913)+1, "")</f>
        <v/>
      </c>
      <c r="N914" s="28" t="inlineStr">
        <is>
          <t>W22</t>
        </is>
      </c>
      <c r="O914" s="36" t="n">
        <v>46406</v>
      </c>
      <c r="P914" s="30">
        <f>IF(F914&lt;&gt;"","✅ 완료",IF(O914="","-",IF(TODAY()&gt;O914,"🚨 지연","⏳ 예정")))</f>
        <v/>
      </c>
      <c r="Q914" s="7" t="n"/>
      <c r="R914" s="7" t="n"/>
      <c r="S914" s="7" t="n"/>
      <c r="T914" s="7" t="n"/>
      <c r="U914" s="7" t="n"/>
      <c r="V914" s="7" t="n"/>
      <c r="W914" s="7" t="n"/>
      <c r="X914" s="7" t="n"/>
    </row>
    <row r="915" ht="21.75" customHeight="1" s="209">
      <c r="A915" s="28" t="n">
        <v>912</v>
      </c>
      <c r="B915" s="28" t="inlineStr">
        <is>
          <t>16009</t>
        </is>
      </c>
      <c r="C915" s="30" t="inlineStr">
        <is>
          <t>D6</t>
        </is>
      </c>
      <c r="D915" s="32" t="inlineStr">
        <is>
          <t>거꾸로 위상 정렬</t>
        </is>
      </c>
      <c r="E915" s="28" t="inlineStr">
        <is>
          <t>그래프 / 최단경로 / 위상정렬</t>
        </is>
      </c>
      <c r="F915" s="28" t="n"/>
      <c r="G915" s="28" t="n"/>
      <c r="H915" s="28" t="n"/>
      <c r="I915" s="28" t="n"/>
      <c r="J915" s="54">
        <f>IF(OR(ISNUMBER(SEARCH("보류",K915)),ISNUMBER(SEARCH("미룸",K915)),ISNUMBER(SEARCH("나중에",K915)),ISNUMBER(SEARCH("보류",L915)),ISNUMBER(SEARCH("미룸",L915)),ISNUMBER(SEARCH("나중에",L915))),"보류(나중에 풀기)",IF(AND(F915="",G915="",H915="",I915=""),"미완료",IF(I915&lt;&gt;"","복습3(마스터)",IF(H915&lt;&gt;"","복습2",IF(G915&lt;&gt;"","복습1",IF(ISNUMBER(SEARCH("제미나이",K915)),"복습대기(AI도움)",IF(ISNUMBER(SEARCH("간당간당",K915)),"복습대기(간당간당)",IF(OR(ISNUMBER(SEARCH("아이디어",K915)),ISNUMBER(SEARCH("시간초과",K915)),ISNUMBER(SEARCH("자료구조",K915)),ISNUMBER(SEARCH("경계값",K915)),ISNUMBER(SEARCH("다른 풀이",K915)),ISNUMBER(SEARCH("또풀기",K915))),"복습대기",IF(OR(ISNUMBER(SEARCH("복습필요없음",K915)),ISNUMBER(SEARCH("자력완벽",K915))),"품(복습불필요)",IF(F915&lt;&gt;"","품","미완료"))))))))))</f>
        <v/>
      </c>
      <c r="K915" s="32" t="inlineStr">
        <is>
          <t>-</t>
        </is>
      </c>
      <c r="L915" s="32" t="n"/>
      <c r="M915" s="28">
        <f>IF(OR(LEFT(J915,2)="보류", LEFT(J915,4)="복습대기", LEFT(J915,3)="복습1", LEFT(J915,3)="복습2"), MAX($M$3:M914)+1, "")</f>
        <v/>
      </c>
      <c r="N915" s="28" t="inlineStr">
        <is>
          <t>W22</t>
        </is>
      </c>
      <c r="O915" s="36" t="n">
        <v>46406</v>
      </c>
      <c r="P915" s="30">
        <f>IF(F915&lt;&gt;"","✅ 완료",IF(O915="","-",IF(TODAY()&gt;O915,"🚨 지연","⏳ 예정")))</f>
        <v/>
      </c>
      <c r="Q915" s="7" t="n"/>
      <c r="R915" s="7" t="n"/>
      <c r="S915" s="7" t="n"/>
      <c r="T915" s="7" t="n"/>
      <c r="U915" s="7" t="n"/>
      <c r="V915" s="7" t="n"/>
      <c r="W915" s="7" t="n"/>
      <c r="X915" s="7" t="n"/>
    </row>
    <row r="916" ht="21.75" customHeight="1" s="209">
      <c r="A916" s="28" t="n">
        <v>913</v>
      </c>
      <c r="B916" s="28" t="inlineStr">
        <is>
          <t>16804</t>
        </is>
      </c>
      <c r="C916" s="30" t="inlineStr">
        <is>
          <t>D6</t>
        </is>
      </c>
      <c r="D916" s="32" t="inlineStr">
        <is>
          <t>수열의 랭크</t>
        </is>
      </c>
      <c r="E916" s="28" t="inlineStr">
        <is>
          <t>동적계획법 (DP)</t>
        </is>
      </c>
      <c r="F916" s="28" t="n"/>
      <c r="G916" s="28" t="n"/>
      <c r="H916" s="28" t="n"/>
      <c r="I916" s="28" t="n"/>
      <c r="J916" s="54">
        <f>IF(OR(ISNUMBER(SEARCH("보류",K916)),ISNUMBER(SEARCH("미룸",K916)),ISNUMBER(SEARCH("나중에",K916)),ISNUMBER(SEARCH("보류",L916)),ISNUMBER(SEARCH("미룸",L916)),ISNUMBER(SEARCH("나중에",L916))),"보류(나중에 풀기)",IF(AND(F916="",G916="",H916="",I916=""),"미완료",IF(I916&lt;&gt;"","복습3(마스터)",IF(H916&lt;&gt;"","복습2",IF(G916&lt;&gt;"","복습1",IF(ISNUMBER(SEARCH("제미나이",K916)),"복습대기(AI도움)",IF(ISNUMBER(SEARCH("간당간당",K916)),"복습대기(간당간당)",IF(OR(ISNUMBER(SEARCH("아이디어",K916)),ISNUMBER(SEARCH("시간초과",K916)),ISNUMBER(SEARCH("자료구조",K916)),ISNUMBER(SEARCH("경계값",K916)),ISNUMBER(SEARCH("다른 풀이",K916)),ISNUMBER(SEARCH("또풀기",K916))),"복습대기",IF(OR(ISNUMBER(SEARCH("복습필요없음",K916)),ISNUMBER(SEARCH("자력완벽",K916))),"품(복습불필요)",IF(F916&lt;&gt;"","품","미완료"))))))))))</f>
        <v/>
      </c>
      <c r="K916" s="32" t="inlineStr">
        <is>
          <t>-</t>
        </is>
      </c>
      <c r="L916" s="32" t="n"/>
      <c r="M916" s="28">
        <f>IF(OR(LEFT(J916,2)="보류", LEFT(J916,4)="복습대기", LEFT(J916,3)="복습1", LEFT(J916,3)="복습2"), MAX($M$3:M915)+1, "")</f>
        <v/>
      </c>
      <c r="N916" s="28" t="inlineStr">
        <is>
          <t>W22</t>
        </is>
      </c>
      <c r="O916" s="36" t="n">
        <v>46406</v>
      </c>
      <c r="P916" s="30">
        <f>IF(F916&lt;&gt;"","✅ 완료",IF(O916="","-",IF(TODAY()&gt;O916,"🚨 지연","⏳ 예정")))</f>
        <v/>
      </c>
      <c r="Q916" s="7" t="n"/>
      <c r="R916" s="7" t="n"/>
      <c r="S916" s="7" t="n"/>
      <c r="T916" s="7" t="n"/>
      <c r="U916" s="7" t="n"/>
      <c r="V916" s="7" t="n"/>
      <c r="W916" s="7" t="n"/>
      <c r="X916" s="7" t="n"/>
    </row>
    <row r="917" ht="21.75" customHeight="1" s="209">
      <c r="A917" s="28" t="n">
        <v>914</v>
      </c>
      <c r="B917" s="28" t="inlineStr">
        <is>
          <t>16913</t>
        </is>
      </c>
      <c r="C917" s="30" t="inlineStr">
        <is>
          <t>D6</t>
        </is>
      </c>
      <c r="D917" s="32" t="inlineStr">
        <is>
          <t>삼각형을 포함하지 않는 그래프</t>
        </is>
      </c>
      <c r="E917" s="28" t="inlineStr">
        <is>
          <t>그래프 / 최단경로 / 위상정렬</t>
        </is>
      </c>
      <c r="F917" s="28" t="n"/>
      <c r="G917" s="28" t="n"/>
      <c r="H917" s="28" t="n"/>
      <c r="I917" s="28" t="n"/>
      <c r="J917" s="54">
        <f>IF(OR(ISNUMBER(SEARCH("보류",K917)),ISNUMBER(SEARCH("미룸",K917)),ISNUMBER(SEARCH("나중에",K917)),ISNUMBER(SEARCH("보류",L917)),ISNUMBER(SEARCH("미룸",L917)),ISNUMBER(SEARCH("나중에",L917))),"보류(나중에 풀기)",IF(AND(F917="",G917="",H917="",I917=""),"미완료",IF(I917&lt;&gt;"","복습3(마스터)",IF(H917&lt;&gt;"","복습2",IF(G917&lt;&gt;"","복습1",IF(ISNUMBER(SEARCH("제미나이",K917)),"복습대기(AI도움)",IF(ISNUMBER(SEARCH("간당간당",K917)),"복습대기(간당간당)",IF(OR(ISNUMBER(SEARCH("아이디어",K917)),ISNUMBER(SEARCH("시간초과",K917)),ISNUMBER(SEARCH("자료구조",K917)),ISNUMBER(SEARCH("경계값",K917)),ISNUMBER(SEARCH("다른 풀이",K917)),ISNUMBER(SEARCH("또풀기",K917))),"복습대기",IF(OR(ISNUMBER(SEARCH("복습필요없음",K917)),ISNUMBER(SEARCH("자력완벽",K917))),"품(복습불필요)",IF(F917&lt;&gt;"","품","미완료"))))))))))</f>
        <v/>
      </c>
      <c r="K917" s="32" t="inlineStr">
        <is>
          <t>-</t>
        </is>
      </c>
      <c r="L917" s="32" t="n"/>
      <c r="M917" s="28">
        <f>IF(OR(LEFT(J917,2)="보류", LEFT(J917,4)="복습대기", LEFT(J917,3)="복습1", LEFT(J917,3)="복습2"), MAX($M$3:M916)+1, "")</f>
        <v/>
      </c>
      <c r="N917" s="28" t="inlineStr">
        <is>
          <t>W22</t>
        </is>
      </c>
      <c r="O917" s="36" t="n">
        <v>46407</v>
      </c>
      <c r="P917" s="30">
        <f>IF(F917&lt;&gt;"","✅ 완료",IF(O917="","-",IF(TODAY()&gt;O917,"🚨 지연","⏳ 예정")))</f>
        <v/>
      </c>
      <c r="Q917" s="7" t="n"/>
      <c r="R917" s="7" t="n"/>
      <c r="S917" s="7" t="n"/>
      <c r="T917" s="7" t="n"/>
      <c r="U917" s="7" t="n"/>
      <c r="V917" s="7" t="n"/>
      <c r="W917" s="7" t="n"/>
      <c r="X917" s="7" t="n"/>
    </row>
    <row r="918" ht="21.75" customHeight="1" s="209">
      <c r="A918" s="28" t="n">
        <v>915</v>
      </c>
      <c r="B918" s="28" t="inlineStr">
        <is>
          <t>17304</t>
        </is>
      </c>
      <c r="C918" s="30" t="inlineStr">
        <is>
          <t>D6</t>
        </is>
      </c>
      <c r="D918" s="32" t="inlineStr">
        <is>
          <t>공평한 분배</t>
        </is>
      </c>
      <c r="E918" s="28" t="inlineStr">
        <is>
          <t>동적계획법 (DP) / 그래프</t>
        </is>
      </c>
      <c r="F918" s="28" t="n"/>
      <c r="G918" s="28" t="n"/>
      <c r="H918" s="28" t="n"/>
      <c r="I918" s="28" t="n"/>
      <c r="J918" s="54">
        <f>IF(OR(ISNUMBER(SEARCH("보류",K918)),ISNUMBER(SEARCH("미룸",K918)),ISNUMBER(SEARCH("나중에",K918)),ISNUMBER(SEARCH("보류",L918)),ISNUMBER(SEARCH("미룸",L918)),ISNUMBER(SEARCH("나중에",L918))),"보류(나중에 풀기)",IF(AND(F918="",G918="",H918="",I918=""),"미완료",IF(I918&lt;&gt;"","복습3(마스터)",IF(H918&lt;&gt;"","복습2",IF(G918&lt;&gt;"","복습1",IF(ISNUMBER(SEARCH("제미나이",K918)),"복습대기(AI도움)",IF(ISNUMBER(SEARCH("간당간당",K918)),"복습대기(간당간당)",IF(OR(ISNUMBER(SEARCH("아이디어",K918)),ISNUMBER(SEARCH("시간초과",K918)),ISNUMBER(SEARCH("자료구조",K918)),ISNUMBER(SEARCH("경계값",K918)),ISNUMBER(SEARCH("다른 풀이",K918)),ISNUMBER(SEARCH("또풀기",K918))),"복습대기",IF(OR(ISNUMBER(SEARCH("복습필요없음",K918)),ISNUMBER(SEARCH("자력완벽",K918))),"품(복습불필요)",IF(F918&lt;&gt;"","품","미완료"))))))))))</f>
        <v/>
      </c>
      <c r="K918" s="32" t="inlineStr">
        <is>
          <t>-</t>
        </is>
      </c>
      <c r="L918" s="32" t="n"/>
      <c r="M918" s="28">
        <f>IF(OR(LEFT(J918,2)="보류", LEFT(J918,4)="복습대기", LEFT(J918,3)="복습1", LEFT(J918,3)="복습2"), MAX($M$3:M917)+1, "")</f>
        <v/>
      </c>
      <c r="N918" s="28" t="inlineStr">
        <is>
          <t>W22</t>
        </is>
      </c>
      <c r="O918" s="36" t="n">
        <v>46407</v>
      </c>
      <c r="P918" s="30">
        <f>IF(F918&lt;&gt;"","✅ 완료",IF(O918="","-",IF(TODAY()&gt;O918,"🚨 지연","⏳ 예정")))</f>
        <v/>
      </c>
      <c r="Q918" s="7" t="n"/>
      <c r="R918" s="7" t="n"/>
      <c r="S918" s="7" t="n"/>
      <c r="T918" s="7" t="n"/>
      <c r="U918" s="7" t="n"/>
      <c r="V918" s="7" t="n"/>
      <c r="W918" s="7" t="n"/>
      <c r="X918" s="7" t="n"/>
    </row>
    <row r="919" ht="21.75" customHeight="1" s="209">
      <c r="A919" s="28" t="n">
        <v>916</v>
      </c>
      <c r="B919" s="28" t="inlineStr">
        <is>
          <t>18667</t>
        </is>
      </c>
      <c r="C919" s="30" t="inlineStr">
        <is>
          <t>D6</t>
        </is>
      </c>
      <c r="D919" s="32" t="inlineStr">
        <is>
          <t>격자 속의 직사각형</t>
        </is>
      </c>
      <c r="E919" s="28" t="inlineStr">
        <is>
          <t>시뮬레이션 / 구현</t>
        </is>
      </c>
      <c r="F919" s="28" t="n"/>
      <c r="G919" s="28" t="n"/>
      <c r="H919" s="28" t="n"/>
      <c r="I919" s="28" t="n"/>
      <c r="J919" s="54">
        <f>IF(OR(ISNUMBER(SEARCH("보류",K919)),ISNUMBER(SEARCH("미룸",K919)),ISNUMBER(SEARCH("나중에",K919)),ISNUMBER(SEARCH("보류",L919)),ISNUMBER(SEARCH("미룸",L919)),ISNUMBER(SEARCH("나중에",L919))),"보류(나중에 풀기)",IF(AND(F919="",G919="",H919="",I919=""),"미완료",IF(I919&lt;&gt;"","복습3(마스터)",IF(H919&lt;&gt;"","복습2",IF(G919&lt;&gt;"","복습1",IF(ISNUMBER(SEARCH("제미나이",K919)),"복습대기(AI도움)",IF(ISNUMBER(SEARCH("간당간당",K919)),"복습대기(간당간당)",IF(OR(ISNUMBER(SEARCH("아이디어",K919)),ISNUMBER(SEARCH("시간초과",K919)),ISNUMBER(SEARCH("자료구조",K919)),ISNUMBER(SEARCH("경계값",K919)),ISNUMBER(SEARCH("다른 풀이",K919)),ISNUMBER(SEARCH("또풀기",K919))),"복습대기",IF(OR(ISNUMBER(SEARCH("복습필요없음",K919)),ISNUMBER(SEARCH("자력완벽",K919))),"품(복습불필요)",IF(F919&lt;&gt;"","품","미완료"))))))))))</f>
        <v/>
      </c>
      <c r="K919" s="32" t="inlineStr">
        <is>
          <t>-</t>
        </is>
      </c>
      <c r="L919" s="32" t="n"/>
      <c r="M919" s="28">
        <f>IF(OR(LEFT(J919,2)="보류", LEFT(J919,4)="복습대기", LEFT(J919,3)="복습1", LEFT(J919,3)="복습2"), MAX($M$3:M918)+1, "")</f>
        <v/>
      </c>
      <c r="N919" s="28" t="inlineStr">
        <is>
          <t>W22</t>
        </is>
      </c>
      <c r="O919" s="36" t="n">
        <v>46407</v>
      </c>
      <c r="P919" s="30">
        <f>IF(F919&lt;&gt;"","✅ 완료",IF(O919="","-",IF(TODAY()&gt;O919,"🚨 지연","⏳ 예정")))</f>
        <v/>
      </c>
      <c r="Q919" s="7" t="n"/>
      <c r="R919" s="7" t="n"/>
      <c r="S919" s="7" t="n"/>
      <c r="T919" s="7" t="n"/>
      <c r="U919" s="7" t="n"/>
      <c r="V919" s="7" t="n"/>
      <c r="W919" s="7" t="n"/>
      <c r="X919" s="7" t="n"/>
    </row>
    <row r="920" ht="21.75" customHeight="1" s="209">
      <c r="A920" s="28" t="n">
        <v>917</v>
      </c>
      <c r="B920" s="28" t="inlineStr">
        <is>
          <t>18803</t>
        </is>
      </c>
      <c r="C920" s="30" t="inlineStr">
        <is>
          <t>D6</t>
        </is>
      </c>
      <c r="D920" s="32" t="inlineStr">
        <is>
          <t>문자열 만들기</t>
        </is>
      </c>
      <c r="E920" s="28" t="inlineStr">
        <is>
          <t>문자열 / 파싱</t>
        </is>
      </c>
      <c r="F920" s="28" t="n"/>
      <c r="G920" s="28" t="n"/>
      <c r="H920" s="28" t="n"/>
      <c r="I920" s="28" t="n"/>
      <c r="J920" s="54">
        <f>IF(OR(ISNUMBER(SEARCH("보류",K920)),ISNUMBER(SEARCH("미룸",K920)),ISNUMBER(SEARCH("나중에",K920)),ISNUMBER(SEARCH("보류",L920)),ISNUMBER(SEARCH("미룸",L920)),ISNUMBER(SEARCH("나중에",L920))),"보류(나중에 풀기)",IF(AND(F920="",G920="",H920="",I920=""),"미완료",IF(I920&lt;&gt;"","복습3(마스터)",IF(H920&lt;&gt;"","복습2",IF(G920&lt;&gt;"","복습1",IF(ISNUMBER(SEARCH("제미나이",K920)),"복습대기(AI도움)",IF(ISNUMBER(SEARCH("간당간당",K920)),"복습대기(간당간당)",IF(OR(ISNUMBER(SEARCH("아이디어",K920)),ISNUMBER(SEARCH("시간초과",K920)),ISNUMBER(SEARCH("자료구조",K920)),ISNUMBER(SEARCH("경계값",K920)),ISNUMBER(SEARCH("다른 풀이",K920)),ISNUMBER(SEARCH("또풀기",K920))),"복습대기",IF(OR(ISNUMBER(SEARCH("복습필요없음",K920)),ISNUMBER(SEARCH("자력완벽",K920))),"품(복습불필요)",IF(F920&lt;&gt;"","품","미완료"))))))))))</f>
        <v/>
      </c>
      <c r="K920" s="32" t="inlineStr">
        <is>
          <t>-</t>
        </is>
      </c>
      <c r="L920" s="32" t="n"/>
      <c r="M920" s="28">
        <f>IF(OR(LEFT(J920,2)="보류", LEFT(J920,4)="복습대기", LEFT(J920,3)="복습1", LEFT(J920,3)="복습2"), MAX($M$3:M919)+1, "")</f>
        <v/>
      </c>
      <c r="N920" s="28" t="inlineStr">
        <is>
          <t>W22</t>
        </is>
      </c>
      <c r="O920" s="36" t="n">
        <v>46407</v>
      </c>
      <c r="P920" s="30">
        <f>IF(F920&lt;&gt;"","✅ 완료",IF(O920="","-",IF(TODAY()&gt;O920,"🚨 지연","⏳ 예정")))</f>
        <v/>
      </c>
      <c r="Q920" s="7" t="n"/>
      <c r="R920" s="7" t="n"/>
      <c r="S920" s="7" t="n"/>
      <c r="T920" s="7" t="n"/>
      <c r="U920" s="7" t="n"/>
      <c r="V920" s="7" t="n"/>
      <c r="W920" s="7" t="n"/>
      <c r="X920" s="7" t="n"/>
    </row>
    <row r="921" ht="21.75" customHeight="1" s="209">
      <c r="A921" s="28" t="n">
        <v>918</v>
      </c>
      <c r="B921" s="28" t="inlineStr">
        <is>
          <t>19005</t>
        </is>
      </c>
      <c r="C921" s="30" t="inlineStr">
        <is>
          <t>D6</t>
        </is>
      </c>
      <c r="D921" s="32" t="inlineStr">
        <is>
          <t>변형된 실패 함수</t>
        </is>
      </c>
      <c r="E921" s="28" t="inlineStr">
        <is>
          <t>동적계획법 (DP) / 그래프</t>
        </is>
      </c>
      <c r="F921" s="28" t="n"/>
      <c r="G921" s="28" t="n"/>
      <c r="H921" s="28" t="n"/>
      <c r="I921" s="28" t="n"/>
      <c r="J921" s="54">
        <f>IF(OR(ISNUMBER(SEARCH("보류",K921)),ISNUMBER(SEARCH("미룸",K921)),ISNUMBER(SEARCH("나중에",K921)),ISNUMBER(SEARCH("보류",L921)),ISNUMBER(SEARCH("미룸",L921)),ISNUMBER(SEARCH("나중에",L921))),"보류(나중에 풀기)",IF(AND(F921="",G921="",H921="",I921=""),"미완료",IF(I921&lt;&gt;"","복습3(마스터)",IF(H921&lt;&gt;"","복습2",IF(G921&lt;&gt;"","복습1",IF(ISNUMBER(SEARCH("제미나이",K921)),"복습대기(AI도움)",IF(ISNUMBER(SEARCH("간당간당",K921)),"복습대기(간당간당)",IF(OR(ISNUMBER(SEARCH("아이디어",K921)),ISNUMBER(SEARCH("시간초과",K921)),ISNUMBER(SEARCH("자료구조",K921)),ISNUMBER(SEARCH("경계값",K921)),ISNUMBER(SEARCH("다른 풀이",K921)),ISNUMBER(SEARCH("또풀기",K921))),"복습대기",IF(OR(ISNUMBER(SEARCH("복습필요없음",K921)),ISNUMBER(SEARCH("자력완벽",K921))),"품(복습불필요)",IF(F921&lt;&gt;"","품","미완료"))))))))))</f>
        <v/>
      </c>
      <c r="K921" s="32" t="inlineStr">
        <is>
          <t>-</t>
        </is>
      </c>
      <c r="L921" s="32" t="n"/>
      <c r="M921" s="28">
        <f>IF(OR(LEFT(J921,2)="보류", LEFT(J921,4)="복습대기", LEFT(J921,3)="복습1", LEFT(J921,3)="복습2"), MAX($M$3:M920)+1, "")</f>
        <v/>
      </c>
      <c r="N921" s="28" t="inlineStr">
        <is>
          <t>W22</t>
        </is>
      </c>
      <c r="O921" s="36" t="n">
        <v>46407</v>
      </c>
      <c r="P921" s="30">
        <f>IF(F921&lt;&gt;"","✅ 완료",IF(O921="","-",IF(TODAY()&gt;O921,"🚨 지연","⏳ 예정")))</f>
        <v/>
      </c>
      <c r="Q921" s="7" t="n"/>
      <c r="R921" s="7" t="n"/>
      <c r="S921" s="7" t="n"/>
      <c r="T921" s="7" t="n"/>
      <c r="U921" s="7" t="n"/>
      <c r="V921" s="7" t="n"/>
      <c r="W921" s="7" t="n"/>
      <c r="X921" s="7" t="n"/>
    </row>
    <row r="922" ht="21.75" customHeight="1" s="209">
      <c r="A922" s="28" t="n">
        <v>919</v>
      </c>
      <c r="B922" s="28" t="inlineStr">
        <is>
          <t>19136</t>
        </is>
      </c>
      <c r="C922" s="30" t="inlineStr">
        <is>
          <t>D6</t>
        </is>
      </c>
      <c r="D922" s="32" t="inlineStr">
        <is>
          <t>격자를 지켜라</t>
        </is>
      </c>
      <c r="E922" s="28" t="inlineStr">
        <is>
          <t>시뮬레이션 / 구현</t>
        </is>
      </c>
      <c r="F922" s="28" t="n"/>
      <c r="G922" s="28" t="n"/>
      <c r="H922" s="28" t="n"/>
      <c r="I922" s="28" t="n"/>
      <c r="J922" s="54">
        <f>IF(OR(ISNUMBER(SEARCH("보류",K922)),ISNUMBER(SEARCH("미룸",K922)),ISNUMBER(SEARCH("나중에",K922)),ISNUMBER(SEARCH("보류",L922)),ISNUMBER(SEARCH("미룸",L922)),ISNUMBER(SEARCH("나중에",L922))),"보류(나중에 풀기)",IF(AND(F922="",G922="",H922="",I922=""),"미완료",IF(I922&lt;&gt;"","복습3(마스터)",IF(H922&lt;&gt;"","복습2",IF(G922&lt;&gt;"","복습1",IF(ISNUMBER(SEARCH("제미나이",K922)),"복습대기(AI도움)",IF(ISNUMBER(SEARCH("간당간당",K922)),"복습대기(간당간당)",IF(OR(ISNUMBER(SEARCH("아이디어",K922)),ISNUMBER(SEARCH("시간초과",K922)),ISNUMBER(SEARCH("자료구조",K922)),ISNUMBER(SEARCH("경계값",K922)),ISNUMBER(SEARCH("다른 풀이",K922)),ISNUMBER(SEARCH("또풀기",K922))),"복습대기",IF(OR(ISNUMBER(SEARCH("복습필요없음",K922)),ISNUMBER(SEARCH("자력완벽",K922))),"품(복습불필요)",IF(F922&lt;&gt;"","품","미완료"))))))))))</f>
        <v/>
      </c>
      <c r="K922" s="32" t="inlineStr">
        <is>
          <t>-</t>
        </is>
      </c>
      <c r="L922" s="32" t="n"/>
      <c r="M922" s="28">
        <f>IF(OR(LEFT(J922,2)="보류", LEFT(J922,4)="복습대기", LEFT(J922,3)="복습1", LEFT(J922,3)="복습2"), MAX($M$3:M921)+1, "")</f>
        <v/>
      </c>
      <c r="N922" s="28" t="inlineStr">
        <is>
          <t>W22</t>
        </is>
      </c>
      <c r="O922" s="36" t="n">
        <v>46407</v>
      </c>
      <c r="P922" s="30">
        <f>IF(F922&lt;&gt;"","✅ 완료",IF(O922="","-",IF(TODAY()&gt;O922,"🚨 지연","⏳ 예정")))</f>
        <v/>
      </c>
      <c r="Q922" s="7" t="n"/>
      <c r="R922" s="7" t="n"/>
      <c r="S922" s="7" t="n"/>
      <c r="T922" s="7" t="n"/>
      <c r="U922" s="7" t="n"/>
      <c r="V922" s="7" t="n"/>
      <c r="W922" s="7" t="n"/>
      <c r="X922" s="7" t="n"/>
    </row>
    <row r="923" ht="21.75" customHeight="1" s="209">
      <c r="A923" s="28" t="n">
        <v>920</v>
      </c>
      <c r="B923" s="28" t="inlineStr">
        <is>
          <t>20754</t>
        </is>
      </c>
      <c r="C923" s="30" t="inlineStr">
        <is>
          <t>D6</t>
        </is>
      </c>
      <c r="D923" s="32" t="inlineStr">
        <is>
          <t>방문자 측정기</t>
        </is>
      </c>
      <c r="E923" s="28" t="inlineStr">
        <is>
          <t>동적계획법 (DP) / 그래프</t>
        </is>
      </c>
      <c r="F923" s="28" t="n"/>
      <c r="G923" s="28" t="n"/>
      <c r="H923" s="28" t="n"/>
      <c r="I923" s="28" t="n"/>
      <c r="J923" s="54">
        <f>IF(OR(ISNUMBER(SEARCH("보류",K923)),ISNUMBER(SEARCH("미룸",K923)),ISNUMBER(SEARCH("나중에",K923)),ISNUMBER(SEARCH("보류",L923)),ISNUMBER(SEARCH("미룸",L923)),ISNUMBER(SEARCH("나중에",L923))),"보류(나중에 풀기)",IF(AND(F923="",G923="",H923="",I923=""),"미완료",IF(I923&lt;&gt;"","복습3(마스터)",IF(H923&lt;&gt;"","복습2",IF(G923&lt;&gt;"","복습1",IF(ISNUMBER(SEARCH("제미나이",K923)),"복습대기(AI도움)",IF(ISNUMBER(SEARCH("간당간당",K923)),"복습대기(간당간당)",IF(OR(ISNUMBER(SEARCH("아이디어",K923)),ISNUMBER(SEARCH("시간초과",K923)),ISNUMBER(SEARCH("자료구조",K923)),ISNUMBER(SEARCH("경계값",K923)),ISNUMBER(SEARCH("다른 풀이",K923)),ISNUMBER(SEARCH("또풀기",K923))),"복습대기",IF(OR(ISNUMBER(SEARCH("복습필요없음",K923)),ISNUMBER(SEARCH("자력완벽",K923))),"품(복습불필요)",IF(F923&lt;&gt;"","품","미완료"))))))))))</f>
        <v/>
      </c>
      <c r="K923" s="32" t="inlineStr">
        <is>
          <t>-</t>
        </is>
      </c>
      <c r="L923" s="32" t="n"/>
      <c r="M923" s="28">
        <f>IF(OR(LEFT(J923,2)="보류", LEFT(J923,4)="복습대기", LEFT(J923,3)="복습1", LEFT(J923,3)="복습2"), MAX($M$3:M922)+1, "")</f>
        <v/>
      </c>
      <c r="N923" s="28" t="inlineStr">
        <is>
          <t>W22</t>
        </is>
      </c>
      <c r="O923" s="36" t="n">
        <v>46407</v>
      </c>
      <c r="P923" s="30">
        <f>IF(F923&lt;&gt;"","✅ 완료",IF(O923="","-",IF(TODAY()&gt;O923,"🚨 지연","⏳ 예정")))</f>
        <v/>
      </c>
      <c r="Q923" s="7" t="n"/>
      <c r="R923" s="7" t="n"/>
      <c r="S923" s="7" t="n"/>
      <c r="T923" s="7" t="n"/>
      <c r="U923" s="7" t="n"/>
      <c r="V923" s="7" t="n"/>
      <c r="W923" s="7" t="n"/>
      <c r="X923" s="7" t="n"/>
    </row>
    <row r="924" ht="21.75" customHeight="1" s="209">
      <c r="A924" s="28" t="n">
        <v>921</v>
      </c>
      <c r="B924" s="28" t="inlineStr">
        <is>
          <t>21043</t>
        </is>
      </c>
      <c r="C924" s="30" t="inlineStr">
        <is>
          <t>D6</t>
        </is>
      </c>
      <c r="D924" s="32" t="inlineStr">
        <is>
          <t>동전수집가</t>
        </is>
      </c>
      <c r="E924" s="28" t="inlineStr">
        <is>
          <t>동적계획법 (DP) / 그래프</t>
        </is>
      </c>
      <c r="F924" s="28" t="n"/>
      <c r="G924" s="28" t="n"/>
      <c r="H924" s="28" t="n"/>
      <c r="I924" s="28" t="n"/>
      <c r="J924" s="54">
        <f>IF(OR(ISNUMBER(SEARCH("보류",K924)),ISNUMBER(SEARCH("미룸",K924)),ISNUMBER(SEARCH("나중에",K924)),ISNUMBER(SEARCH("보류",L924)),ISNUMBER(SEARCH("미룸",L924)),ISNUMBER(SEARCH("나중에",L924))),"보류(나중에 풀기)",IF(AND(F924="",G924="",H924="",I924=""),"미완료",IF(I924&lt;&gt;"","복습3(마스터)",IF(H924&lt;&gt;"","복습2",IF(G924&lt;&gt;"","복습1",IF(ISNUMBER(SEARCH("제미나이",K924)),"복습대기(AI도움)",IF(ISNUMBER(SEARCH("간당간당",K924)),"복습대기(간당간당)",IF(OR(ISNUMBER(SEARCH("아이디어",K924)),ISNUMBER(SEARCH("시간초과",K924)),ISNUMBER(SEARCH("자료구조",K924)),ISNUMBER(SEARCH("경계값",K924)),ISNUMBER(SEARCH("다른 풀이",K924)),ISNUMBER(SEARCH("또풀기",K924))),"복습대기",IF(OR(ISNUMBER(SEARCH("복습필요없음",K924)),ISNUMBER(SEARCH("자력완벽",K924))),"품(복습불필요)",IF(F924&lt;&gt;"","품","미완료"))))))))))</f>
        <v/>
      </c>
      <c r="K924" s="32" t="inlineStr">
        <is>
          <t>-</t>
        </is>
      </c>
      <c r="L924" s="32" t="n"/>
      <c r="M924" s="28">
        <f>IF(OR(LEFT(J924,2)="보류", LEFT(J924,4)="복습대기", LEFT(J924,3)="복습1", LEFT(J924,3)="복습2"), MAX($M$3:M923)+1, "")</f>
        <v/>
      </c>
      <c r="N924" s="28" t="inlineStr">
        <is>
          <t>W22</t>
        </is>
      </c>
      <c r="O924" s="36" t="n">
        <v>46408</v>
      </c>
      <c r="P924" s="30">
        <f>IF(F924&lt;&gt;"","✅ 완료",IF(O924="","-",IF(TODAY()&gt;O924,"🚨 지연","⏳ 예정")))</f>
        <v/>
      </c>
      <c r="Q924" s="7" t="n"/>
      <c r="R924" s="7" t="n"/>
      <c r="S924" s="7" t="n"/>
      <c r="T924" s="7" t="n"/>
      <c r="U924" s="7" t="n"/>
      <c r="V924" s="7" t="n"/>
      <c r="W924" s="7" t="n"/>
      <c r="X924" s="7" t="n"/>
    </row>
    <row r="925" ht="21.75" customHeight="1" s="209">
      <c r="A925" s="28" t="n">
        <v>922</v>
      </c>
      <c r="B925" s="28" t="inlineStr">
        <is>
          <t>21295</t>
        </is>
      </c>
      <c r="C925" s="30" t="inlineStr">
        <is>
          <t>D6</t>
        </is>
      </c>
      <c r="D925" s="32" t="inlineStr">
        <is>
          <t>거듭제곱 분할</t>
        </is>
      </c>
      <c r="E925" s="28" t="inlineStr">
        <is>
          <t>수학 / 정수론</t>
        </is>
      </c>
      <c r="F925" s="28" t="n"/>
      <c r="G925" s="28" t="n"/>
      <c r="H925" s="28" t="n"/>
      <c r="I925" s="28" t="n"/>
      <c r="J925" s="54">
        <f>IF(OR(ISNUMBER(SEARCH("보류",K925)),ISNUMBER(SEARCH("미룸",K925)),ISNUMBER(SEARCH("나중에",K925)),ISNUMBER(SEARCH("보류",L925)),ISNUMBER(SEARCH("미룸",L925)),ISNUMBER(SEARCH("나중에",L925))),"보류(나중에 풀기)",IF(AND(F925="",G925="",H925="",I925=""),"미완료",IF(I925&lt;&gt;"","복습3(마스터)",IF(H925&lt;&gt;"","복습2",IF(G925&lt;&gt;"","복습1",IF(ISNUMBER(SEARCH("제미나이",K925)),"복습대기(AI도움)",IF(ISNUMBER(SEARCH("간당간당",K925)),"복습대기(간당간당)",IF(OR(ISNUMBER(SEARCH("아이디어",K925)),ISNUMBER(SEARCH("시간초과",K925)),ISNUMBER(SEARCH("자료구조",K925)),ISNUMBER(SEARCH("경계값",K925)),ISNUMBER(SEARCH("다른 풀이",K925)),ISNUMBER(SEARCH("또풀기",K925))),"복습대기",IF(OR(ISNUMBER(SEARCH("복습필요없음",K925)),ISNUMBER(SEARCH("자력완벽",K925))),"품(복습불필요)",IF(F925&lt;&gt;"","품","미완료"))))))))))</f>
        <v/>
      </c>
      <c r="K925" s="32" t="inlineStr">
        <is>
          <t>-</t>
        </is>
      </c>
      <c r="L925" s="32" t="n"/>
      <c r="M925" s="28">
        <f>IF(OR(LEFT(J925,2)="보류", LEFT(J925,4)="복습대기", LEFT(J925,3)="복습1", LEFT(J925,3)="복습2"), MAX($M$3:M924)+1, "")</f>
        <v/>
      </c>
      <c r="N925" s="28" t="inlineStr">
        <is>
          <t>W22</t>
        </is>
      </c>
      <c r="O925" s="36" t="n">
        <v>46408</v>
      </c>
      <c r="P925" s="30">
        <f>IF(F925&lt;&gt;"","✅ 완료",IF(O925="","-",IF(TODAY()&gt;O925,"🚨 지연","⏳ 예정")))</f>
        <v/>
      </c>
      <c r="Q925" s="7" t="n"/>
      <c r="R925" s="7" t="n"/>
      <c r="S925" s="7" t="n"/>
      <c r="T925" s="7" t="n"/>
      <c r="U925" s="7" t="n"/>
      <c r="V925" s="7" t="n"/>
      <c r="W925" s="7" t="n"/>
      <c r="X925" s="7" t="n"/>
    </row>
    <row r="926" ht="21.75" customHeight="1" s="209">
      <c r="A926" s="28" t="n">
        <v>923</v>
      </c>
      <c r="B926" s="28" t="inlineStr">
        <is>
          <t>22049</t>
        </is>
      </c>
      <c r="C926" s="30" t="inlineStr">
        <is>
          <t>D6</t>
        </is>
      </c>
      <c r="D926" s="32" t="inlineStr">
        <is>
          <t>연결된 집합</t>
        </is>
      </c>
      <c r="E926" s="28" t="inlineStr">
        <is>
          <t>자료구조 (스택/큐/리스트)</t>
        </is>
      </c>
      <c r="F926" s="28" t="n"/>
      <c r="G926" s="28" t="n"/>
      <c r="H926" s="28" t="n"/>
      <c r="I926" s="28" t="n"/>
      <c r="J926" s="54">
        <f>IF(OR(ISNUMBER(SEARCH("보류",K926)),ISNUMBER(SEARCH("미룸",K926)),ISNUMBER(SEARCH("나중에",K926)),ISNUMBER(SEARCH("보류",L926)),ISNUMBER(SEARCH("미룸",L926)),ISNUMBER(SEARCH("나중에",L926))),"보류(나중에 풀기)",IF(AND(F926="",G926="",H926="",I926=""),"미완료",IF(I926&lt;&gt;"","복습3(마스터)",IF(H926&lt;&gt;"","복습2",IF(G926&lt;&gt;"","복습1",IF(ISNUMBER(SEARCH("제미나이",K926)),"복습대기(AI도움)",IF(ISNUMBER(SEARCH("간당간당",K926)),"복습대기(간당간당)",IF(OR(ISNUMBER(SEARCH("아이디어",K926)),ISNUMBER(SEARCH("시간초과",K926)),ISNUMBER(SEARCH("자료구조",K926)),ISNUMBER(SEARCH("경계값",K926)),ISNUMBER(SEARCH("다른 풀이",K926)),ISNUMBER(SEARCH("또풀기",K926))),"복습대기",IF(OR(ISNUMBER(SEARCH("복습필요없음",K926)),ISNUMBER(SEARCH("자력완벽",K926))),"품(복습불필요)",IF(F926&lt;&gt;"","품","미완료"))))))))))</f>
        <v/>
      </c>
      <c r="K926" s="32" t="inlineStr">
        <is>
          <t>-</t>
        </is>
      </c>
      <c r="L926" s="32" t="n"/>
      <c r="M926" s="28">
        <f>IF(OR(LEFT(J926,2)="보류", LEFT(J926,4)="복습대기", LEFT(J926,3)="복습1", LEFT(J926,3)="복습2"), MAX($M$3:M925)+1, "")</f>
        <v/>
      </c>
      <c r="N926" s="28" t="inlineStr">
        <is>
          <t>W22</t>
        </is>
      </c>
      <c r="O926" s="36" t="n">
        <v>46408</v>
      </c>
      <c r="P926" s="30">
        <f>IF(F926&lt;&gt;"","✅ 완료",IF(O926="","-",IF(TODAY()&gt;O926,"🚨 지연","⏳ 예정")))</f>
        <v/>
      </c>
      <c r="Q926" s="7" t="n"/>
      <c r="R926" s="7" t="n"/>
      <c r="S926" s="7" t="n"/>
      <c r="T926" s="7" t="n"/>
      <c r="U926" s="7" t="n"/>
      <c r="V926" s="7" t="n"/>
      <c r="W926" s="7" t="n"/>
      <c r="X926" s="7" t="n"/>
    </row>
    <row r="927" ht="21.75" customHeight="1" s="209">
      <c r="A927" s="28" t="n">
        <v>924</v>
      </c>
      <c r="B927" s="28" t="inlineStr">
        <is>
          <t>22577</t>
        </is>
      </c>
      <c r="C927" s="30" t="inlineStr">
        <is>
          <t>D6</t>
        </is>
      </c>
      <c r="D927" s="32" t="inlineStr">
        <is>
          <t>DAG 동전 게임</t>
        </is>
      </c>
      <c r="E927" s="28" t="inlineStr">
        <is>
          <t>시뮬레이션 / 구현</t>
        </is>
      </c>
      <c r="F927" s="28" t="n"/>
      <c r="G927" s="28" t="n"/>
      <c r="H927" s="28" t="n"/>
      <c r="I927" s="28" t="n"/>
      <c r="J927" s="54">
        <f>IF(OR(ISNUMBER(SEARCH("보류",K927)),ISNUMBER(SEARCH("미룸",K927)),ISNUMBER(SEARCH("나중에",K927)),ISNUMBER(SEARCH("보류",L927)),ISNUMBER(SEARCH("미룸",L927)),ISNUMBER(SEARCH("나중에",L927))),"보류(나중에 풀기)",IF(AND(F927="",G927="",H927="",I927=""),"미완료",IF(I927&lt;&gt;"","복습3(마스터)",IF(H927&lt;&gt;"","복습2",IF(G927&lt;&gt;"","복습1",IF(ISNUMBER(SEARCH("제미나이",K927)),"복습대기(AI도움)",IF(ISNUMBER(SEARCH("간당간당",K927)),"복습대기(간당간당)",IF(OR(ISNUMBER(SEARCH("아이디어",K927)),ISNUMBER(SEARCH("시간초과",K927)),ISNUMBER(SEARCH("자료구조",K927)),ISNUMBER(SEARCH("경계값",K927)),ISNUMBER(SEARCH("다른 풀이",K927)),ISNUMBER(SEARCH("또풀기",K927))),"복습대기",IF(OR(ISNUMBER(SEARCH("복습필요없음",K927)),ISNUMBER(SEARCH("자력완벽",K927))),"품(복습불필요)",IF(F927&lt;&gt;"","품","미완료"))))))))))</f>
        <v/>
      </c>
      <c r="K927" s="32" t="inlineStr">
        <is>
          <t>-</t>
        </is>
      </c>
      <c r="L927" s="32" t="n"/>
      <c r="M927" s="28">
        <f>IF(OR(LEFT(J927,2)="보류", LEFT(J927,4)="복습대기", LEFT(J927,3)="복습1", LEFT(J927,3)="복습2"), MAX($M$3:M926)+1, "")</f>
        <v/>
      </c>
      <c r="N927" s="28" t="inlineStr">
        <is>
          <t>W22</t>
        </is>
      </c>
      <c r="O927" s="36" t="n">
        <v>46408</v>
      </c>
      <c r="P927" s="30">
        <f>IF(F927&lt;&gt;"","✅ 완료",IF(O927="","-",IF(TODAY()&gt;O927,"🚨 지연","⏳ 예정")))</f>
        <v/>
      </c>
      <c r="Q927" s="7" t="n"/>
      <c r="R927" s="7" t="n"/>
      <c r="S927" s="7" t="n"/>
      <c r="T927" s="7" t="n"/>
      <c r="U927" s="7" t="n"/>
      <c r="V927" s="7" t="n"/>
      <c r="W927" s="7" t="n"/>
      <c r="X927" s="7" t="n"/>
    </row>
    <row r="928" ht="21.75" customHeight="1" s="209">
      <c r="A928" s="28" t="n">
        <v>925</v>
      </c>
      <c r="B928" s="28" t="inlineStr">
        <is>
          <t>22761</t>
        </is>
      </c>
      <c r="C928" s="30" t="inlineStr">
        <is>
          <t>D6</t>
        </is>
      </c>
      <c r="D928" s="32" t="inlineStr">
        <is>
          <t>합과 XOR</t>
        </is>
      </c>
      <c r="E928" s="28" t="inlineStr">
        <is>
          <t>수학 / 정수론</t>
        </is>
      </c>
      <c r="F928" s="28" t="n"/>
      <c r="G928" s="28" t="n"/>
      <c r="H928" s="28" t="n"/>
      <c r="I928" s="28" t="n"/>
      <c r="J928" s="54">
        <f>IF(OR(ISNUMBER(SEARCH("보류",K928)),ISNUMBER(SEARCH("미룸",K928)),ISNUMBER(SEARCH("나중에",K928)),ISNUMBER(SEARCH("보류",L928)),ISNUMBER(SEARCH("미룸",L928)),ISNUMBER(SEARCH("나중에",L928))),"보류(나중에 풀기)",IF(AND(F928="",G928="",H928="",I928=""),"미완료",IF(I928&lt;&gt;"","복습3(마스터)",IF(H928&lt;&gt;"","복습2",IF(G928&lt;&gt;"","복습1",IF(ISNUMBER(SEARCH("제미나이",K928)),"복습대기(AI도움)",IF(ISNUMBER(SEARCH("간당간당",K928)),"복습대기(간당간당)",IF(OR(ISNUMBER(SEARCH("아이디어",K928)),ISNUMBER(SEARCH("시간초과",K928)),ISNUMBER(SEARCH("자료구조",K928)),ISNUMBER(SEARCH("경계값",K928)),ISNUMBER(SEARCH("다른 풀이",K928)),ISNUMBER(SEARCH("또풀기",K928))),"복습대기",IF(OR(ISNUMBER(SEARCH("복습필요없음",K928)),ISNUMBER(SEARCH("자력완벽",K928))),"품(복습불필요)",IF(F928&lt;&gt;"","품","미완료"))))))))))</f>
        <v/>
      </c>
      <c r="K928" s="32" t="inlineStr">
        <is>
          <t>-</t>
        </is>
      </c>
      <c r="L928" s="32" t="n"/>
      <c r="M928" s="28">
        <f>IF(OR(LEFT(J928,2)="보류", LEFT(J928,4)="복습대기", LEFT(J928,3)="복습1", LEFT(J928,3)="복습2"), MAX($M$3:M927)+1, "")</f>
        <v/>
      </c>
      <c r="N928" s="28" t="inlineStr">
        <is>
          <t>W22</t>
        </is>
      </c>
      <c r="O928" s="36" t="n">
        <v>46408</v>
      </c>
      <c r="P928" s="30">
        <f>IF(F928&lt;&gt;"","✅ 완료",IF(O928="","-",IF(TODAY()&gt;O928,"🚨 지연","⏳ 예정")))</f>
        <v/>
      </c>
      <c r="Q928" s="7" t="n"/>
      <c r="R928" s="7" t="n"/>
      <c r="S928" s="7" t="n"/>
      <c r="T928" s="7" t="n"/>
      <c r="U928" s="7" t="n"/>
      <c r="V928" s="7" t="n"/>
      <c r="W928" s="7" t="n"/>
      <c r="X928" s="7" t="n"/>
    </row>
    <row r="929" ht="21.75" customHeight="1" s="209">
      <c r="A929" s="28" t="n">
        <v>926</v>
      </c>
      <c r="B929" s="28" t="inlineStr">
        <is>
          <t>22797</t>
        </is>
      </c>
      <c r="C929" s="30" t="inlineStr">
        <is>
          <t>D6</t>
        </is>
      </c>
      <c r="D929" s="32" t="inlineStr">
        <is>
          <t>거의 같게 만들기</t>
        </is>
      </c>
      <c r="E929" s="28" t="inlineStr">
        <is>
          <t>동적계획법 (DP) / 그래프</t>
        </is>
      </c>
      <c r="F929" s="28" t="n"/>
      <c r="G929" s="28" t="n"/>
      <c r="H929" s="28" t="n"/>
      <c r="I929" s="28" t="n"/>
      <c r="J929" s="54">
        <f>IF(OR(ISNUMBER(SEARCH("보류",K929)),ISNUMBER(SEARCH("미룸",K929)),ISNUMBER(SEARCH("나중에",K929)),ISNUMBER(SEARCH("보류",L929)),ISNUMBER(SEARCH("미룸",L929)),ISNUMBER(SEARCH("나중에",L929))),"보류(나중에 풀기)",IF(AND(F929="",G929="",H929="",I929=""),"미완료",IF(I929&lt;&gt;"","복습3(마스터)",IF(H929&lt;&gt;"","복습2",IF(G929&lt;&gt;"","복습1",IF(ISNUMBER(SEARCH("제미나이",K929)),"복습대기(AI도움)",IF(ISNUMBER(SEARCH("간당간당",K929)),"복습대기(간당간당)",IF(OR(ISNUMBER(SEARCH("아이디어",K929)),ISNUMBER(SEARCH("시간초과",K929)),ISNUMBER(SEARCH("자료구조",K929)),ISNUMBER(SEARCH("경계값",K929)),ISNUMBER(SEARCH("다른 풀이",K929)),ISNUMBER(SEARCH("또풀기",K929))),"복습대기",IF(OR(ISNUMBER(SEARCH("복습필요없음",K929)),ISNUMBER(SEARCH("자력완벽",K929))),"품(복습불필요)",IF(F929&lt;&gt;"","품","미완료"))))))))))</f>
        <v/>
      </c>
      <c r="K929" s="32" t="inlineStr">
        <is>
          <t>-</t>
        </is>
      </c>
      <c r="L929" s="32" t="n"/>
      <c r="M929" s="28">
        <f>IF(OR(LEFT(J929,2)="보류", LEFT(J929,4)="복습대기", LEFT(J929,3)="복습1", LEFT(J929,3)="복습2"), MAX($M$3:M928)+1, "")</f>
        <v/>
      </c>
      <c r="N929" s="28" t="inlineStr">
        <is>
          <t>W22</t>
        </is>
      </c>
      <c r="O929" s="36" t="n">
        <v>46408</v>
      </c>
      <c r="P929" s="30">
        <f>IF(F929&lt;&gt;"","✅ 완료",IF(O929="","-",IF(TODAY()&gt;O929,"🚨 지연","⏳ 예정")))</f>
        <v/>
      </c>
      <c r="Q929" s="7" t="n"/>
      <c r="R929" s="7" t="n"/>
      <c r="S929" s="7" t="n"/>
      <c r="T929" s="7" t="n"/>
      <c r="U929" s="7" t="n"/>
      <c r="V929" s="7" t="n"/>
      <c r="W929" s="7" t="n"/>
      <c r="X929" s="7" t="n"/>
    </row>
    <row r="930" ht="21.75" customHeight="1" s="209">
      <c r="A930" s="28" t="n">
        <v>927</v>
      </c>
      <c r="B930" s="28" t="inlineStr">
        <is>
          <t>22981</t>
        </is>
      </c>
      <c r="C930" s="30" t="inlineStr">
        <is>
          <t>D6</t>
        </is>
      </c>
      <c r="D930" s="32" t="inlineStr">
        <is>
          <t>출근 도장</t>
        </is>
      </c>
      <c r="E930" s="28" t="inlineStr">
        <is>
          <t>동적계획법 (DP) / 그래프</t>
        </is>
      </c>
      <c r="F930" s="28" t="n"/>
      <c r="G930" s="28" t="n"/>
      <c r="H930" s="28" t="n"/>
      <c r="I930" s="28" t="n"/>
      <c r="J930" s="54">
        <f>IF(OR(ISNUMBER(SEARCH("보류",K930)),ISNUMBER(SEARCH("미룸",K930)),ISNUMBER(SEARCH("나중에",K930)),ISNUMBER(SEARCH("보류",L930)),ISNUMBER(SEARCH("미룸",L930)),ISNUMBER(SEARCH("나중에",L930))),"보류(나중에 풀기)",IF(AND(F930="",G930="",H930="",I930=""),"미완료",IF(I930&lt;&gt;"","복습3(마스터)",IF(H930&lt;&gt;"","복습2",IF(G930&lt;&gt;"","복습1",IF(ISNUMBER(SEARCH("제미나이",K930)),"복습대기(AI도움)",IF(ISNUMBER(SEARCH("간당간당",K930)),"복습대기(간당간당)",IF(OR(ISNUMBER(SEARCH("아이디어",K930)),ISNUMBER(SEARCH("시간초과",K930)),ISNUMBER(SEARCH("자료구조",K930)),ISNUMBER(SEARCH("경계값",K930)),ISNUMBER(SEARCH("다른 풀이",K930)),ISNUMBER(SEARCH("또풀기",K930))),"복습대기",IF(OR(ISNUMBER(SEARCH("복습필요없음",K930)),ISNUMBER(SEARCH("자력완벽",K930))),"품(복습불필요)",IF(F930&lt;&gt;"","품","미완료"))))))))))</f>
        <v/>
      </c>
      <c r="K930" s="32" t="inlineStr">
        <is>
          <t>-</t>
        </is>
      </c>
      <c r="L930" s="32" t="n"/>
      <c r="M930" s="28">
        <f>IF(OR(LEFT(J930,2)="보류", LEFT(J930,4)="복습대기", LEFT(J930,3)="복습1", LEFT(J930,3)="복습2"), MAX($M$3:M929)+1, "")</f>
        <v/>
      </c>
      <c r="N930" s="28" t="inlineStr">
        <is>
          <t>W22</t>
        </is>
      </c>
      <c r="O930" s="36" t="n">
        <v>46408</v>
      </c>
      <c r="P930" s="30">
        <f>IF(F930&lt;&gt;"","✅ 완료",IF(O930="","-",IF(TODAY()&gt;O930,"🚨 지연","⏳ 예정")))</f>
        <v/>
      </c>
      <c r="Q930" s="7" t="n"/>
      <c r="R930" s="7" t="n"/>
      <c r="S930" s="7" t="n"/>
      <c r="T930" s="7" t="n"/>
      <c r="U930" s="7" t="n"/>
      <c r="V930" s="7" t="n"/>
      <c r="W930" s="7" t="n"/>
      <c r="X930" s="7" t="n"/>
    </row>
    <row r="931" ht="21.75" customHeight="1" s="209">
      <c r="A931" s="28" t="n">
        <v>928</v>
      </c>
      <c r="B931" s="28" t="inlineStr">
        <is>
          <t>23008</t>
        </is>
      </c>
      <c r="C931" s="30" t="inlineStr">
        <is>
          <t>D6</t>
        </is>
      </c>
      <c r="D931" s="32" t="inlineStr">
        <is>
          <t>무거운 가방 찾기</t>
        </is>
      </c>
      <c r="E931" s="28" t="inlineStr">
        <is>
          <t>동적계획법 (DP) / 그래프</t>
        </is>
      </c>
      <c r="F931" s="28" t="n"/>
      <c r="G931" s="28" t="n"/>
      <c r="H931" s="28" t="n"/>
      <c r="I931" s="28" t="n"/>
      <c r="J931" s="54">
        <f>IF(OR(ISNUMBER(SEARCH("보류",K931)),ISNUMBER(SEARCH("미룸",K931)),ISNUMBER(SEARCH("나중에",K931)),ISNUMBER(SEARCH("보류",L931)),ISNUMBER(SEARCH("미룸",L931)),ISNUMBER(SEARCH("나중에",L931))),"보류(나중에 풀기)",IF(AND(F931="",G931="",H931="",I931=""),"미완료",IF(I931&lt;&gt;"","복습3(마스터)",IF(H931&lt;&gt;"","복습2",IF(G931&lt;&gt;"","복습1",IF(ISNUMBER(SEARCH("제미나이",K931)),"복습대기(AI도움)",IF(ISNUMBER(SEARCH("간당간당",K931)),"복습대기(간당간당)",IF(OR(ISNUMBER(SEARCH("아이디어",K931)),ISNUMBER(SEARCH("시간초과",K931)),ISNUMBER(SEARCH("자료구조",K931)),ISNUMBER(SEARCH("경계값",K931)),ISNUMBER(SEARCH("다른 풀이",K931)),ISNUMBER(SEARCH("또풀기",K931))),"복습대기",IF(OR(ISNUMBER(SEARCH("복습필요없음",K931)),ISNUMBER(SEARCH("자력완벽",K931))),"품(복습불필요)",IF(F931&lt;&gt;"","품","미완료"))))))))))</f>
        <v/>
      </c>
      <c r="K931" s="32" t="inlineStr">
        <is>
          <t>-</t>
        </is>
      </c>
      <c r="L931" s="32" t="n"/>
      <c r="M931" s="28">
        <f>IF(OR(LEFT(J931,2)="보류", LEFT(J931,4)="복습대기", LEFT(J931,3)="복습1", LEFT(J931,3)="복습2"), MAX($M$3:M930)+1, "")</f>
        <v/>
      </c>
      <c r="N931" s="28" t="inlineStr">
        <is>
          <t>W22</t>
        </is>
      </c>
      <c r="O931" s="36" t="n">
        <v>46408</v>
      </c>
      <c r="P931" s="30">
        <f>IF(F931&lt;&gt;"","✅ 완료",IF(O931="","-",IF(TODAY()&gt;O931,"🚨 지연","⏳ 예정")))</f>
        <v/>
      </c>
      <c r="Q931" s="7" t="n"/>
      <c r="R931" s="7" t="n"/>
      <c r="S931" s="7" t="n"/>
      <c r="T931" s="7" t="n"/>
      <c r="U931" s="7" t="n"/>
      <c r="V931" s="7" t="n"/>
      <c r="W931" s="7" t="n"/>
      <c r="X931" s="7" t="n"/>
    </row>
    <row r="932" ht="21.75" customHeight="1" s="209">
      <c r="A932" s="28" t="n">
        <v>929</v>
      </c>
      <c r="B932" s="28" t="inlineStr">
        <is>
          <t>24004</t>
        </is>
      </c>
      <c r="C932" s="30" t="inlineStr">
        <is>
          <t>D6</t>
        </is>
      </c>
      <c r="D932" s="32" t="inlineStr">
        <is>
          <t>너비 우선 탐색</t>
        </is>
      </c>
      <c r="E932" s="28" t="inlineStr">
        <is>
          <t>BFS (너비우선탐색)</t>
        </is>
      </c>
      <c r="F932" s="28" t="n"/>
      <c r="G932" s="28" t="n"/>
      <c r="H932" s="28" t="n"/>
      <c r="I932" s="28" t="n"/>
      <c r="J932" s="54">
        <f>IF(OR(ISNUMBER(SEARCH("보류",K932)),ISNUMBER(SEARCH("미룸",K932)),ISNUMBER(SEARCH("나중에",K932)),ISNUMBER(SEARCH("보류",L932)),ISNUMBER(SEARCH("미룸",L932)),ISNUMBER(SEARCH("나중에",L932))),"보류(나중에 풀기)",IF(AND(F932="",G932="",H932="",I932=""),"미완료",IF(I932&lt;&gt;"","복습3(마스터)",IF(H932&lt;&gt;"","복습2",IF(G932&lt;&gt;"","복습1",IF(ISNUMBER(SEARCH("제미나이",K932)),"복습대기(AI도움)",IF(ISNUMBER(SEARCH("간당간당",K932)),"복습대기(간당간당)",IF(OR(ISNUMBER(SEARCH("아이디어",K932)),ISNUMBER(SEARCH("시간초과",K932)),ISNUMBER(SEARCH("자료구조",K932)),ISNUMBER(SEARCH("경계값",K932)),ISNUMBER(SEARCH("다른 풀이",K932)),ISNUMBER(SEARCH("또풀기",K932))),"복습대기",IF(OR(ISNUMBER(SEARCH("복습필요없음",K932)),ISNUMBER(SEARCH("자력완벽",K932))),"품(복습불필요)",IF(F932&lt;&gt;"","품","미완료"))))))))))</f>
        <v/>
      </c>
      <c r="K932" s="32" t="inlineStr">
        <is>
          <t>-</t>
        </is>
      </c>
      <c r="L932" s="32" t="n"/>
      <c r="M932" s="28">
        <f>IF(OR(LEFT(J932,2)="보류", LEFT(J932,4)="복습대기", LEFT(J932,3)="복습1", LEFT(J932,3)="복습2"), MAX($M$3:M931)+1, "")</f>
        <v/>
      </c>
      <c r="N932" s="28" t="inlineStr">
        <is>
          <t>W22</t>
        </is>
      </c>
      <c r="O932" s="36" t="n">
        <v>46409</v>
      </c>
      <c r="P932" s="30">
        <f>IF(F932&lt;&gt;"","✅ 완료",IF(O932="","-",IF(TODAY()&gt;O932,"🚨 지연","⏳ 예정")))</f>
        <v/>
      </c>
      <c r="Q932" s="7" t="n"/>
      <c r="R932" s="7" t="n"/>
      <c r="S932" s="7" t="n"/>
      <c r="T932" s="7" t="n"/>
      <c r="U932" s="7" t="n"/>
      <c r="V932" s="7" t="n"/>
      <c r="W932" s="7" t="n"/>
      <c r="X932" s="7" t="n"/>
    </row>
    <row r="933" ht="21.75" customHeight="1" s="209">
      <c r="A933" s="28" t="n">
        <v>930</v>
      </c>
      <c r="B933" s="28" t="inlineStr">
        <is>
          <t>24398</t>
        </is>
      </c>
      <c r="C933" s="30" t="inlineStr">
        <is>
          <t>D6</t>
        </is>
      </c>
      <c r="D933" s="32" t="inlineStr">
        <is>
          <t>평면 위의 완전 그래프를 지나는 직선</t>
        </is>
      </c>
      <c r="E933" s="28" t="inlineStr">
        <is>
          <t>그래프 / 최단경로 / 위상정렬</t>
        </is>
      </c>
      <c r="F933" s="28" t="n"/>
      <c r="G933" s="28" t="n"/>
      <c r="H933" s="28" t="n"/>
      <c r="I933" s="28" t="n"/>
      <c r="J933" s="54">
        <f>IF(OR(ISNUMBER(SEARCH("보류",K933)),ISNUMBER(SEARCH("미룸",K933)),ISNUMBER(SEARCH("나중에",K933)),ISNUMBER(SEARCH("보류",L933)),ISNUMBER(SEARCH("미룸",L933)),ISNUMBER(SEARCH("나중에",L933))),"보류(나중에 풀기)",IF(AND(F933="",G933="",H933="",I933=""),"미완료",IF(I933&lt;&gt;"","복습3(마스터)",IF(H933&lt;&gt;"","복습2",IF(G933&lt;&gt;"","복습1",IF(ISNUMBER(SEARCH("제미나이",K933)),"복습대기(AI도움)",IF(ISNUMBER(SEARCH("간당간당",K933)),"복습대기(간당간당)",IF(OR(ISNUMBER(SEARCH("아이디어",K933)),ISNUMBER(SEARCH("시간초과",K933)),ISNUMBER(SEARCH("자료구조",K933)),ISNUMBER(SEARCH("경계값",K933)),ISNUMBER(SEARCH("다른 풀이",K933)),ISNUMBER(SEARCH("또풀기",K933))),"복습대기",IF(OR(ISNUMBER(SEARCH("복습필요없음",K933)),ISNUMBER(SEARCH("자력완벽",K933))),"품(복습불필요)",IF(F933&lt;&gt;"","품","미완료"))))))))))</f>
        <v/>
      </c>
      <c r="K933" s="32" t="inlineStr">
        <is>
          <t>-</t>
        </is>
      </c>
      <c r="L933" s="32" t="n"/>
      <c r="M933" s="28">
        <f>IF(OR(LEFT(J933,2)="보류", LEFT(J933,4)="복습대기", LEFT(J933,3)="복습1", LEFT(J933,3)="복습2"), MAX($M$3:M932)+1, "")</f>
        <v/>
      </c>
      <c r="N933" s="28" t="inlineStr">
        <is>
          <t>W22</t>
        </is>
      </c>
      <c r="O933" s="36" t="n">
        <v>46409</v>
      </c>
      <c r="P933" s="30">
        <f>IF(F933&lt;&gt;"","✅ 완료",IF(O933="","-",IF(TODAY()&gt;O933,"🚨 지연","⏳ 예정")))</f>
        <v/>
      </c>
      <c r="Q933" s="7" t="n"/>
      <c r="R933" s="7" t="n"/>
      <c r="S933" s="7" t="n"/>
      <c r="T933" s="7" t="n"/>
      <c r="U933" s="7" t="n"/>
      <c r="V933" s="7" t="n"/>
      <c r="W933" s="7" t="n"/>
      <c r="X933" s="7" t="n"/>
    </row>
    <row r="934" ht="21.75" customHeight="1" s="209">
      <c r="A934" s="28" t="n">
        <v>931</v>
      </c>
      <c r="B934" s="28" t="inlineStr">
        <is>
          <t>24424</t>
        </is>
      </c>
      <c r="C934" s="30" t="inlineStr">
        <is>
          <t>D6</t>
        </is>
      </c>
      <c r="D934" s="32" t="inlineStr">
        <is>
          <t>올바른 경로</t>
        </is>
      </c>
      <c r="E934" s="28" t="inlineStr">
        <is>
          <t>DFS / 백트래킹</t>
        </is>
      </c>
      <c r="F934" s="28" t="n"/>
      <c r="G934" s="28" t="n"/>
      <c r="H934" s="28" t="n"/>
      <c r="I934" s="28" t="n"/>
      <c r="J934" s="54">
        <f>IF(OR(ISNUMBER(SEARCH("보류",K934)),ISNUMBER(SEARCH("미룸",K934)),ISNUMBER(SEARCH("나중에",K934)),ISNUMBER(SEARCH("보류",L934)),ISNUMBER(SEARCH("미룸",L934)),ISNUMBER(SEARCH("나중에",L934))),"보류(나중에 풀기)",IF(AND(F934="",G934="",H934="",I934=""),"미완료",IF(I934&lt;&gt;"","복습3(마스터)",IF(H934&lt;&gt;"","복습2",IF(G934&lt;&gt;"","복습1",IF(ISNUMBER(SEARCH("제미나이",K934)),"복습대기(AI도움)",IF(ISNUMBER(SEARCH("간당간당",K934)),"복습대기(간당간당)",IF(OR(ISNUMBER(SEARCH("아이디어",K934)),ISNUMBER(SEARCH("시간초과",K934)),ISNUMBER(SEARCH("자료구조",K934)),ISNUMBER(SEARCH("경계값",K934)),ISNUMBER(SEARCH("다른 풀이",K934)),ISNUMBER(SEARCH("또풀기",K934))),"복습대기",IF(OR(ISNUMBER(SEARCH("복습필요없음",K934)),ISNUMBER(SEARCH("자력완벽",K934))),"품(복습불필요)",IF(F934&lt;&gt;"","품","미완료"))))))))))</f>
        <v/>
      </c>
      <c r="K934" s="32" t="inlineStr">
        <is>
          <t>-</t>
        </is>
      </c>
      <c r="L934" s="32" t="n"/>
      <c r="M934" s="28">
        <f>IF(OR(LEFT(J934,2)="보류", LEFT(J934,4)="복습대기", LEFT(J934,3)="복습1", LEFT(J934,3)="복습2"), MAX($M$3:M933)+1, "")</f>
        <v/>
      </c>
      <c r="N934" s="28" t="inlineStr">
        <is>
          <t>W22</t>
        </is>
      </c>
      <c r="O934" s="36" t="n">
        <v>46409</v>
      </c>
      <c r="P934" s="30">
        <f>IF(F934&lt;&gt;"","✅ 완료",IF(O934="","-",IF(TODAY()&gt;O934,"🚨 지연","⏳ 예정")))</f>
        <v/>
      </c>
      <c r="Q934" s="7" t="n"/>
      <c r="R934" s="7" t="n"/>
      <c r="S934" s="7" t="n"/>
      <c r="T934" s="7" t="n"/>
      <c r="U934" s="7" t="n"/>
      <c r="V934" s="7" t="n"/>
      <c r="W934" s="7" t="n"/>
      <c r="X934" s="7" t="n"/>
    </row>
    <row r="935" ht="21.75" customHeight="1" s="209">
      <c r="A935" s="28" t="n">
        <v>932</v>
      </c>
      <c r="B935" s="28" t="inlineStr">
        <is>
          <t>24529</t>
        </is>
      </c>
      <c r="C935" s="30" t="inlineStr">
        <is>
          <t>D6</t>
        </is>
      </c>
      <c r="D935" s="32" t="inlineStr">
        <is>
          <t>격자판 위의 달팽이</t>
        </is>
      </c>
      <c r="E935" s="28" t="inlineStr">
        <is>
          <t>시뮬레이션 / 구현</t>
        </is>
      </c>
      <c r="F935" s="28" t="n"/>
      <c r="G935" s="28" t="n"/>
      <c r="H935" s="28" t="n"/>
      <c r="I935" s="28" t="n"/>
      <c r="J935" s="54">
        <f>IF(OR(ISNUMBER(SEARCH("보류",K935)),ISNUMBER(SEARCH("미룸",K935)),ISNUMBER(SEARCH("나중에",K935)),ISNUMBER(SEARCH("보류",L935)),ISNUMBER(SEARCH("미룸",L935)),ISNUMBER(SEARCH("나중에",L935))),"보류(나중에 풀기)",IF(AND(F935="",G935="",H935="",I935=""),"미완료",IF(I935&lt;&gt;"","복습3(마스터)",IF(H935&lt;&gt;"","복습2",IF(G935&lt;&gt;"","복습1",IF(ISNUMBER(SEARCH("제미나이",K935)),"복습대기(AI도움)",IF(ISNUMBER(SEARCH("간당간당",K935)),"복습대기(간당간당)",IF(OR(ISNUMBER(SEARCH("아이디어",K935)),ISNUMBER(SEARCH("시간초과",K935)),ISNUMBER(SEARCH("자료구조",K935)),ISNUMBER(SEARCH("경계값",K935)),ISNUMBER(SEARCH("다른 풀이",K935)),ISNUMBER(SEARCH("또풀기",K935))),"복습대기",IF(OR(ISNUMBER(SEARCH("복습필요없음",K935)),ISNUMBER(SEARCH("자력완벽",K935))),"품(복습불필요)",IF(F935&lt;&gt;"","품","미완료"))))))))))</f>
        <v/>
      </c>
      <c r="K935" s="32" t="inlineStr">
        <is>
          <t>-</t>
        </is>
      </c>
      <c r="L935" s="32" t="n"/>
      <c r="M935" s="28">
        <f>IF(OR(LEFT(J935,2)="보류", LEFT(J935,4)="복습대기", LEFT(J935,3)="복습1", LEFT(J935,3)="복습2"), MAX($M$3:M934)+1, "")</f>
        <v/>
      </c>
      <c r="N935" s="28" t="inlineStr">
        <is>
          <t>W22</t>
        </is>
      </c>
      <c r="O935" s="36" t="n">
        <v>46409</v>
      </c>
      <c r="P935" s="30">
        <f>IF(F935&lt;&gt;"","✅ 완료",IF(O935="","-",IF(TODAY()&gt;O935,"🚨 지연","⏳ 예정")))</f>
        <v/>
      </c>
      <c r="Q935" s="7" t="n"/>
      <c r="R935" s="7" t="n"/>
      <c r="S935" s="7" t="n"/>
      <c r="T935" s="7" t="n"/>
      <c r="U935" s="7" t="n"/>
      <c r="V935" s="7" t="n"/>
      <c r="W935" s="7" t="n"/>
      <c r="X935" s="7" t="n"/>
    </row>
    <row r="936" ht="21.75" customHeight="1" s="209">
      <c r="A936" s="28" t="n">
        <v>933</v>
      </c>
      <c r="B936" s="28" t="inlineStr">
        <is>
          <t>24701</t>
        </is>
      </c>
      <c r="C936" s="30" t="inlineStr">
        <is>
          <t>D6</t>
        </is>
      </c>
      <c r="D936" s="32" t="inlineStr">
        <is>
          <t>미로 탈출</t>
        </is>
      </c>
      <c r="E936" s="28" t="inlineStr">
        <is>
          <t>DFS / 백트래킹</t>
        </is>
      </c>
      <c r="F936" s="28" t="n"/>
      <c r="G936" s="28" t="n"/>
      <c r="H936" s="28" t="n"/>
      <c r="I936" s="28" t="n"/>
      <c r="J936" s="54">
        <f>IF(OR(ISNUMBER(SEARCH("보류",K936)),ISNUMBER(SEARCH("미룸",K936)),ISNUMBER(SEARCH("나중에",K936)),ISNUMBER(SEARCH("보류",L936)),ISNUMBER(SEARCH("미룸",L936)),ISNUMBER(SEARCH("나중에",L936))),"보류(나중에 풀기)",IF(AND(F936="",G936="",H936="",I936=""),"미완료",IF(I936&lt;&gt;"","복습3(마스터)",IF(H936&lt;&gt;"","복습2",IF(G936&lt;&gt;"","복습1",IF(ISNUMBER(SEARCH("제미나이",K936)),"복습대기(AI도움)",IF(ISNUMBER(SEARCH("간당간당",K936)),"복습대기(간당간당)",IF(OR(ISNUMBER(SEARCH("아이디어",K936)),ISNUMBER(SEARCH("시간초과",K936)),ISNUMBER(SEARCH("자료구조",K936)),ISNUMBER(SEARCH("경계값",K936)),ISNUMBER(SEARCH("다른 풀이",K936)),ISNUMBER(SEARCH("또풀기",K936))),"복습대기",IF(OR(ISNUMBER(SEARCH("복습필요없음",K936)),ISNUMBER(SEARCH("자력완벽",K936))),"품(복습불필요)",IF(F936&lt;&gt;"","품","미완료"))))))))))</f>
        <v/>
      </c>
      <c r="K936" s="32" t="inlineStr">
        <is>
          <t>-</t>
        </is>
      </c>
      <c r="L936" s="32" t="n"/>
      <c r="M936" s="28">
        <f>IF(OR(LEFT(J936,2)="보류", LEFT(J936,4)="복습대기", LEFT(J936,3)="복습1", LEFT(J936,3)="복습2"), MAX($M$3:M935)+1, "")</f>
        <v/>
      </c>
      <c r="N936" s="28" t="inlineStr">
        <is>
          <t>W22</t>
        </is>
      </c>
      <c r="O936" s="36" t="n">
        <v>46409</v>
      </c>
      <c r="P936" s="30">
        <f>IF(F936&lt;&gt;"","✅ 완료",IF(O936="","-",IF(TODAY()&gt;O936,"🚨 지연","⏳ 예정")))</f>
        <v/>
      </c>
      <c r="Q936" s="7" t="n"/>
      <c r="R936" s="7" t="n"/>
      <c r="S936" s="7" t="n"/>
      <c r="T936" s="7" t="n"/>
      <c r="U936" s="7" t="n"/>
      <c r="V936" s="7" t="n"/>
      <c r="W936" s="7" t="n"/>
      <c r="X936" s="7" t="n"/>
    </row>
    <row r="937" ht="21.75" customHeight="1" s="209">
      <c r="A937" s="28" t="n">
        <v>934</v>
      </c>
      <c r="B937" s="28" t="inlineStr">
        <is>
          <t>25332</t>
        </is>
      </c>
      <c r="C937" s="30" t="inlineStr">
        <is>
          <t>D6</t>
        </is>
      </c>
      <c r="D937" s="32" t="inlineStr">
        <is>
          <t>삼색 정리</t>
        </is>
      </c>
      <c r="E937" s="28" t="inlineStr">
        <is>
          <t>동적계획법 (DP) / 그래프</t>
        </is>
      </c>
      <c r="F937" s="28" t="n"/>
      <c r="G937" s="28" t="n"/>
      <c r="H937" s="28" t="n"/>
      <c r="I937" s="28" t="n"/>
      <c r="J937" s="54">
        <f>IF(OR(ISNUMBER(SEARCH("보류",K937)),ISNUMBER(SEARCH("미룸",K937)),ISNUMBER(SEARCH("나중에",K937)),ISNUMBER(SEARCH("보류",L937)),ISNUMBER(SEARCH("미룸",L937)),ISNUMBER(SEARCH("나중에",L937))),"보류(나중에 풀기)",IF(AND(F937="",G937="",H937="",I937=""),"미완료",IF(I937&lt;&gt;"","복습3(마스터)",IF(H937&lt;&gt;"","복습2",IF(G937&lt;&gt;"","복습1",IF(ISNUMBER(SEARCH("제미나이",K937)),"복습대기(AI도움)",IF(ISNUMBER(SEARCH("간당간당",K937)),"복습대기(간당간당)",IF(OR(ISNUMBER(SEARCH("아이디어",K937)),ISNUMBER(SEARCH("시간초과",K937)),ISNUMBER(SEARCH("자료구조",K937)),ISNUMBER(SEARCH("경계값",K937)),ISNUMBER(SEARCH("다른 풀이",K937)),ISNUMBER(SEARCH("또풀기",K937))),"복습대기",IF(OR(ISNUMBER(SEARCH("복습필요없음",K937)),ISNUMBER(SEARCH("자력완벽",K937))),"품(복습불필요)",IF(F937&lt;&gt;"","품","미완료"))))))))))</f>
        <v/>
      </c>
      <c r="K937" s="32" t="inlineStr">
        <is>
          <t>-</t>
        </is>
      </c>
      <c r="L937" s="32" t="n"/>
      <c r="M937" s="28">
        <f>IF(OR(LEFT(J937,2)="보류", LEFT(J937,4)="복습대기", LEFT(J937,3)="복습1", LEFT(J937,3)="복습2"), MAX($M$3:M936)+1, "")</f>
        <v/>
      </c>
      <c r="N937" s="28" t="inlineStr">
        <is>
          <t>W22</t>
        </is>
      </c>
      <c r="O937" s="36" t="n">
        <v>46409</v>
      </c>
      <c r="P937" s="30">
        <f>IF(F937&lt;&gt;"","✅ 완료",IF(O937="","-",IF(TODAY()&gt;O937,"🚨 지연","⏳ 예정")))</f>
        <v/>
      </c>
      <c r="Q937" s="7" t="n"/>
      <c r="R937" s="7" t="n"/>
      <c r="S937" s="7" t="n"/>
      <c r="T937" s="7" t="n"/>
      <c r="U937" s="7" t="n"/>
      <c r="V937" s="7" t="n"/>
      <c r="W937" s="7" t="n"/>
      <c r="X937" s="7" t="n"/>
    </row>
    <row r="938" ht="21.75" customHeight="1" s="209">
      <c r="A938" s="28" t="n">
        <v>935</v>
      </c>
      <c r="B938" s="28" t="inlineStr">
        <is>
          <t>25473</t>
        </is>
      </c>
      <c r="C938" s="30" t="inlineStr">
        <is>
          <t>D6</t>
        </is>
      </c>
      <c r="D938" s="32" t="inlineStr">
        <is>
          <t>조금만 증가하는 순열</t>
        </is>
      </c>
      <c r="E938" s="28" t="inlineStr">
        <is>
          <t>DFS / 백트래킹</t>
        </is>
      </c>
      <c r="F938" s="28" t="n"/>
      <c r="G938" s="28" t="n"/>
      <c r="H938" s="28" t="n"/>
      <c r="I938" s="28" t="n"/>
      <c r="J938" s="54">
        <f>IF(OR(ISNUMBER(SEARCH("보류",K938)),ISNUMBER(SEARCH("미룸",K938)),ISNUMBER(SEARCH("나중에",K938)),ISNUMBER(SEARCH("보류",L938)),ISNUMBER(SEARCH("미룸",L938)),ISNUMBER(SEARCH("나중에",L938))),"보류(나중에 풀기)",IF(AND(F938="",G938="",H938="",I938=""),"미완료",IF(I938&lt;&gt;"","복습3(마스터)",IF(H938&lt;&gt;"","복습2",IF(G938&lt;&gt;"","복습1",IF(ISNUMBER(SEARCH("제미나이",K938)),"복습대기(AI도움)",IF(ISNUMBER(SEARCH("간당간당",K938)),"복습대기(간당간당)",IF(OR(ISNUMBER(SEARCH("아이디어",K938)),ISNUMBER(SEARCH("시간초과",K938)),ISNUMBER(SEARCH("자료구조",K938)),ISNUMBER(SEARCH("경계값",K938)),ISNUMBER(SEARCH("다른 풀이",K938)),ISNUMBER(SEARCH("또풀기",K938))),"복습대기",IF(OR(ISNUMBER(SEARCH("복습필요없음",K938)),ISNUMBER(SEARCH("자력완벽",K938))),"품(복습불필요)",IF(F938&lt;&gt;"","품","미완료"))))))))))</f>
        <v/>
      </c>
      <c r="K938" s="32" t="inlineStr">
        <is>
          <t>-</t>
        </is>
      </c>
      <c r="L938" s="32" t="n"/>
      <c r="M938" s="28">
        <f>IF(OR(LEFT(J938,2)="보류", LEFT(J938,4)="복습대기", LEFT(J938,3)="복습1", LEFT(J938,3)="복습2"), MAX($M$3:M937)+1, "")</f>
        <v/>
      </c>
      <c r="N938" s="28" t="inlineStr">
        <is>
          <t>W22</t>
        </is>
      </c>
      <c r="O938" s="36" t="n">
        <v>46409</v>
      </c>
      <c r="P938" s="30">
        <f>IF(F938&lt;&gt;"","✅ 완료",IF(O938="","-",IF(TODAY()&gt;O938,"🚨 지연","⏳ 예정")))</f>
        <v/>
      </c>
      <c r="Q938" s="7" t="n"/>
      <c r="R938" s="7" t="n"/>
      <c r="S938" s="7" t="n"/>
      <c r="T938" s="7" t="n"/>
      <c r="U938" s="7" t="n"/>
      <c r="V938" s="7" t="n"/>
      <c r="W938" s="7" t="n"/>
      <c r="X938" s="7" t="n"/>
    </row>
    <row r="939" ht="21.75" customHeight="1" s="209">
      <c r="A939" s="28" t="n">
        <v>936</v>
      </c>
      <c r="B939" s="28" t="inlineStr">
        <is>
          <t>25657</t>
        </is>
      </c>
      <c r="C939" s="30" t="inlineStr">
        <is>
          <t>D6</t>
        </is>
      </c>
      <c r="D939" s="32" t="inlineStr">
        <is>
          <t>연립 방정식</t>
        </is>
      </c>
      <c r="E939" s="28" t="inlineStr">
        <is>
          <t>동적계획법 (DP) / 그래프</t>
        </is>
      </c>
      <c r="F939" s="28" t="n"/>
      <c r="G939" s="28" t="n"/>
      <c r="H939" s="28" t="n"/>
      <c r="I939" s="28" t="n"/>
      <c r="J939" s="54">
        <f>IF(OR(ISNUMBER(SEARCH("보류",K939)),ISNUMBER(SEARCH("미룸",K939)),ISNUMBER(SEARCH("나중에",K939)),ISNUMBER(SEARCH("보류",L939)),ISNUMBER(SEARCH("미룸",L939)),ISNUMBER(SEARCH("나중에",L939))),"보류(나중에 풀기)",IF(AND(F939="",G939="",H939="",I939=""),"미완료",IF(I939&lt;&gt;"","복습3(마스터)",IF(H939&lt;&gt;"","복습2",IF(G939&lt;&gt;"","복습1",IF(ISNUMBER(SEARCH("제미나이",K939)),"복습대기(AI도움)",IF(ISNUMBER(SEARCH("간당간당",K939)),"복습대기(간당간당)",IF(OR(ISNUMBER(SEARCH("아이디어",K939)),ISNUMBER(SEARCH("시간초과",K939)),ISNUMBER(SEARCH("자료구조",K939)),ISNUMBER(SEARCH("경계값",K939)),ISNUMBER(SEARCH("다른 풀이",K939)),ISNUMBER(SEARCH("또풀기",K939))),"복습대기",IF(OR(ISNUMBER(SEARCH("복습필요없음",K939)),ISNUMBER(SEARCH("자력완벽",K939))),"품(복습불필요)",IF(F939&lt;&gt;"","품","미완료"))))))))))</f>
        <v/>
      </c>
      <c r="K939" s="32" t="inlineStr">
        <is>
          <t>-</t>
        </is>
      </c>
      <c r="L939" s="32" t="n"/>
      <c r="M939" s="28">
        <f>IF(OR(LEFT(J939,2)="보류", LEFT(J939,4)="복습대기", LEFT(J939,3)="복습1", LEFT(J939,3)="복습2"), MAX($M$3:M938)+1, "")</f>
        <v/>
      </c>
      <c r="N939" s="28" t="inlineStr">
        <is>
          <t>W22</t>
        </is>
      </c>
      <c r="O939" s="36" t="n">
        <v>46410</v>
      </c>
      <c r="P939" s="30">
        <f>IF(F939&lt;&gt;"","✅ 완료",IF(O939="","-",IF(TODAY()&gt;O939,"🚨 지연","⏳ 예정")))</f>
        <v/>
      </c>
      <c r="Q939" s="7" t="n"/>
      <c r="R939" s="7" t="n"/>
      <c r="S939" s="7" t="n"/>
      <c r="T939" s="7" t="n"/>
      <c r="U939" s="7" t="n"/>
      <c r="V939" s="7" t="n"/>
      <c r="W939" s="7" t="n"/>
      <c r="X939" s="7" t="n"/>
    </row>
    <row r="940" ht="21.75" customHeight="1" s="209">
      <c r="A940" s="28" t="n">
        <v>937</v>
      </c>
      <c r="B940" s="28" t="inlineStr">
        <is>
          <t>25698</t>
        </is>
      </c>
      <c r="C940" s="30" t="inlineStr">
        <is>
          <t>D6</t>
        </is>
      </c>
      <c r="D940" s="32" t="inlineStr">
        <is>
          <t>점프점프 2</t>
        </is>
      </c>
      <c r="E940" s="28" t="inlineStr">
        <is>
          <t>동적계획법 (DP) / 그래프</t>
        </is>
      </c>
      <c r="F940" s="28" t="n"/>
      <c r="G940" s="28" t="n"/>
      <c r="H940" s="28" t="n"/>
      <c r="I940" s="28" t="n"/>
      <c r="J940" s="54">
        <f>IF(OR(ISNUMBER(SEARCH("보류",K940)),ISNUMBER(SEARCH("미룸",K940)),ISNUMBER(SEARCH("나중에",K940)),ISNUMBER(SEARCH("보류",L940)),ISNUMBER(SEARCH("미룸",L940)),ISNUMBER(SEARCH("나중에",L940))),"보류(나중에 풀기)",IF(AND(F940="",G940="",H940="",I940=""),"미완료",IF(I940&lt;&gt;"","복습3(마스터)",IF(H940&lt;&gt;"","복습2",IF(G940&lt;&gt;"","복습1",IF(ISNUMBER(SEARCH("제미나이",K940)),"복습대기(AI도움)",IF(ISNUMBER(SEARCH("간당간당",K940)),"복습대기(간당간당)",IF(OR(ISNUMBER(SEARCH("아이디어",K940)),ISNUMBER(SEARCH("시간초과",K940)),ISNUMBER(SEARCH("자료구조",K940)),ISNUMBER(SEARCH("경계값",K940)),ISNUMBER(SEARCH("다른 풀이",K940)),ISNUMBER(SEARCH("또풀기",K940))),"복습대기",IF(OR(ISNUMBER(SEARCH("복습필요없음",K940)),ISNUMBER(SEARCH("자력완벽",K940))),"품(복습불필요)",IF(F940&lt;&gt;"","품","미완료"))))))))))</f>
        <v/>
      </c>
      <c r="K940" s="32" t="inlineStr">
        <is>
          <t>-</t>
        </is>
      </c>
      <c r="L940" s="32" t="n"/>
      <c r="M940" s="28">
        <f>IF(OR(LEFT(J940,2)="보류", LEFT(J940,4)="복습대기", LEFT(J940,3)="복습1", LEFT(J940,3)="복습2"), MAX($M$3:M939)+1, "")</f>
        <v/>
      </c>
      <c r="N940" s="28" t="inlineStr">
        <is>
          <t>W22</t>
        </is>
      </c>
      <c r="O940" s="36" t="n">
        <v>46410</v>
      </c>
      <c r="P940" s="30">
        <f>IF(F940&lt;&gt;"","✅ 완료",IF(O940="","-",IF(TODAY()&gt;O940,"🚨 지연","⏳ 예정")))</f>
        <v/>
      </c>
      <c r="Q940" s="7" t="n"/>
      <c r="R940" s="7" t="n"/>
      <c r="S940" s="7" t="n"/>
      <c r="T940" s="7" t="n"/>
      <c r="U940" s="7" t="n"/>
      <c r="V940" s="7" t="n"/>
      <c r="W940" s="7" t="n"/>
      <c r="X940" s="7" t="n"/>
    </row>
    <row r="941" ht="21.75" customHeight="1" s="209">
      <c r="A941" s="28" t="n">
        <v>938</v>
      </c>
      <c r="B941" s="28" t="inlineStr">
        <is>
          <t>25840</t>
        </is>
      </c>
      <c r="C941" s="30" t="inlineStr">
        <is>
          <t>D6</t>
        </is>
      </c>
      <c r="D941" s="32" t="inlineStr">
        <is>
          <t>벽 칠하기</t>
        </is>
      </c>
      <c r="E941" s="28" t="inlineStr">
        <is>
          <t>동적계획법 (DP) / 그래프</t>
        </is>
      </c>
      <c r="F941" s="28" t="n"/>
      <c r="G941" s="28" t="n"/>
      <c r="H941" s="28" t="n"/>
      <c r="I941" s="28" t="n"/>
      <c r="J941" s="54">
        <f>IF(OR(ISNUMBER(SEARCH("보류",K941)),ISNUMBER(SEARCH("미룸",K941)),ISNUMBER(SEARCH("나중에",K941)),ISNUMBER(SEARCH("보류",L941)),ISNUMBER(SEARCH("미룸",L941)),ISNUMBER(SEARCH("나중에",L941))),"보류(나중에 풀기)",IF(AND(F941="",G941="",H941="",I941=""),"미완료",IF(I941&lt;&gt;"","복습3(마스터)",IF(H941&lt;&gt;"","복습2",IF(G941&lt;&gt;"","복습1",IF(ISNUMBER(SEARCH("제미나이",K941)),"복습대기(AI도움)",IF(ISNUMBER(SEARCH("간당간당",K941)),"복습대기(간당간당)",IF(OR(ISNUMBER(SEARCH("아이디어",K941)),ISNUMBER(SEARCH("시간초과",K941)),ISNUMBER(SEARCH("자료구조",K941)),ISNUMBER(SEARCH("경계값",K941)),ISNUMBER(SEARCH("다른 풀이",K941)),ISNUMBER(SEARCH("또풀기",K941))),"복습대기",IF(OR(ISNUMBER(SEARCH("복습필요없음",K941)),ISNUMBER(SEARCH("자력완벽",K941))),"품(복습불필요)",IF(F941&lt;&gt;"","품","미완료"))))))))))</f>
        <v/>
      </c>
      <c r="K941" s="32" t="inlineStr">
        <is>
          <t>-</t>
        </is>
      </c>
      <c r="L941" s="32" t="n"/>
      <c r="M941" s="28">
        <f>IF(OR(LEFT(J941,2)="보류", LEFT(J941,4)="복습대기", LEFT(J941,3)="복습1", LEFT(J941,3)="복습2"), MAX($M$3:M940)+1, "")</f>
        <v/>
      </c>
      <c r="N941" s="28" t="inlineStr">
        <is>
          <t>W22</t>
        </is>
      </c>
      <c r="O941" s="36" t="n">
        <v>46410</v>
      </c>
      <c r="P941" s="30">
        <f>IF(F941&lt;&gt;"","✅ 완료",IF(O941="","-",IF(TODAY()&gt;O941,"🚨 지연","⏳ 예정")))</f>
        <v/>
      </c>
      <c r="Q941" s="7" t="n"/>
      <c r="R941" s="7" t="n"/>
      <c r="S941" s="7" t="n"/>
      <c r="T941" s="7" t="n"/>
      <c r="U941" s="7" t="n"/>
      <c r="V941" s="7" t="n"/>
      <c r="W941" s="7" t="n"/>
      <c r="X941" s="7" t="n"/>
    </row>
    <row r="942" ht="21.75" customHeight="1" s="209">
      <c r="A942" s="28" t="n">
        <v>939</v>
      </c>
      <c r="B942" s="28" t="inlineStr">
        <is>
          <t>26012</t>
        </is>
      </c>
      <c r="C942" s="30" t="inlineStr">
        <is>
          <t>D6</t>
        </is>
      </c>
      <c r="D942" s="32" t="inlineStr">
        <is>
          <t>비스킷 나눠주기</t>
        </is>
      </c>
      <c r="E942" s="28" t="inlineStr">
        <is>
          <t>동적계획법 (DP) / 그래프</t>
        </is>
      </c>
      <c r="F942" s="28" t="n"/>
      <c r="G942" s="28" t="n"/>
      <c r="H942" s="28" t="n"/>
      <c r="I942" s="28" t="n"/>
      <c r="J942" s="54">
        <f>IF(OR(ISNUMBER(SEARCH("보류",K942)),ISNUMBER(SEARCH("미룸",K942)),ISNUMBER(SEARCH("나중에",K942)),ISNUMBER(SEARCH("보류",L942)),ISNUMBER(SEARCH("미룸",L942)),ISNUMBER(SEARCH("나중에",L942))),"보류(나중에 풀기)",IF(AND(F942="",G942="",H942="",I942=""),"미완료",IF(I942&lt;&gt;"","복습3(마스터)",IF(H942&lt;&gt;"","복습2",IF(G942&lt;&gt;"","복습1",IF(ISNUMBER(SEARCH("제미나이",K942)),"복습대기(AI도움)",IF(ISNUMBER(SEARCH("간당간당",K942)),"복습대기(간당간당)",IF(OR(ISNUMBER(SEARCH("아이디어",K942)),ISNUMBER(SEARCH("시간초과",K942)),ISNUMBER(SEARCH("자료구조",K942)),ISNUMBER(SEARCH("경계값",K942)),ISNUMBER(SEARCH("다른 풀이",K942)),ISNUMBER(SEARCH("또풀기",K942))),"복습대기",IF(OR(ISNUMBER(SEARCH("복습필요없음",K942)),ISNUMBER(SEARCH("자력완벽",K942))),"품(복습불필요)",IF(F942&lt;&gt;"","품","미완료"))))))))))</f>
        <v/>
      </c>
      <c r="K942" s="32" t="inlineStr">
        <is>
          <t>-</t>
        </is>
      </c>
      <c r="L942" s="32" t="n"/>
      <c r="M942" s="28">
        <f>IF(OR(LEFT(J942,2)="보류", LEFT(J942,4)="복습대기", LEFT(J942,3)="복습1", LEFT(J942,3)="복습2"), MAX($M$3:M941)+1, "")</f>
        <v/>
      </c>
      <c r="N942" s="28" t="inlineStr">
        <is>
          <t>W22</t>
        </is>
      </c>
      <c r="O942" s="36" t="n">
        <v>46410</v>
      </c>
      <c r="P942" s="30">
        <f>IF(F942&lt;&gt;"","✅ 완료",IF(O942="","-",IF(TODAY()&gt;O942,"🚨 지연","⏳ 예정")))</f>
        <v/>
      </c>
      <c r="Q942" s="7" t="n"/>
      <c r="R942" s="7" t="n"/>
      <c r="S942" s="7" t="n"/>
      <c r="T942" s="7" t="n"/>
      <c r="U942" s="7" t="n"/>
      <c r="V942" s="7" t="n"/>
      <c r="W942" s="7" t="n"/>
      <c r="X942" s="7" t="n"/>
    </row>
    <row r="943" ht="21.75" customHeight="1" s="209">
      <c r="A943" s="28" t="n">
        <v>940</v>
      </c>
      <c r="B943" s="28" t="inlineStr">
        <is>
          <t>26391</t>
        </is>
      </c>
      <c r="C943" s="30" t="inlineStr">
        <is>
          <t>D6</t>
        </is>
      </c>
      <c r="D943" s="32" t="inlineStr">
        <is>
          <t>행렬식과 쿼리</t>
        </is>
      </c>
      <c r="E943" s="28" t="inlineStr">
        <is>
          <t>동적계획법 (DP) / 그래프</t>
        </is>
      </c>
      <c r="F943" s="28" t="n"/>
      <c r="G943" s="28" t="n"/>
      <c r="H943" s="28" t="n"/>
      <c r="I943" s="28" t="n"/>
      <c r="J943" s="54">
        <f>IF(OR(ISNUMBER(SEARCH("보류",K943)),ISNUMBER(SEARCH("미룸",K943)),ISNUMBER(SEARCH("나중에",K943)),ISNUMBER(SEARCH("보류",L943)),ISNUMBER(SEARCH("미룸",L943)),ISNUMBER(SEARCH("나중에",L943))),"보류(나중에 풀기)",IF(AND(F943="",G943="",H943="",I943=""),"미완료",IF(I943&lt;&gt;"","복습3(마스터)",IF(H943&lt;&gt;"","복습2",IF(G943&lt;&gt;"","복습1",IF(ISNUMBER(SEARCH("제미나이",K943)),"복습대기(AI도움)",IF(ISNUMBER(SEARCH("간당간당",K943)),"복습대기(간당간당)",IF(OR(ISNUMBER(SEARCH("아이디어",K943)),ISNUMBER(SEARCH("시간초과",K943)),ISNUMBER(SEARCH("자료구조",K943)),ISNUMBER(SEARCH("경계값",K943)),ISNUMBER(SEARCH("다른 풀이",K943)),ISNUMBER(SEARCH("또풀기",K943))),"복습대기",IF(OR(ISNUMBER(SEARCH("복습필요없음",K943)),ISNUMBER(SEARCH("자력완벽",K943))),"품(복습불필요)",IF(F943&lt;&gt;"","품","미완료"))))))))))</f>
        <v/>
      </c>
      <c r="K943" s="32" t="inlineStr">
        <is>
          <t>-</t>
        </is>
      </c>
      <c r="L943" s="32" t="n"/>
      <c r="M943" s="28">
        <f>IF(OR(LEFT(J943,2)="보류", LEFT(J943,4)="복습대기", LEFT(J943,3)="복습1", LEFT(J943,3)="복습2"), MAX($M$3:M942)+1, "")</f>
        <v/>
      </c>
      <c r="N943" s="28" t="inlineStr">
        <is>
          <t>W22</t>
        </is>
      </c>
      <c r="O943" s="36" t="n">
        <v>46410</v>
      </c>
      <c r="P943" s="30">
        <f>IF(F943&lt;&gt;"","✅ 완료",IF(O943="","-",IF(TODAY()&gt;O943,"🚨 지연","⏳ 예정")))</f>
        <v/>
      </c>
      <c r="Q943" s="7" t="n"/>
      <c r="R943" s="7" t="n"/>
      <c r="S943" s="7" t="n"/>
      <c r="T943" s="7" t="n"/>
      <c r="U943" s="7" t="n"/>
      <c r="V943" s="7" t="n"/>
      <c r="W943" s="7" t="n"/>
      <c r="X943" s="7" t="n"/>
    </row>
    <row r="944" ht="21.75" customHeight="1" s="209">
      <c r="A944" s="28" t="n">
        <v>941</v>
      </c>
      <c r="B944" s="28" t="inlineStr">
        <is>
          <t>26505</t>
        </is>
      </c>
      <c r="C944" s="30" t="inlineStr">
        <is>
          <t>D6</t>
        </is>
      </c>
      <c r="D944" s="32" t="inlineStr">
        <is>
          <t>음료수는 사드세요 제발</t>
        </is>
      </c>
      <c r="E944" s="28" t="inlineStr">
        <is>
          <t>동적계획법 (DP) / 그래프</t>
        </is>
      </c>
      <c r="F944" s="28" t="n"/>
      <c r="G944" s="28" t="n"/>
      <c r="H944" s="28" t="n"/>
      <c r="I944" s="28" t="n"/>
      <c r="J944" s="54">
        <f>IF(OR(ISNUMBER(SEARCH("보류",K944)),ISNUMBER(SEARCH("미룸",K944)),ISNUMBER(SEARCH("나중에",K944)),ISNUMBER(SEARCH("보류",L944)),ISNUMBER(SEARCH("미룸",L944)),ISNUMBER(SEARCH("나중에",L944))),"보류(나중에 풀기)",IF(AND(F944="",G944="",H944="",I944=""),"미완료",IF(I944&lt;&gt;"","복습3(마스터)",IF(H944&lt;&gt;"","복습2",IF(G944&lt;&gt;"","복습1",IF(ISNUMBER(SEARCH("제미나이",K944)),"복습대기(AI도움)",IF(ISNUMBER(SEARCH("간당간당",K944)),"복습대기(간당간당)",IF(OR(ISNUMBER(SEARCH("아이디어",K944)),ISNUMBER(SEARCH("시간초과",K944)),ISNUMBER(SEARCH("자료구조",K944)),ISNUMBER(SEARCH("경계값",K944)),ISNUMBER(SEARCH("다른 풀이",K944)),ISNUMBER(SEARCH("또풀기",K944))),"복습대기",IF(OR(ISNUMBER(SEARCH("복습필요없음",K944)),ISNUMBER(SEARCH("자력완벽",K944))),"품(복습불필요)",IF(F944&lt;&gt;"","품","미완료"))))))))))</f>
        <v/>
      </c>
      <c r="K944" s="32" t="inlineStr">
        <is>
          <t>-</t>
        </is>
      </c>
      <c r="L944" s="32" t="n"/>
      <c r="M944" s="28">
        <f>IF(OR(LEFT(J944,2)="보류", LEFT(J944,4)="복습대기", LEFT(J944,3)="복습1", LEFT(J944,3)="복습2"), MAX($M$3:M943)+1, "")</f>
        <v/>
      </c>
      <c r="N944" s="28" t="inlineStr">
        <is>
          <t>W22</t>
        </is>
      </c>
      <c r="O944" s="36" t="n">
        <v>46410</v>
      </c>
      <c r="P944" s="30">
        <f>IF(F944&lt;&gt;"","✅ 완료",IF(O944="","-",IF(TODAY()&gt;O944,"🚨 지연","⏳ 예정")))</f>
        <v/>
      </c>
      <c r="Q944" s="7" t="n"/>
      <c r="R944" s="7" t="n"/>
      <c r="S944" s="7" t="n"/>
      <c r="T944" s="7" t="n"/>
      <c r="U944" s="7" t="n"/>
      <c r="V944" s="7" t="n"/>
      <c r="W944" s="7" t="n"/>
      <c r="X944" s="7" t="n"/>
    </row>
    <row r="945" ht="21.75" customHeight="1" s="209">
      <c r="A945" s="28" t="n">
        <v>942</v>
      </c>
      <c r="B945" s="28" t="inlineStr">
        <is>
          <t>26795</t>
        </is>
      </c>
      <c r="C945" s="30" t="inlineStr">
        <is>
          <t>D6</t>
        </is>
      </c>
      <c r="D945" s="32" t="inlineStr">
        <is>
          <t>색칠 문제</t>
        </is>
      </c>
      <c r="E945" s="28" t="inlineStr">
        <is>
          <t>동적계획법 (DP) / 그래프</t>
        </is>
      </c>
      <c r="F945" s="28" t="n"/>
      <c r="G945" s="28" t="n"/>
      <c r="H945" s="28" t="n"/>
      <c r="I945" s="28" t="n"/>
      <c r="J945" s="54">
        <f>IF(OR(ISNUMBER(SEARCH("보류",K945)),ISNUMBER(SEARCH("미룸",K945)),ISNUMBER(SEARCH("나중에",K945)),ISNUMBER(SEARCH("보류",L945)),ISNUMBER(SEARCH("미룸",L945)),ISNUMBER(SEARCH("나중에",L945))),"보류(나중에 풀기)",IF(AND(F945="",G945="",H945="",I945=""),"미완료",IF(I945&lt;&gt;"","복습3(마스터)",IF(H945&lt;&gt;"","복습2",IF(G945&lt;&gt;"","복습1",IF(ISNUMBER(SEARCH("제미나이",K945)),"복습대기(AI도움)",IF(ISNUMBER(SEARCH("간당간당",K945)),"복습대기(간당간당)",IF(OR(ISNUMBER(SEARCH("아이디어",K945)),ISNUMBER(SEARCH("시간초과",K945)),ISNUMBER(SEARCH("자료구조",K945)),ISNUMBER(SEARCH("경계값",K945)),ISNUMBER(SEARCH("다른 풀이",K945)),ISNUMBER(SEARCH("또풀기",K945))),"복습대기",IF(OR(ISNUMBER(SEARCH("복습필요없음",K945)),ISNUMBER(SEARCH("자력완벽",K945))),"품(복습불필요)",IF(F945&lt;&gt;"","품","미완료"))))))))))</f>
        <v/>
      </c>
      <c r="K945" s="32" t="inlineStr">
        <is>
          <t>-</t>
        </is>
      </c>
      <c r="L945" s="32" t="n"/>
      <c r="M945" s="28">
        <f>IF(OR(LEFT(J945,2)="보류", LEFT(J945,4)="복습대기", LEFT(J945,3)="복습1", LEFT(J945,3)="복습2"), MAX($M$3:M944)+1, "")</f>
        <v/>
      </c>
      <c r="N945" s="28" t="inlineStr">
        <is>
          <t>W22</t>
        </is>
      </c>
      <c r="O945" s="36" t="n">
        <v>46410</v>
      </c>
      <c r="P945" s="30">
        <f>IF(F945&lt;&gt;"","✅ 완료",IF(O945="","-",IF(TODAY()&gt;O945,"🚨 지연","⏳ 예정")))</f>
        <v/>
      </c>
      <c r="Q945" s="7" t="n"/>
      <c r="R945" s="7" t="n"/>
      <c r="S945" s="7" t="n"/>
      <c r="T945" s="7" t="n"/>
      <c r="U945" s="7" t="n"/>
      <c r="V945" s="7" t="n"/>
      <c r="W945" s="7" t="n"/>
      <c r="X945" s="7" t="n"/>
    </row>
    <row r="946" ht="21.75" customHeight="1" s="209">
      <c r="A946" s="28" t="n">
        <v>943</v>
      </c>
      <c r="B946" s="28" t="inlineStr">
        <is>
          <t>26841</t>
        </is>
      </c>
      <c r="C946" s="30" t="inlineStr">
        <is>
          <t>D6</t>
        </is>
      </c>
      <c r="D946" s="32" t="inlineStr">
        <is>
          <t>트리 집합과 쿼리</t>
        </is>
      </c>
      <c r="E946" s="28" t="inlineStr">
        <is>
          <t>트리 / 힙 / 세그먼트트리</t>
        </is>
      </c>
      <c r="F946" s="28" t="n"/>
      <c r="G946" s="28" t="n"/>
      <c r="H946" s="28" t="n"/>
      <c r="I946" s="28" t="n"/>
      <c r="J946" s="54">
        <f>IF(OR(ISNUMBER(SEARCH("보류",K946)),ISNUMBER(SEARCH("미룸",K946)),ISNUMBER(SEARCH("나중에",K946)),ISNUMBER(SEARCH("보류",L946)),ISNUMBER(SEARCH("미룸",L946)),ISNUMBER(SEARCH("나중에",L946))),"보류(나중에 풀기)",IF(AND(F946="",G946="",H946="",I946=""),"미완료",IF(I946&lt;&gt;"","복습3(마스터)",IF(H946&lt;&gt;"","복습2",IF(G946&lt;&gt;"","복습1",IF(ISNUMBER(SEARCH("제미나이",K946)),"복습대기(AI도움)",IF(ISNUMBER(SEARCH("간당간당",K946)),"복습대기(간당간당)",IF(OR(ISNUMBER(SEARCH("아이디어",K946)),ISNUMBER(SEARCH("시간초과",K946)),ISNUMBER(SEARCH("자료구조",K946)),ISNUMBER(SEARCH("경계값",K946)),ISNUMBER(SEARCH("다른 풀이",K946)),ISNUMBER(SEARCH("또풀기",K946))),"복습대기",IF(OR(ISNUMBER(SEARCH("복습필요없음",K946)),ISNUMBER(SEARCH("자력완벽",K946))),"품(복습불필요)",IF(F946&lt;&gt;"","품","미완료"))))))))))</f>
        <v/>
      </c>
      <c r="K946" s="32" t="inlineStr">
        <is>
          <t>-</t>
        </is>
      </c>
      <c r="L946" s="32" t="n"/>
      <c r="M946" s="28">
        <f>IF(OR(LEFT(J946,2)="보류", LEFT(J946,4)="복습대기", LEFT(J946,3)="복습1", LEFT(J946,3)="복습2"), MAX($M$3:M945)+1, "")</f>
        <v/>
      </c>
      <c r="N946" s="28" t="inlineStr">
        <is>
          <t>W22</t>
        </is>
      </c>
      <c r="O946" s="36" t="n">
        <v>46411</v>
      </c>
      <c r="P946" s="30">
        <f>IF(F946&lt;&gt;"","✅ 완료",IF(O946="","-",IF(TODAY()&gt;O946,"🚨 지연","⏳ 예정")))</f>
        <v/>
      </c>
      <c r="Q946" s="7" t="n"/>
      <c r="R946" s="7" t="n"/>
      <c r="S946" s="7" t="n"/>
      <c r="T946" s="7" t="n"/>
      <c r="U946" s="7" t="n"/>
      <c r="V946" s="7" t="n"/>
      <c r="W946" s="7" t="n"/>
      <c r="X946" s="7" t="n"/>
    </row>
    <row r="947" ht="21.75" customHeight="1" s="209">
      <c r="A947" s="28" t="n">
        <v>944</v>
      </c>
      <c r="B947" s="28" t="inlineStr">
        <is>
          <t>1253</t>
        </is>
      </c>
      <c r="C947" s="30" t="inlineStr">
        <is>
          <t>D7</t>
        </is>
      </c>
      <c r="D947" s="32" t="inlineStr">
        <is>
          <t>[S/W 문제해결 응용] 5일차 - 도금비용</t>
        </is>
      </c>
      <c r="E947" s="28" t="inlineStr">
        <is>
          <t>최적화 / 고급 알고리즘</t>
        </is>
      </c>
      <c r="F947" s="28" t="n"/>
      <c r="G947" s="28" t="n"/>
      <c r="H947" s="28" t="n"/>
      <c r="I947" s="28" t="n"/>
      <c r="J947" s="54">
        <f>IF(OR(ISNUMBER(SEARCH("보류",K947)),ISNUMBER(SEARCH("미룸",K947)),ISNUMBER(SEARCH("나중에",K947)),ISNUMBER(SEARCH("보류",L947)),ISNUMBER(SEARCH("미룸",L947)),ISNUMBER(SEARCH("나중에",L947))),"보류(나중에 풀기)",IF(AND(F947="",G947="",H947="",I947=""),"미완료",IF(I947&lt;&gt;"","복습3(마스터)",IF(H947&lt;&gt;"","복습2",IF(G947&lt;&gt;"","복습1",IF(ISNUMBER(SEARCH("제미나이",K947)),"복습대기(AI도움)",IF(ISNUMBER(SEARCH("간당간당",K947)),"복습대기(간당간당)",IF(OR(ISNUMBER(SEARCH("아이디어",K947)),ISNUMBER(SEARCH("시간초과",K947)),ISNUMBER(SEARCH("자료구조",K947)),ISNUMBER(SEARCH("경계값",K947)),ISNUMBER(SEARCH("다른 풀이",K947)),ISNUMBER(SEARCH("또풀기",K947))),"복습대기",IF(OR(ISNUMBER(SEARCH("복습필요없음",K947)),ISNUMBER(SEARCH("자력완벽",K947))),"품(복습불필요)",IF(F947&lt;&gt;"","품","미완료"))))))))))</f>
        <v/>
      </c>
      <c r="K947" s="32" t="inlineStr">
        <is>
          <t>-</t>
        </is>
      </c>
      <c r="L947" s="32" t="n"/>
      <c r="M947" s="28">
        <f>IF(OR(LEFT(J947,2)="보류", LEFT(J947,4)="복습대기", LEFT(J947,3)="복습1", LEFT(J947,3)="복습2"), MAX($M$3:M946)+1, "")</f>
        <v/>
      </c>
      <c r="N947" s="28" t="inlineStr">
        <is>
          <t>W22</t>
        </is>
      </c>
      <c r="O947" s="36" t="n">
        <v>46411</v>
      </c>
      <c r="P947" s="30">
        <f>IF(F947&lt;&gt;"","✅ 완료",IF(O947="","-",IF(TODAY()&gt;O947,"🚨 지연","⏳ 예정")))</f>
        <v/>
      </c>
      <c r="Q947" s="7" t="n"/>
      <c r="R947" s="7" t="n"/>
      <c r="S947" s="7" t="n"/>
      <c r="T947" s="7" t="n"/>
      <c r="U947" s="7" t="n"/>
      <c r="V947" s="7" t="n"/>
      <c r="W947" s="7" t="n"/>
      <c r="X947" s="7" t="n"/>
    </row>
    <row r="948" ht="21.75" customHeight="1" s="209">
      <c r="A948" s="28" t="n">
        <v>945</v>
      </c>
      <c r="B948" s="28" t="inlineStr">
        <is>
          <t>1254</t>
        </is>
      </c>
      <c r="C948" s="30" t="inlineStr">
        <is>
          <t>D7</t>
        </is>
      </c>
      <c r="D948" s="32" t="inlineStr">
        <is>
          <t>5일차 - 동서통합</t>
        </is>
      </c>
      <c r="E948" s="28" t="inlineStr">
        <is>
          <t>수학 / 정수론</t>
        </is>
      </c>
      <c r="F948" s="28" t="n"/>
      <c r="G948" s="28" t="n"/>
      <c r="H948" s="28" t="n"/>
      <c r="I948" s="28" t="n"/>
      <c r="J948" s="54">
        <f>IF(OR(ISNUMBER(SEARCH("보류",K948)),ISNUMBER(SEARCH("미룸",K948)),ISNUMBER(SEARCH("나중에",K948)),ISNUMBER(SEARCH("보류",L948)),ISNUMBER(SEARCH("미룸",L948)),ISNUMBER(SEARCH("나중에",L948))),"보류(나중에 풀기)",IF(AND(F948="",G948="",H948="",I948=""),"미완료",IF(I948&lt;&gt;"","복습3(마스터)",IF(H948&lt;&gt;"","복습2",IF(G948&lt;&gt;"","복습1",IF(ISNUMBER(SEARCH("제미나이",K948)),"복습대기(AI도움)",IF(ISNUMBER(SEARCH("간당간당",K948)),"복습대기(간당간당)",IF(OR(ISNUMBER(SEARCH("아이디어",K948)),ISNUMBER(SEARCH("시간초과",K948)),ISNUMBER(SEARCH("자료구조",K948)),ISNUMBER(SEARCH("경계값",K948)),ISNUMBER(SEARCH("다른 풀이",K948)),ISNUMBER(SEARCH("또풀기",K948))),"복습대기",IF(OR(ISNUMBER(SEARCH("복습필요없음",K948)),ISNUMBER(SEARCH("자력완벽",K948))),"품(복습불필요)",IF(F948&lt;&gt;"","품","미완료"))))))))))</f>
        <v/>
      </c>
      <c r="K948" s="32" t="inlineStr">
        <is>
          <t>-</t>
        </is>
      </c>
      <c r="L948" s="32" t="n"/>
      <c r="M948" s="28">
        <f>IF(OR(LEFT(J948,2)="보류", LEFT(J948,4)="복습대기", LEFT(J948,3)="복습1", LEFT(J948,3)="복습2"), MAX($M$3:M947)+1, "")</f>
        <v/>
      </c>
      <c r="N948" s="28" t="inlineStr">
        <is>
          <t>W22</t>
        </is>
      </c>
      <c r="O948" s="36" t="n">
        <v>46411</v>
      </c>
      <c r="P948" s="30">
        <f>IF(F948&lt;&gt;"","✅ 완료",IF(O948="","-",IF(TODAY()&gt;O948,"🚨 지연","⏳ 예정")))</f>
        <v/>
      </c>
      <c r="Q948" s="7" t="n"/>
      <c r="R948" s="7" t="n"/>
      <c r="S948" s="7" t="n"/>
      <c r="T948" s="7" t="n"/>
      <c r="U948" s="7" t="n"/>
      <c r="V948" s="7" t="n"/>
      <c r="W948" s="7" t="n"/>
      <c r="X948" s="7" t="n"/>
    </row>
    <row r="949" ht="21.75" customHeight="1" s="209">
      <c r="A949" s="28" t="n">
        <v>946</v>
      </c>
      <c r="B949" s="28" t="inlineStr">
        <is>
          <t>1255</t>
        </is>
      </c>
      <c r="C949" s="30" t="inlineStr">
        <is>
          <t>D7</t>
        </is>
      </c>
      <c r="D949" s="32" t="inlineStr">
        <is>
          <t>5일차 - 전자노트</t>
        </is>
      </c>
      <c r="E949" s="28" t="inlineStr">
        <is>
          <t>최적화 / 고급 알고리즘</t>
        </is>
      </c>
      <c r="F949" s="28" t="n"/>
      <c r="G949" s="28" t="n"/>
      <c r="H949" s="28" t="n"/>
      <c r="I949" s="28" t="n"/>
      <c r="J949" s="54">
        <f>IF(OR(ISNUMBER(SEARCH("보류",K949)),ISNUMBER(SEARCH("미룸",K949)),ISNUMBER(SEARCH("나중에",K949)),ISNUMBER(SEARCH("보류",L949)),ISNUMBER(SEARCH("미룸",L949)),ISNUMBER(SEARCH("나중에",L949))),"보류(나중에 풀기)",IF(AND(F949="",G949="",H949="",I949=""),"미완료",IF(I949&lt;&gt;"","복습3(마스터)",IF(H949&lt;&gt;"","복습2",IF(G949&lt;&gt;"","복습1",IF(ISNUMBER(SEARCH("제미나이",K949)),"복습대기(AI도움)",IF(ISNUMBER(SEARCH("간당간당",K949)),"복습대기(간당간당)",IF(OR(ISNUMBER(SEARCH("아이디어",K949)),ISNUMBER(SEARCH("시간초과",K949)),ISNUMBER(SEARCH("자료구조",K949)),ISNUMBER(SEARCH("경계값",K949)),ISNUMBER(SEARCH("다른 풀이",K949)),ISNUMBER(SEARCH("또풀기",K949))),"복습대기",IF(OR(ISNUMBER(SEARCH("복습필요없음",K949)),ISNUMBER(SEARCH("자력완벽",K949))),"품(복습불필요)",IF(F949&lt;&gt;"","품","미완료"))))))))))</f>
        <v/>
      </c>
      <c r="K949" s="32" t="inlineStr">
        <is>
          <t>-</t>
        </is>
      </c>
      <c r="L949" s="32" t="n"/>
      <c r="M949" s="28">
        <f>IF(OR(LEFT(J949,2)="보류", LEFT(J949,4)="복습대기", LEFT(J949,3)="복습1", LEFT(J949,3)="복습2"), MAX($M$3:M948)+1, "")</f>
        <v/>
      </c>
      <c r="N949" s="28" t="inlineStr">
        <is>
          <t>W22</t>
        </is>
      </c>
      <c r="O949" s="36" t="n">
        <v>46411</v>
      </c>
      <c r="P949" s="30">
        <f>IF(F949&lt;&gt;"","✅ 완료",IF(O949="","-",IF(TODAY()&gt;O949,"🚨 지연","⏳ 예정")))</f>
        <v/>
      </c>
      <c r="Q949" s="7" t="n"/>
      <c r="R949" s="7" t="n"/>
      <c r="S949" s="7" t="n"/>
      <c r="T949" s="7" t="n"/>
      <c r="U949" s="7" t="n"/>
      <c r="V949" s="7" t="n"/>
      <c r="W949" s="7" t="n"/>
      <c r="X949" s="7" t="n"/>
    </row>
    <row r="950" ht="21.75" customHeight="1" s="209">
      <c r="A950" s="28" t="n">
        <v>947</v>
      </c>
      <c r="B950" s="28" t="inlineStr">
        <is>
          <t>1261</t>
        </is>
      </c>
      <c r="C950" s="30" t="inlineStr">
        <is>
          <t>D7</t>
        </is>
      </c>
      <c r="D950" s="32" t="inlineStr">
        <is>
          <t>7일차 - 화학물질3</t>
        </is>
      </c>
      <c r="E950" s="28" t="inlineStr">
        <is>
          <t>최적화 / 고급 알고리즘</t>
        </is>
      </c>
      <c r="F950" s="28" t="n"/>
      <c r="G950" s="28" t="n"/>
      <c r="H950" s="28" t="n"/>
      <c r="I950" s="28" t="n"/>
      <c r="J950" s="54">
        <f>IF(OR(ISNUMBER(SEARCH("보류",K950)),ISNUMBER(SEARCH("미룸",K950)),ISNUMBER(SEARCH("나중에",K950)),ISNUMBER(SEARCH("보류",L950)),ISNUMBER(SEARCH("미룸",L950)),ISNUMBER(SEARCH("나중에",L950))),"보류(나중에 풀기)",IF(AND(F950="",G950="",H950="",I950=""),"미완료",IF(I950&lt;&gt;"","복습3(마스터)",IF(H950&lt;&gt;"","복습2",IF(G950&lt;&gt;"","복습1",IF(ISNUMBER(SEARCH("제미나이",K950)),"복습대기(AI도움)",IF(ISNUMBER(SEARCH("간당간당",K950)),"복습대기(간당간당)",IF(OR(ISNUMBER(SEARCH("아이디어",K950)),ISNUMBER(SEARCH("시간초과",K950)),ISNUMBER(SEARCH("자료구조",K950)),ISNUMBER(SEARCH("경계값",K950)),ISNUMBER(SEARCH("다른 풀이",K950)),ISNUMBER(SEARCH("또풀기",K950))),"복습대기",IF(OR(ISNUMBER(SEARCH("복습필요없음",K950)),ISNUMBER(SEARCH("자력완벽",K950))),"품(복습불필요)",IF(F950&lt;&gt;"","품","미완료"))))))))))</f>
        <v/>
      </c>
      <c r="K950" s="32" t="inlineStr">
        <is>
          <t>-</t>
        </is>
      </c>
      <c r="L950" s="32" t="n"/>
      <c r="M950" s="28">
        <f>IF(OR(LEFT(J950,2)="보류", LEFT(J950,4)="복습대기", LEFT(J950,3)="복습1", LEFT(J950,3)="복습2"), MAX($M$3:M949)+1, "")</f>
        <v/>
      </c>
      <c r="N950" s="28" t="inlineStr">
        <is>
          <t>W22</t>
        </is>
      </c>
      <c r="O950" s="36" t="n">
        <v>46411</v>
      </c>
      <c r="P950" s="30">
        <f>IF(F950&lt;&gt;"","✅ 완료",IF(O950="","-",IF(TODAY()&gt;O950,"🚨 지연","⏳ 예정")))</f>
        <v/>
      </c>
      <c r="Q950" s="7" t="n"/>
      <c r="R950" s="7" t="n"/>
      <c r="S950" s="7" t="n"/>
      <c r="T950" s="7" t="n"/>
      <c r="U950" s="7" t="n"/>
      <c r="V950" s="7" t="n"/>
      <c r="W950" s="7" t="n"/>
      <c r="X950" s="7" t="n"/>
    </row>
    <row r="951" ht="21.75" customHeight="1" s="209">
      <c r="A951" s="28" t="n">
        <v>948</v>
      </c>
      <c r="B951" s="28" t="inlineStr">
        <is>
          <t>1262</t>
        </is>
      </c>
      <c r="C951" s="30" t="inlineStr">
        <is>
          <t>D7</t>
        </is>
      </c>
      <c r="D951" s="32" t="inlineStr">
        <is>
          <t>7일차 - 로봇</t>
        </is>
      </c>
      <c r="E951" s="28" t="inlineStr">
        <is>
          <t>시뮬레이션 / 구현</t>
        </is>
      </c>
      <c r="F951" s="28" t="n"/>
      <c r="G951" s="28" t="n"/>
      <c r="H951" s="28" t="n"/>
      <c r="I951" s="28" t="n"/>
      <c r="J951" s="54">
        <f>IF(OR(ISNUMBER(SEARCH("보류",K951)),ISNUMBER(SEARCH("미룸",K951)),ISNUMBER(SEARCH("나중에",K951)),ISNUMBER(SEARCH("보류",L951)),ISNUMBER(SEARCH("미룸",L951)),ISNUMBER(SEARCH("나중에",L951))),"보류(나중에 풀기)",IF(AND(F951="",G951="",H951="",I951=""),"미완료",IF(I951&lt;&gt;"","복습3(마스터)",IF(H951&lt;&gt;"","복습2",IF(G951&lt;&gt;"","복습1",IF(ISNUMBER(SEARCH("제미나이",K951)),"복습대기(AI도움)",IF(ISNUMBER(SEARCH("간당간당",K951)),"복습대기(간당간당)",IF(OR(ISNUMBER(SEARCH("아이디어",K951)),ISNUMBER(SEARCH("시간초과",K951)),ISNUMBER(SEARCH("자료구조",K951)),ISNUMBER(SEARCH("경계값",K951)),ISNUMBER(SEARCH("다른 풀이",K951)),ISNUMBER(SEARCH("또풀기",K951))),"복습대기",IF(OR(ISNUMBER(SEARCH("복습필요없음",K951)),ISNUMBER(SEARCH("자력완벽",K951))),"품(복습불필요)",IF(F951&lt;&gt;"","품","미완료"))))))))))</f>
        <v/>
      </c>
      <c r="K951" s="32" t="inlineStr">
        <is>
          <t>-</t>
        </is>
      </c>
      <c r="L951" s="32" t="n"/>
      <c r="M951" s="28">
        <f>IF(OR(LEFT(J951,2)="보류", LEFT(J951,4)="복습대기", LEFT(J951,3)="복습1", LEFT(J951,3)="복습2"), MAX($M$3:M950)+1, "")</f>
        <v/>
      </c>
      <c r="N951" s="28" t="inlineStr">
        <is>
          <t>W22</t>
        </is>
      </c>
      <c r="O951" s="36" t="n">
        <v>46411</v>
      </c>
      <c r="P951" s="30">
        <f>IF(F951&lt;&gt;"","✅ 완료",IF(O951="","-",IF(TODAY()&gt;O951,"🚨 지연","⏳ 예정")))</f>
        <v/>
      </c>
      <c r="Q951" s="7" t="n"/>
      <c r="R951" s="7" t="n"/>
      <c r="S951" s="7" t="n"/>
      <c r="T951" s="7" t="n"/>
      <c r="U951" s="7" t="n"/>
      <c r="V951" s="7" t="n"/>
      <c r="W951" s="7" t="n"/>
      <c r="X951" s="7" t="n"/>
    </row>
    <row r="952" ht="21.75" customHeight="1" s="209">
      <c r="A952" s="28" t="n">
        <v>949</v>
      </c>
      <c r="B952" s="28" t="inlineStr">
        <is>
          <t>1269</t>
        </is>
      </c>
      <c r="C952" s="30" t="inlineStr">
        <is>
          <t>D7</t>
        </is>
      </c>
      <c r="D952" s="32" t="inlineStr">
        <is>
          <t>10일차 - 수송로</t>
        </is>
      </c>
      <c r="E952" s="28" t="inlineStr">
        <is>
          <t>최적화 / 고급 알고리즘</t>
        </is>
      </c>
      <c r="F952" s="28" t="n"/>
      <c r="G952" s="28" t="n"/>
      <c r="H952" s="28" t="n"/>
      <c r="I952" s="28" t="n"/>
      <c r="J952" s="54">
        <f>IF(OR(ISNUMBER(SEARCH("보류",K952)),ISNUMBER(SEARCH("미룸",K952)),ISNUMBER(SEARCH("나중에",K952)),ISNUMBER(SEARCH("보류",L952)),ISNUMBER(SEARCH("미룸",L952)),ISNUMBER(SEARCH("나중에",L952))),"보류(나중에 풀기)",IF(AND(F952="",G952="",H952="",I952=""),"미완료",IF(I952&lt;&gt;"","복습3(마스터)",IF(H952&lt;&gt;"","복습2",IF(G952&lt;&gt;"","복습1",IF(ISNUMBER(SEARCH("제미나이",K952)),"복습대기(AI도움)",IF(ISNUMBER(SEARCH("간당간당",K952)),"복습대기(간당간당)",IF(OR(ISNUMBER(SEARCH("아이디어",K952)),ISNUMBER(SEARCH("시간초과",K952)),ISNUMBER(SEARCH("자료구조",K952)),ISNUMBER(SEARCH("경계값",K952)),ISNUMBER(SEARCH("다른 풀이",K952)),ISNUMBER(SEARCH("또풀기",K952))),"복습대기",IF(OR(ISNUMBER(SEARCH("복습필요없음",K952)),ISNUMBER(SEARCH("자력완벽",K952))),"품(복습불필요)",IF(F952&lt;&gt;"","품","미완료"))))))))))</f>
        <v/>
      </c>
      <c r="K952" s="32" t="inlineStr">
        <is>
          <t>-</t>
        </is>
      </c>
      <c r="L952" s="32" t="n"/>
      <c r="M952" s="28">
        <f>IF(OR(LEFT(J952,2)="보류", LEFT(J952,4)="복습대기", LEFT(J952,3)="복습1", LEFT(J952,3)="복습2"), MAX($M$3:M951)+1, "")</f>
        <v/>
      </c>
      <c r="N952" s="28" t="inlineStr">
        <is>
          <t>W22</t>
        </is>
      </c>
      <c r="O952" s="36" t="n">
        <v>46411</v>
      </c>
      <c r="P952" s="30">
        <f>IF(F952&lt;&gt;"","✅ 완료",IF(O952="","-",IF(TODAY()&gt;O952,"🚨 지연","⏳ 예정")))</f>
        <v/>
      </c>
      <c r="Q952" s="7" t="n"/>
      <c r="R952" s="7" t="n"/>
      <c r="S952" s="7" t="n"/>
      <c r="T952" s="7" t="n"/>
      <c r="U952" s="7" t="n"/>
      <c r="V952" s="7" t="n"/>
      <c r="W952" s="7" t="n"/>
      <c r="X952" s="7" t="n"/>
    </row>
    <row r="953" ht="21.75" customHeight="1" s="209">
      <c r="A953" s="28" t="n">
        <v>950</v>
      </c>
      <c r="B953" s="28" t="inlineStr">
        <is>
          <t>1270</t>
        </is>
      </c>
      <c r="C953" s="30" t="inlineStr">
        <is>
          <t>D7</t>
        </is>
      </c>
      <c r="D953" s="32" t="inlineStr">
        <is>
          <t>10일차 - 철도망</t>
        </is>
      </c>
      <c r="E953" s="28" t="inlineStr">
        <is>
          <t>최적화 / 고급 알고리즘</t>
        </is>
      </c>
      <c r="F953" s="28" t="n"/>
      <c r="G953" s="28" t="n"/>
      <c r="H953" s="28" t="n"/>
      <c r="I953" s="28" t="n"/>
      <c r="J953" s="54">
        <f>IF(OR(ISNUMBER(SEARCH("보류",K953)),ISNUMBER(SEARCH("미룸",K953)),ISNUMBER(SEARCH("나중에",K953)),ISNUMBER(SEARCH("보류",L953)),ISNUMBER(SEARCH("미룸",L953)),ISNUMBER(SEARCH("나중에",L953))),"보류(나중에 풀기)",IF(AND(F953="",G953="",H953="",I953=""),"미완료",IF(I953&lt;&gt;"","복습3(마스터)",IF(H953&lt;&gt;"","복습2",IF(G953&lt;&gt;"","복습1",IF(ISNUMBER(SEARCH("제미나이",K953)),"복습대기(AI도움)",IF(ISNUMBER(SEARCH("간당간당",K953)),"복습대기(간당간당)",IF(OR(ISNUMBER(SEARCH("아이디어",K953)),ISNUMBER(SEARCH("시간초과",K953)),ISNUMBER(SEARCH("자료구조",K953)),ISNUMBER(SEARCH("경계값",K953)),ISNUMBER(SEARCH("다른 풀이",K953)),ISNUMBER(SEARCH("또풀기",K953))),"복습대기",IF(OR(ISNUMBER(SEARCH("복습필요없음",K953)),ISNUMBER(SEARCH("자력완벽",K953))),"품(복습불필요)",IF(F953&lt;&gt;"","품","미완료"))))))))))</f>
        <v/>
      </c>
      <c r="K953" s="32" t="inlineStr">
        <is>
          <t>-</t>
        </is>
      </c>
      <c r="L953" s="32" t="n"/>
      <c r="M953" s="28">
        <f>IF(OR(LEFT(J953,2)="보류", LEFT(J953,4)="복습대기", LEFT(J953,3)="복습1", LEFT(J953,3)="복습2"), MAX($M$3:M952)+1, "")</f>
        <v/>
      </c>
      <c r="N953" s="28" t="inlineStr">
        <is>
          <t>W23</t>
        </is>
      </c>
      <c r="O953" s="36" t="n">
        <v>46412</v>
      </c>
      <c r="P953" s="30">
        <f>IF(F953&lt;&gt;"","✅ 완료",IF(O953="","-",IF(TODAY()&gt;O953,"🚨 지연","⏳ 예정")))</f>
        <v/>
      </c>
      <c r="Q953" s="7" t="n"/>
      <c r="R953" s="7" t="n"/>
      <c r="S953" s="7" t="n"/>
      <c r="T953" s="7" t="n"/>
      <c r="U953" s="7" t="n"/>
      <c r="V953" s="7" t="n"/>
      <c r="W953" s="7" t="n"/>
      <c r="X953" s="7" t="n"/>
    </row>
    <row r="954" ht="21.75" customHeight="1" s="209">
      <c r="A954" s="28" t="n">
        <v>951</v>
      </c>
      <c r="B954" s="28" t="inlineStr">
        <is>
          <t>1850</t>
        </is>
      </c>
      <c r="C954" s="30" t="inlineStr">
        <is>
          <t>D7</t>
        </is>
      </c>
      <c r="D954" s="32" t="inlineStr">
        <is>
          <t>영준이의 생일선물</t>
        </is>
      </c>
      <c r="E954" s="28" t="inlineStr">
        <is>
          <t>최적화 / 고급 알고리즘</t>
        </is>
      </c>
      <c r="F954" s="28" t="n"/>
      <c r="G954" s="28" t="n"/>
      <c r="H954" s="28" t="n"/>
      <c r="I954" s="28" t="n"/>
      <c r="J954" s="54">
        <f>IF(OR(ISNUMBER(SEARCH("보류",K954)),ISNUMBER(SEARCH("미룸",K954)),ISNUMBER(SEARCH("나중에",K954)),ISNUMBER(SEARCH("보류",L954)),ISNUMBER(SEARCH("미룸",L954)),ISNUMBER(SEARCH("나중에",L954))),"보류(나중에 풀기)",IF(AND(F954="",G954="",H954="",I954=""),"미완료",IF(I954&lt;&gt;"","복습3(마스터)",IF(H954&lt;&gt;"","복습2",IF(G954&lt;&gt;"","복습1",IF(ISNUMBER(SEARCH("제미나이",K954)),"복습대기(AI도움)",IF(ISNUMBER(SEARCH("간당간당",K954)),"복습대기(간당간당)",IF(OR(ISNUMBER(SEARCH("아이디어",K954)),ISNUMBER(SEARCH("시간초과",K954)),ISNUMBER(SEARCH("자료구조",K954)),ISNUMBER(SEARCH("경계값",K954)),ISNUMBER(SEARCH("다른 풀이",K954)),ISNUMBER(SEARCH("또풀기",K954))),"복습대기",IF(OR(ISNUMBER(SEARCH("복습필요없음",K954)),ISNUMBER(SEARCH("자력완벽",K954))),"품(복습불필요)",IF(F954&lt;&gt;"","품","미완료"))))))))))</f>
        <v/>
      </c>
      <c r="K954" s="32" t="inlineStr">
        <is>
          <t>-</t>
        </is>
      </c>
      <c r="L954" s="32" t="n"/>
      <c r="M954" s="28">
        <f>IF(OR(LEFT(J954,2)="보류", LEFT(J954,4)="복습대기", LEFT(J954,3)="복습1", LEFT(J954,3)="복습2"), MAX($M$3:M953)+1, "")</f>
        <v/>
      </c>
      <c r="N954" s="28" t="inlineStr">
        <is>
          <t>W23</t>
        </is>
      </c>
      <c r="O954" s="36" t="n">
        <v>46412</v>
      </c>
      <c r="P954" s="30">
        <f>IF(F954&lt;&gt;"","✅ 완료",IF(O954="","-",IF(TODAY()&gt;O954,"🚨 지연","⏳ 예정")))</f>
        <v/>
      </c>
      <c r="Q954" s="7" t="n"/>
      <c r="R954" s="7" t="n"/>
      <c r="S954" s="7" t="n"/>
      <c r="T954" s="7" t="n"/>
      <c r="U954" s="7" t="n"/>
      <c r="V954" s="7" t="n"/>
      <c r="W954" s="7" t="n"/>
      <c r="X954" s="7" t="n"/>
    </row>
    <row r="955" ht="21.75" customHeight="1" s="209">
      <c r="A955" s="28" t="n">
        <v>952</v>
      </c>
      <c r="B955" s="28" t="inlineStr">
        <is>
          <t>1909</t>
        </is>
      </c>
      <c r="C955" s="30" t="inlineStr">
        <is>
          <t>D7</t>
        </is>
      </c>
      <c r="D955" s="32" t="inlineStr">
        <is>
          <t>삼성 왕국의 무도회</t>
        </is>
      </c>
      <c r="E955" s="28" t="inlineStr">
        <is>
          <t>최적화 / 고급 알고리즘</t>
        </is>
      </c>
      <c r="F955" s="28" t="n"/>
      <c r="G955" s="28" t="n"/>
      <c r="H955" s="28" t="n"/>
      <c r="I955" s="28" t="n"/>
      <c r="J955" s="54">
        <f>IF(OR(ISNUMBER(SEARCH("보류",K955)),ISNUMBER(SEARCH("미룸",K955)),ISNUMBER(SEARCH("나중에",K955)),ISNUMBER(SEARCH("보류",L955)),ISNUMBER(SEARCH("미룸",L955)),ISNUMBER(SEARCH("나중에",L955))),"보류(나중에 풀기)",IF(AND(F955="",G955="",H955="",I955=""),"미완료",IF(I955&lt;&gt;"","복습3(마스터)",IF(H955&lt;&gt;"","복습2",IF(G955&lt;&gt;"","복습1",IF(ISNUMBER(SEARCH("제미나이",K955)),"복습대기(AI도움)",IF(ISNUMBER(SEARCH("간당간당",K955)),"복습대기(간당간당)",IF(OR(ISNUMBER(SEARCH("아이디어",K955)),ISNUMBER(SEARCH("시간초과",K955)),ISNUMBER(SEARCH("자료구조",K955)),ISNUMBER(SEARCH("경계값",K955)),ISNUMBER(SEARCH("다른 풀이",K955)),ISNUMBER(SEARCH("또풀기",K955))),"복습대기",IF(OR(ISNUMBER(SEARCH("복습필요없음",K955)),ISNUMBER(SEARCH("자력완벽",K955))),"품(복습불필요)",IF(F955&lt;&gt;"","품","미완료"))))))))))</f>
        <v/>
      </c>
      <c r="K955" s="32" t="inlineStr">
        <is>
          <t>-</t>
        </is>
      </c>
      <c r="L955" s="32" t="n"/>
      <c r="M955" s="28">
        <f>IF(OR(LEFT(J955,2)="보류", LEFT(J955,4)="복습대기", LEFT(J955,3)="복습1", LEFT(J955,3)="복습2"), MAX($M$3:M954)+1, "")</f>
        <v/>
      </c>
      <c r="N955" s="28" t="inlineStr">
        <is>
          <t>W23</t>
        </is>
      </c>
      <c r="O955" s="36" t="n">
        <v>46412</v>
      </c>
      <c r="P955" s="30">
        <f>IF(F955&lt;&gt;"","✅ 완료",IF(O955="","-",IF(TODAY()&gt;O955,"🚨 지연","⏳ 예정")))</f>
        <v/>
      </c>
      <c r="Q955" s="7" t="n"/>
      <c r="R955" s="7" t="n"/>
      <c r="S955" s="7" t="n"/>
      <c r="T955" s="7" t="n"/>
      <c r="U955" s="7" t="n"/>
      <c r="V955" s="7" t="n"/>
      <c r="W955" s="7" t="n"/>
      <c r="X955" s="7" t="n"/>
    </row>
    <row r="956" ht="21.75" customHeight="1" s="209">
      <c r="A956" s="28" t="n">
        <v>953</v>
      </c>
      <c r="B956" s="28" t="inlineStr">
        <is>
          <t>1912</t>
        </is>
      </c>
      <c r="C956" s="30" t="inlineStr">
        <is>
          <t>D7</t>
        </is>
      </c>
      <c r="D956" s="32" t="inlineStr">
        <is>
          <t>경찰과 도둑 세계대회</t>
        </is>
      </c>
      <c r="E956" s="28" t="inlineStr">
        <is>
          <t>최적화 / 고급 알고리즘</t>
        </is>
      </c>
      <c r="F956" s="28" t="n"/>
      <c r="G956" s="28" t="n"/>
      <c r="H956" s="28" t="n"/>
      <c r="I956" s="28" t="n"/>
      <c r="J956" s="54">
        <f>IF(OR(ISNUMBER(SEARCH("보류",K956)),ISNUMBER(SEARCH("미룸",K956)),ISNUMBER(SEARCH("나중에",K956)),ISNUMBER(SEARCH("보류",L956)),ISNUMBER(SEARCH("미룸",L956)),ISNUMBER(SEARCH("나중에",L956))),"보류(나중에 풀기)",IF(AND(F956="",G956="",H956="",I956=""),"미완료",IF(I956&lt;&gt;"","복습3(마스터)",IF(H956&lt;&gt;"","복습2",IF(G956&lt;&gt;"","복습1",IF(ISNUMBER(SEARCH("제미나이",K956)),"복습대기(AI도움)",IF(ISNUMBER(SEARCH("간당간당",K956)),"복습대기(간당간당)",IF(OR(ISNUMBER(SEARCH("아이디어",K956)),ISNUMBER(SEARCH("시간초과",K956)),ISNUMBER(SEARCH("자료구조",K956)),ISNUMBER(SEARCH("경계값",K956)),ISNUMBER(SEARCH("다른 풀이",K956)),ISNUMBER(SEARCH("또풀기",K956))),"복습대기",IF(OR(ISNUMBER(SEARCH("복습필요없음",K956)),ISNUMBER(SEARCH("자력완벽",K956))),"품(복습불필요)",IF(F956&lt;&gt;"","품","미완료"))))))))))</f>
        <v/>
      </c>
      <c r="K956" s="32" t="inlineStr">
        <is>
          <t>-</t>
        </is>
      </c>
      <c r="L956" s="32" t="n"/>
      <c r="M956" s="28">
        <f>IF(OR(LEFT(J956,2)="보류", LEFT(J956,4)="복습대기", LEFT(J956,3)="복습1", LEFT(J956,3)="복습2"), MAX($M$3:M955)+1, "")</f>
        <v/>
      </c>
      <c r="N956" s="28" t="inlineStr">
        <is>
          <t>W23</t>
        </is>
      </c>
      <c r="O956" s="36" t="n">
        <v>46412</v>
      </c>
      <c r="P956" s="30">
        <f>IF(F956&lt;&gt;"","✅ 완료",IF(O956="","-",IF(TODAY()&gt;O956,"🚨 지연","⏳ 예정")))</f>
        <v/>
      </c>
      <c r="Q956" s="7" t="n"/>
      <c r="R956" s="7" t="n"/>
      <c r="S956" s="7" t="n"/>
      <c r="T956" s="7" t="n"/>
      <c r="U956" s="7" t="n"/>
      <c r="V956" s="7" t="n"/>
      <c r="W956" s="7" t="n"/>
      <c r="X956" s="7" t="n"/>
    </row>
    <row r="957" ht="21.75" customHeight="1" s="209">
      <c r="A957" s="28" t="n">
        <v>954</v>
      </c>
      <c r="B957" s="28" t="inlineStr">
        <is>
          <t>1913</t>
        </is>
      </c>
      <c r="C957" s="30" t="inlineStr">
        <is>
          <t>D7</t>
        </is>
      </c>
      <c r="D957" s="32" t="inlineStr">
        <is>
          <t>고대의 석판 해석하기</t>
        </is>
      </c>
      <c r="E957" s="28" t="inlineStr">
        <is>
          <t>최적화 / 고급 알고리즘</t>
        </is>
      </c>
      <c r="F957" s="28" t="n"/>
      <c r="G957" s="28" t="n"/>
      <c r="H957" s="28" t="n"/>
      <c r="I957" s="28" t="n"/>
      <c r="J957" s="54">
        <f>IF(OR(ISNUMBER(SEARCH("보류",K957)),ISNUMBER(SEARCH("미룸",K957)),ISNUMBER(SEARCH("나중에",K957)),ISNUMBER(SEARCH("보류",L957)),ISNUMBER(SEARCH("미룸",L957)),ISNUMBER(SEARCH("나중에",L957))),"보류(나중에 풀기)",IF(AND(F957="",G957="",H957="",I957=""),"미완료",IF(I957&lt;&gt;"","복습3(마스터)",IF(H957&lt;&gt;"","복습2",IF(G957&lt;&gt;"","복습1",IF(ISNUMBER(SEARCH("제미나이",K957)),"복습대기(AI도움)",IF(ISNUMBER(SEARCH("간당간당",K957)),"복습대기(간당간당)",IF(OR(ISNUMBER(SEARCH("아이디어",K957)),ISNUMBER(SEARCH("시간초과",K957)),ISNUMBER(SEARCH("자료구조",K957)),ISNUMBER(SEARCH("경계값",K957)),ISNUMBER(SEARCH("다른 풀이",K957)),ISNUMBER(SEARCH("또풀기",K957))),"복습대기",IF(OR(ISNUMBER(SEARCH("복습필요없음",K957)),ISNUMBER(SEARCH("자력완벽",K957))),"품(복습불필요)",IF(F957&lt;&gt;"","품","미완료"))))))))))</f>
        <v/>
      </c>
      <c r="K957" s="32" t="inlineStr">
        <is>
          <t>-</t>
        </is>
      </c>
      <c r="L957" s="32" t="n"/>
      <c r="M957" s="28">
        <f>IF(OR(LEFT(J957,2)="보류", LEFT(J957,4)="복습대기", LEFT(J957,3)="복습1", LEFT(J957,3)="복습2"), MAX($M$3:M956)+1, "")</f>
        <v/>
      </c>
      <c r="N957" s="28" t="inlineStr">
        <is>
          <t>W23</t>
        </is>
      </c>
      <c r="O957" s="36" t="n">
        <v>46412</v>
      </c>
      <c r="P957" s="30">
        <f>IF(F957&lt;&gt;"","✅ 완료",IF(O957="","-",IF(TODAY()&gt;O957,"🚨 지연","⏳ 예정")))</f>
        <v/>
      </c>
      <c r="Q957" s="7" t="n"/>
      <c r="R957" s="7" t="n"/>
      <c r="S957" s="7" t="n"/>
      <c r="T957" s="7" t="n"/>
      <c r="U957" s="7" t="n"/>
      <c r="V957" s="7" t="n"/>
      <c r="W957" s="7" t="n"/>
      <c r="X957" s="7" t="n"/>
    </row>
    <row r="958" ht="21.75" customHeight="1" s="209">
      <c r="A958" s="28" t="n">
        <v>955</v>
      </c>
      <c r="B958" s="28" t="inlineStr">
        <is>
          <t>3082</t>
        </is>
      </c>
      <c r="C958" s="30" t="inlineStr">
        <is>
          <t>D7</t>
        </is>
      </c>
      <c r="D958" s="32" t="inlineStr">
        <is>
          <t>화면 보호기</t>
        </is>
      </c>
      <c r="E958" s="28" t="inlineStr">
        <is>
          <t>최적화 / 고급 알고리즘</t>
        </is>
      </c>
      <c r="F958" s="28" t="n"/>
      <c r="G958" s="28" t="n"/>
      <c r="H958" s="28" t="n"/>
      <c r="I958" s="28" t="n"/>
      <c r="J958" s="54">
        <f>IF(OR(ISNUMBER(SEARCH("보류",K958)),ISNUMBER(SEARCH("미룸",K958)),ISNUMBER(SEARCH("나중에",K958)),ISNUMBER(SEARCH("보류",L958)),ISNUMBER(SEARCH("미룸",L958)),ISNUMBER(SEARCH("나중에",L958))),"보류(나중에 풀기)",IF(AND(F958="",G958="",H958="",I958=""),"미완료",IF(I958&lt;&gt;"","복습3(마스터)",IF(H958&lt;&gt;"","복습2",IF(G958&lt;&gt;"","복습1",IF(ISNUMBER(SEARCH("제미나이",K958)),"복습대기(AI도움)",IF(ISNUMBER(SEARCH("간당간당",K958)),"복습대기(간당간당)",IF(OR(ISNUMBER(SEARCH("아이디어",K958)),ISNUMBER(SEARCH("시간초과",K958)),ISNUMBER(SEARCH("자료구조",K958)),ISNUMBER(SEARCH("경계값",K958)),ISNUMBER(SEARCH("다른 풀이",K958)),ISNUMBER(SEARCH("또풀기",K958))),"복습대기",IF(OR(ISNUMBER(SEARCH("복습필요없음",K958)),ISNUMBER(SEARCH("자력완벽",K958))),"품(복습불필요)",IF(F958&lt;&gt;"","품","미완료"))))))))))</f>
        <v/>
      </c>
      <c r="K958" s="32" t="inlineStr">
        <is>
          <t>-</t>
        </is>
      </c>
      <c r="L958" s="32" t="n"/>
      <c r="M958" s="28">
        <f>IF(OR(LEFT(J958,2)="보류", LEFT(J958,4)="복습대기", LEFT(J958,3)="복습1", LEFT(J958,3)="복습2"), MAX($M$3:M957)+1, "")</f>
        <v/>
      </c>
      <c r="N958" s="28" t="inlineStr">
        <is>
          <t>W23</t>
        </is>
      </c>
      <c r="O958" s="36" t="n">
        <v>46412</v>
      </c>
      <c r="P958" s="30">
        <f>IF(F958&lt;&gt;"","✅ 완료",IF(O958="","-",IF(TODAY()&gt;O958,"🚨 지연","⏳ 예정")))</f>
        <v/>
      </c>
      <c r="Q958" s="7" t="n"/>
      <c r="R958" s="7" t="n"/>
      <c r="S958" s="7" t="n"/>
      <c r="T958" s="7" t="n"/>
      <c r="U958" s="7" t="n"/>
      <c r="V958" s="7" t="n"/>
      <c r="W958" s="7" t="n"/>
      <c r="X958" s="7" t="n"/>
    </row>
    <row r="959" ht="21.75" customHeight="1" s="209">
      <c r="A959" s="28" t="n">
        <v>956</v>
      </c>
      <c r="B959" s="28" t="inlineStr">
        <is>
          <t>3083</t>
        </is>
      </c>
      <c r="C959" s="30" t="inlineStr">
        <is>
          <t>D7</t>
        </is>
      </c>
      <c r="D959" s="32" t="inlineStr">
        <is>
          <t>정욱이의 순열 복원</t>
        </is>
      </c>
      <c r="E959" s="28" t="inlineStr">
        <is>
          <t>DFS / 백트래킹</t>
        </is>
      </c>
      <c r="F959" s="28" t="n"/>
      <c r="G959" s="28" t="n"/>
      <c r="H959" s="28" t="n"/>
      <c r="I959" s="28" t="n"/>
      <c r="J959" s="54">
        <f>IF(OR(ISNUMBER(SEARCH("보류",K959)),ISNUMBER(SEARCH("미룸",K959)),ISNUMBER(SEARCH("나중에",K959)),ISNUMBER(SEARCH("보류",L959)),ISNUMBER(SEARCH("미룸",L959)),ISNUMBER(SEARCH("나중에",L959))),"보류(나중에 풀기)",IF(AND(F959="",G959="",H959="",I959=""),"미완료",IF(I959&lt;&gt;"","복습3(마스터)",IF(H959&lt;&gt;"","복습2",IF(G959&lt;&gt;"","복습1",IF(ISNUMBER(SEARCH("제미나이",K959)),"복습대기(AI도움)",IF(ISNUMBER(SEARCH("간당간당",K959)),"복습대기(간당간당)",IF(OR(ISNUMBER(SEARCH("아이디어",K959)),ISNUMBER(SEARCH("시간초과",K959)),ISNUMBER(SEARCH("자료구조",K959)),ISNUMBER(SEARCH("경계값",K959)),ISNUMBER(SEARCH("다른 풀이",K959)),ISNUMBER(SEARCH("또풀기",K959))),"복습대기",IF(OR(ISNUMBER(SEARCH("복습필요없음",K959)),ISNUMBER(SEARCH("자력완벽",K959))),"품(복습불필요)",IF(F959&lt;&gt;"","품","미완료"))))))))))</f>
        <v/>
      </c>
      <c r="K959" s="32" t="inlineStr">
        <is>
          <t>-</t>
        </is>
      </c>
      <c r="L959" s="32" t="n"/>
      <c r="M959" s="28">
        <f>IF(OR(LEFT(J959,2)="보류", LEFT(J959,4)="복습대기", LEFT(J959,3)="복습1", LEFT(J959,3)="복습2"), MAX($M$3:M958)+1, "")</f>
        <v/>
      </c>
      <c r="N959" s="28" t="inlineStr">
        <is>
          <t>W23</t>
        </is>
      </c>
      <c r="O959" s="36" t="n">
        <v>46412</v>
      </c>
      <c r="P959" s="30">
        <f>IF(F959&lt;&gt;"","✅ 완료",IF(O959="","-",IF(TODAY()&gt;O959,"🚨 지연","⏳ 예정")))</f>
        <v/>
      </c>
      <c r="Q959" s="7" t="n"/>
      <c r="R959" s="7" t="n"/>
      <c r="S959" s="7" t="n"/>
      <c r="T959" s="7" t="n"/>
      <c r="U959" s="7" t="n"/>
      <c r="V959" s="7" t="n"/>
      <c r="W959" s="7" t="n"/>
      <c r="X959" s="7" t="n"/>
    </row>
    <row r="960" ht="21.75" customHeight="1" s="209">
      <c r="A960" s="28" t="n">
        <v>957</v>
      </c>
      <c r="B960" s="28" t="inlineStr">
        <is>
          <t>3145</t>
        </is>
      </c>
      <c r="C960" s="30" t="inlineStr">
        <is>
          <t>D7</t>
        </is>
      </c>
      <c r="D960" s="32" t="inlineStr">
        <is>
          <t>동현이의 방 나누기</t>
        </is>
      </c>
      <c r="E960" s="28" t="inlineStr">
        <is>
          <t>최적화 / 고급 알고리즘</t>
        </is>
      </c>
      <c r="F960" s="28" t="n"/>
      <c r="G960" s="28" t="n"/>
      <c r="H960" s="28" t="n"/>
      <c r="I960" s="28" t="n"/>
      <c r="J960" s="54">
        <f>IF(OR(ISNUMBER(SEARCH("보류",K960)),ISNUMBER(SEARCH("미룸",K960)),ISNUMBER(SEARCH("나중에",K960)),ISNUMBER(SEARCH("보류",L960)),ISNUMBER(SEARCH("미룸",L960)),ISNUMBER(SEARCH("나중에",L960))),"보류(나중에 풀기)",IF(AND(F960="",G960="",H960="",I960=""),"미완료",IF(I960&lt;&gt;"","복습3(마스터)",IF(H960&lt;&gt;"","복습2",IF(G960&lt;&gt;"","복습1",IF(ISNUMBER(SEARCH("제미나이",K960)),"복습대기(AI도움)",IF(ISNUMBER(SEARCH("간당간당",K960)),"복습대기(간당간당)",IF(OR(ISNUMBER(SEARCH("아이디어",K960)),ISNUMBER(SEARCH("시간초과",K960)),ISNUMBER(SEARCH("자료구조",K960)),ISNUMBER(SEARCH("경계값",K960)),ISNUMBER(SEARCH("다른 풀이",K960)),ISNUMBER(SEARCH("또풀기",K960))),"복습대기",IF(OR(ISNUMBER(SEARCH("복습필요없음",K960)),ISNUMBER(SEARCH("자력완벽",K960))),"품(복습불필요)",IF(F960&lt;&gt;"","품","미완료"))))))))))</f>
        <v/>
      </c>
      <c r="K960" s="32" t="inlineStr">
        <is>
          <t>-</t>
        </is>
      </c>
      <c r="L960" s="32" t="n"/>
      <c r="M960" s="28">
        <f>IF(OR(LEFT(J960,2)="보류", LEFT(J960,4)="복습대기", LEFT(J960,3)="복습1", LEFT(J960,3)="복습2"), MAX($M$3:M959)+1, "")</f>
        <v/>
      </c>
      <c r="N960" s="28" t="inlineStr">
        <is>
          <t>W23</t>
        </is>
      </c>
      <c r="O960" s="36" t="n">
        <v>46413</v>
      </c>
      <c r="P960" s="30">
        <f>IF(F960&lt;&gt;"","✅ 완료",IF(O960="","-",IF(TODAY()&gt;O960,"🚨 지연","⏳ 예정")))</f>
        <v/>
      </c>
      <c r="Q960" s="7" t="n"/>
      <c r="R960" s="7" t="n"/>
      <c r="S960" s="7" t="n"/>
      <c r="T960" s="7" t="n"/>
      <c r="U960" s="7" t="n"/>
      <c r="V960" s="7" t="n"/>
      <c r="W960" s="7" t="n"/>
      <c r="X960" s="7" t="n"/>
    </row>
    <row r="961" ht="21.75" customHeight="1" s="209">
      <c r="A961" s="28" t="n">
        <v>958</v>
      </c>
      <c r="B961" s="28" t="inlineStr">
        <is>
          <t>3146</t>
        </is>
      </c>
      <c r="C961" s="30" t="inlineStr">
        <is>
          <t>D7</t>
        </is>
      </c>
      <c r="D961" s="32" t="inlineStr">
        <is>
          <t>소설가의 파일 합치기</t>
        </is>
      </c>
      <c r="E961" s="28" t="inlineStr">
        <is>
          <t>수학 / 정수론</t>
        </is>
      </c>
      <c r="F961" s="28" t="n"/>
      <c r="G961" s="28" t="n"/>
      <c r="H961" s="28" t="n"/>
      <c r="I961" s="28" t="n"/>
      <c r="J961" s="54">
        <f>IF(OR(ISNUMBER(SEARCH("보류",K961)),ISNUMBER(SEARCH("미룸",K961)),ISNUMBER(SEARCH("나중에",K961)),ISNUMBER(SEARCH("보류",L961)),ISNUMBER(SEARCH("미룸",L961)),ISNUMBER(SEARCH("나중에",L961))),"보류(나중에 풀기)",IF(AND(F961="",G961="",H961="",I961=""),"미완료",IF(I961&lt;&gt;"","복습3(마스터)",IF(H961&lt;&gt;"","복습2",IF(G961&lt;&gt;"","복습1",IF(ISNUMBER(SEARCH("제미나이",K961)),"복습대기(AI도움)",IF(ISNUMBER(SEARCH("간당간당",K961)),"복습대기(간당간당)",IF(OR(ISNUMBER(SEARCH("아이디어",K961)),ISNUMBER(SEARCH("시간초과",K961)),ISNUMBER(SEARCH("자료구조",K961)),ISNUMBER(SEARCH("경계값",K961)),ISNUMBER(SEARCH("다른 풀이",K961)),ISNUMBER(SEARCH("또풀기",K961))),"복습대기",IF(OR(ISNUMBER(SEARCH("복습필요없음",K961)),ISNUMBER(SEARCH("자력완벽",K961))),"품(복습불필요)",IF(F961&lt;&gt;"","품","미완료"))))))))))</f>
        <v/>
      </c>
      <c r="K961" s="32" t="inlineStr">
        <is>
          <t>-</t>
        </is>
      </c>
      <c r="L961" s="32" t="n"/>
      <c r="M961" s="28">
        <f>IF(OR(LEFT(J961,2)="보류", LEFT(J961,4)="복습대기", LEFT(J961,3)="복습1", LEFT(J961,3)="복습2"), MAX($M$3:M960)+1, "")</f>
        <v/>
      </c>
      <c r="N961" s="28" t="inlineStr">
        <is>
          <t>W23</t>
        </is>
      </c>
      <c r="O961" s="36" t="n">
        <v>46413</v>
      </c>
      <c r="P961" s="30">
        <f>IF(F961&lt;&gt;"","✅ 완료",IF(O961="","-",IF(TODAY()&gt;O961,"🚨 지연","⏳ 예정")))</f>
        <v/>
      </c>
      <c r="Q961" s="7" t="n"/>
      <c r="R961" s="7" t="n"/>
      <c r="S961" s="7" t="n"/>
      <c r="T961" s="7" t="n"/>
      <c r="U961" s="7" t="n"/>
      <c r="V961" s="7" t="n"/>
      <c r="W961" s="7" t="n"/>
      <c r="X961" s="7" t="n"/>
    </row>
    <row r="962" ht="21.75" customHeight="1" s="209">
      <c r="A962" s="28" t="n">
        <v>959</v>
      </c>
      <c r="B962" s="28" t="inlineStr">
        <is>
          <t>3266</t>
        </is>
      </c>
      <c r="C962" s="30" t="inlineStr">
        <is>
          <t>D7</t>
        </is>
      </c>
      <c r="D962" s="32" t="inlineStr">
        <is>
          <t>동한이의 수열 복원</t>
        </is>
      </c>
      <c r="E962" s="28" t="inlineStr">
        <is>
          <t>동적계획법 (DP)</t>
        </is>
      </c>
      <c r="F962" s="28" t="n"/>
      <c r="G962" s="28" t="n"/>
      <c r="H962" s="28" t="n"/>
      <c r="I962" s="28" t="n"/>
      <c r="J962" s="54">
        <f>IF(OR(ISNUMBER(SEARCH("보류",K962)),ISNUMBER(SEARCH("미룸",K962)),ISNUMBER(SEARCH("나중에",K962)),ISNUMBER(SEARCH("보류",L962)),ISNUMBER(SEARCH("미룸",L962)),ISNUMBER(SEARCH("나중에",L962))),"보류(나중에 풀기)",IF(AND(F962="",G962="",H962="",I962=""),"미완료",IF(I962&lt;&gt;"","복습3(마스터)",IF(H962&lt;&gt;"","복습2",IF(G962&lt;&gt;"","복습1",IF(ISNUMBER(SEARCH("제미나이",K962)),"복습대기(AI도움)",IF(ISNUMBER(SEARCH("간당간당",K962)),"복습대기(간당간당)",IF(OR(ISNUMBER(SEARCH("아이디어",K962)),ISNUMBER(SEARCH("시간초과",K962)),ISNUMBER(SEARCH("자료구조",K962)),ISNUMBER(SEARCH("경계값",K962)),ISNUMBER(SEARCH("다른 풀이",K962)),ISNUMBER(SEARCH("또풀기",K962))),"복습대기",IF(OR(ISNUMBER(SEARCH("복습필요없음",K962)),ISNUMBER(SEARCH("자력완벽",K962))),"품(복습불필요)",IF(F962&lt;&gt;"","품","미완료"))))))))))</f>
        <v/>
      </c>
      <c r="K962" s="32" t="inlineStr">
        <is>
          <t>-</t>
        </is>
      </c>
      <c r="L962" s="32" t="n"/>
      <c r="M962" s="28">
        <f>IF(OR(LEFT(J962,2)="보류", LEFT(J962,4)="복습대기", LEFT(J962,3)="복습1", LEFT(J962,3)="복습2"), MAX($M$3:M961)+1, "")</f>
        <v/>
      </c>
      <c r="N962" s="28" t="inlineStr">
        <is>
          <t>W23</t>
        </is>
      </c>
      <c r="O962" s="36" t="n">
        <v>46413</v>
      </c>
      <c r="P962" s="30">
        <f>IF(F962&lt;&gt;"","✅ 완료",IF(O962="","-",IF(TODAY()&gt;O962,"🚨 지연","⏳ 예정")))</f>
        <v/>
      </c>
      <c r="Q962" s="7" t="n"/>
      <c r="R962" s="7" t="n"/>
      <c r="S962" s="7" t="n"/>
      <c r="T962" s="7" t="n"/>
      <c r="U962" s="7" t="n"/>
      <c r="V962" s="7" t="n"/>
      <c r="W962" s="7" t="n"/>
      <c r="X962" s="7" t="n"/>
    </row>
    <row r="963" ht="21.75" customHeight="1" s="209">
      <c r="A963" s="28" t="n">
        <v>960</v>
      </c>
      <c r="B963" s="28" t="inlineStr">
        <is>
          <t>3321</t>
        </is>
      </c>
      <c r="C963" s="30" t="inlineStr">
        <is>
          <t>D7</t>
        </is>
      </c>
      <c r="D963" s="32" t="inlineStr">
        <is>
          <t>라이브 공연 기획</t>
        </is>
      </c>
      <c r="E963" s="28" t="inlineStr">
        <is>
          <t>최적화 / 고급 알고리즘</t>
        </is>
      </c>
      <c r="F963" s="28" t="n"/>
      <c r="G963" s="28" t="n"/>
      <c r="H963" s="28" t="n"/>
      <c r="I963" s="28" t="n"/>
      <c r="J963" s="54">
        <f>IF(OR(ISNUMBER(SEARCH("보류",K963)),ISNUMBER(SEARCH("미룸",K963)),ISNUMBER(SEARCH("나중에",K963)),ISNUMBER(SEARCH("보류",L963)),ISNUMBER(SEARCH("미룸",L963)),ISNUMBER(SEARCH("나중에",L963))),"보류(나중에 풀기)",IF(AND(F963="",G963="",H963="",I963=""),"미완료",IF(I963&lt;&gt;"","복습3(마스터)",IF(H963&lt;&gt;"","복습2",IF(G963&lt;&gt;"","복습1",IF(ISNUMBER(SEARCH("제미나이",K963)),"복습대기(AI도움)",IF(ISNUMBER(SEARCH("간당간당",K963)),"복습대기(간당간당)",IF(OR(ISNUMBER(SEARCH("아이디어",K963)),ISNUMBER(SEARCH("시간초과",K963)),ISNUMBER(SEARCH("자료구조",K963)),ISNUMBER(SEARCH("경계값",K963)),ISNUMBER(SEARCH("다른 풀이",K963)),ISNUMBER(SEARCH("또풀기",K963))),"복습대기",IF(OR(ISNUMBER(SEARCH("복습필요없음",K963)),ISNUMBER(SEARCH("자력완벽",K963))),"품(복습불필요)",IF(F963&lt;&gt;"","품","미완료"))))))))))</f>
        <v/>
      </c>
      <c r="K963" s="32" t="inlineStr">
        <is>
          <t>-</t>
        </is>
      </c>
      <c r="L963" s="32" t="n"/>
      <c r="M963" s="28">
        <f>IF(OR(LEFT(J963,2)="보류", LEFT(J963,4)="복습대기", LEFT(J963,3)="복습1", LEFT(J963,3)="복습2"), MAX($M$3:M962)+1, "")</f>
        <v/>
      </c>
      <c r="N963" s="28" t="inlineStr">
        <is>
          <t>W23</t>
        </is>
      </c>
      <c r="O963" s="36" t="n">
        <v>46413</v>
      </c>
      <c r="P963" s="30">
        <f>IF(F963&lt;&gt;"","✅ 완료",IF(O963="","-",IF(TODAY()&gt;O963,"🚨 지연","⏳ 예정")))</f>
        <v/>
      </c>
      <c r="Q963" s="7" t="n"/>
      <c r="R963" s="7" t="n"/>
      <c r="S963" s="7" t="n"/>
      <c r="T963" s="7" t="n"/>
      <c r="U963" s="7" t="n"/>
      <c r="V963" s="7" t="n"/>
      <c r="W963" s="7" t="n"/>
      <c r="X963" s="7" t="n"/>
    </row>
    <row r="964" ht="21.75" customHeight="1" s="209">
      <c r="A964" s="28" t="n">
        <v>961</v>
      </c>
      <c r="B964" s="28" t="inlineStr">
        <is>
          <t>3341</t>
        </is>
      </c>
      <c r="C964" s="30" t="inlineStr">
        <is>
          <t>D7</t>
        </is>
      </c>
      <c r="D964" s="32" t="inlineStr">
        <is>
          <t>영준이의 항등 함수</t>
        </is>
      </c>
      <c r="E964" s="28" t="inlineStr">
        <is>
          <t>최적화 / 고급 알고리즘</t>
        </is>
      </c>
      <c r="F964" s="28" t="n"/>
      <c r="G964" s="28" t="n"/>
      <c r="H964" s="28" t="n"/>
      <c r="I964" s="28" t="n"/>
      <c r="J964" s="54">
        <f>IF(OR(ISNUMBER(SEARCH("보류",K964)),ISNUMBER(SEARCH("미룸",K964)),ISNUMBER(SEARCH("나중에",K964)),ISNUMBER(SEARCH("보류",L964)),ISNUMBER(SEARCH("미룸",L964)),ISNUMBER(SEARCH("나중에",L964))),"보류(나중에 풀기)",IF(AND(F964="",G964="",H964="",I964=""),"미완료",IF(I964&lt;&gt;"","복습3(마스터)",IF(H964&lt;&gt;"","복습2",IF(G964&lt;&gt;"","복습1",IF(ISNUMBER(SEARCH("제미나이",K964)),"복습대기(AI도움)",IF(ISNUMBER(SEARCH("간당간당",K964)),"복습대기(간당간당)",IF(OR(ISNUMBER(SEARCH("아이디어",K964)),ISNUMBER(SEARCH("시간초과",K964)),ISNUMBER(SEARCH("자료구조",K964)),ISNUMBER(SEARCH("경계값",K964)),ISNUMBER(SEARCH("다른 풀이",K964)),ISNUMBER(SEARCH("또풀기",K964))),"복습대기",IF(OR(ISNUMBER(SEARCH("복습필요없음",K964)),ISNUMBER(SEARCH("자력완벽",K964))),"품(복습불필요)",IF(F964&lt;&gt;"","품","미완료"))))))))))</f>
        <v/>
      </c>
      <c r="K964" s="32" t="inlineStr">
        <is>
          <t>-</t>
        </is>
      </c>
      <c r="L964" s="32" t="n"/>
      <c r="M964" s="28">
        <f>IF(OR(LEFT(J964,2)="보류", LEFT(J964,4)="복습대기", LEFT(J964,3)="복습1", LEFT(J964,3)="복습2"), MAX($M$3:M963)+1, "")</f>
        <v/>
      </c>
      <c r="N964" s="28" t="inlineStr">
        <is>
          <t>W23</t>
        </is>
      </c>
      <c r="O964" s="36" t="n">
        <v>46413</v>
      </c>
      <c r="P964" s="30">
        <f>IF(F964&lt;&gt;"","✅ 완료",IF(O964="","-",IF(TODAY()&gt;O964,"🚨 지연","⏳ 예정")))</f>
        <v/>
      </c>
      <c r="Q964" s="7" t="n"/>
      <c r="R964" s="7" t="n"/>
      <c r="S964" s="7" t="n"/>
      <c r="T964" s="7" t="n"/>
      <c r="U964" s="7" t="n"/>
      <c r="V964" s="7" t="n"/>
      <c r="W964" s="7" t="n"/>
      <c r="X964" s="7" t="n"/>
    </row>
    <row r="965" ht="21.75" customHeight="1" s="209">
      <c r="A965" s="28" t="n">
        <v>962</v>
      </c>
      <c r="B965" s="28" t="inlineStr">
        <is>
          <t>3402</t>
        </is>
      </c>
      <c r="C965" s="30" t="inlineStr">
        <is>
          <t>D7</t>
        </is>
      </c>
      <c r="D965" s="32" t="inlineStr">
        <is>
          <t>J번째 숫자 찾기</t>
        </is>
      </c>
      <c r="E965" s="28" t="inlineStr">
        <is>
          <t>최적화 / 고급 알고리즘</t>
        </is>
      </c>
      <c r="F965" s="28" t="n"/>
      <c r="G965" s="28" t="n"/>
      <c r="H965" s="28" t="n"/>
      <c r="I965" s="28" t="n"/>
      <c r="J965" s="54">
        <f>IF(OR(ISNUMBER(SEARCH("보류",K965)),ISNUMBER(SEARCH("미룸",K965)),ISNUMBER(SEARCH("나중에",K965)),ISNUMBER(SEARCH("보류",L965)),ISNUMBER(SEARCH("미룸",L965)),ISNUMBER(SEARCH("나중에",L965))),"보류(나중에 풀기)",IF(AND(F965="",G965="",H965="",I965=""),"미완료",IF(I965&lt;&gt;"","복습3(마스터)",IF(H965&lt;&gt;"","복습2",IF(G965&lt;&gt;"","복습1",IF(ISNUMBER(SEARCH("제미나이",K965)),"복습대기(AI도움)",IF(ISNUMBER(SEARCH("간당간당",K965)),"복습대기(간당간당)",IF(OR(ISNUMBER(SEARCH("아이디어",K965)),ISNUMBER(SEARCH("시간초과",K965)),ISNUMBER(SEARCH("자료구조",K965)),ISNUMBER(SEARCH("경계값",K965)),ISNUMBER(SEARCH("다른 풀이",K965)),ISNUMBER(SEARCH("또풀기",K965))),"복습대기",IF(OR(ISNUMBER(SEARCH("복습필요없음",K965)),ISNUMBER(SEARCH("자력완벽",K965))),"품(복습불필요)",IF(F965&lt;&gt;"","품","미완료"))))))))))</f>
        <v/>
      </c>
      <c r="K965" s="32" t="inlineStr">
        <is>
          <t>-</t>
        </is>
      </c>
      <c r="L965" s="32" t="n"/>
      <c r="M965" s="28">
        <f>IF(OR(LEFT(J965,2)="보류", LEFT(J965,4)="복습대기", LEFT(J965,3)="복습1", LEFT(J965,3)="복습2"), MAX($M$3:M964)+1, "")</f>
        <v/>
      </c>
      <c r="N965" s="28" t="inlineStr">
        <is>
          <t>W23</t>
        </is>
      </c>
      <c r="O965" s="36" t="n">
        <v>46413</v>
      </c>
      <c r="P965" s="30">
        <f>IF(F965&lt;&gt;"","✅ 완료",IF(O965="","-",IF(TODAY()&gt;O965,"🚨 지연","⏳ 예정")))</f>
        <v/>
      </c>
      <c r="Q965" s="7" t="n"/>
      <c r="R965" s="7" t="n"/>
      <c r="S965" s="7" t="n"/>
      <c r="T965" s="7" t="n"/>
      <c r="U965" s="7" t="n"/>
      <c r="V965" s="7" t="n"/>
      <c r="W965" s="7" t="n"/>
      <c r="X965" s="7" t="n"/>
    </row>
    <row r="966" ht="21.75" customHeight="1" s="209">
      <c r="A966" s="28" t="n">
        <v>963</v>
      </c>
      <c r="B966" s="28" t="inlineStr">
        <is>
          <t>3427</t>
        </is>
      </c>
      <c r="C966" s="30" t="inlineStr">
        <is>
          <t>D7</t>
        </is>
      </c>
      <c r="D966" s="32" t="inlineStr">
        <is>
          <t>재관이의 앞끝말잇기 놀이</t>
        </is>
      </c>
      <c r="E966" s="28" t="inlineStr">
        <is>
          <t>최적화 / 고급 알고리즘</t>
        </is>
      </c>
      <c r="F966" s="28" t="n"/>
      <c r="G966" s="28" t="n"/>
      <c r="H966" s="28" t="n"/>
      <c r="I966" s="28" t="n"/>
      <c r="J966" s="54">
        <f>IF(OR(ISNUMBER(SEARCH("보류",K966)),ISNUMBER(SEARCH("미룸",K966)),ISNUMBER(SEARCH("나중에",K966)),ISNUMBER(SEARCH("보류",L966)),ISNUMBER(SEARCH("미룸",L966)),ISNUMBER(SEARCH("나중에",L966))),"보류(나중에 풀기)",IF(AND(F966="",G966="",H966="",I966=""),"미완료",IF(I966&lt;&gt;"","복습3(마스터)",IF(H966&lt;&gt;"","복습2",IF(G966&lt;&gt;"","복습1",IF(ISNUMBER(SEARCH("제미나이",K966)),"복습대기(AI도움)",IF(ISNUMBER(SEARCH("간당간당",K966)),"복습대기(간당간당)",IF(OR(ISNUMBER(SEARCH("아이디어",K966)),ISNUMBER(SEARCH("시간초과",K966)),ISNUMBER(SEARCH("자료구조",K966)),ISNUMBER(SEARCH("경계값",K966)),ISNUMBER(SEARCH("다른 풀이",K966)),ISNUMBER(SEARCH("또풀기",K966))),"복습대기",IF(OR(ISNUMBER(SEARCH("복습필요없음",K966)),ISNUMBER(SEARCH("자력완벽",K966))),"품(복습불필요)",IF(F966&lt;&gt;"","품","미완료"))))))))))</f>
        <v/>
      </c>
      <c r="K966" s="32" t="inlineStr">
        <is>
          <t>-</t>
        </is>
      </c>
      <c r="L966" s="32" t="n"/>
      <c r="M966" s="28">
        <f>IF(OR(LEFT(J966,2)="보류", LEFT(J966,4)="복습대기", LEFT(J966,3)="복습1", LEFT(J966,3)="복습2"), MAX($M$3:M965)+1, "")</f>
        <v/>
      </c>
      <c r="N966" s="28" t="inlineStr">
        <is>
          <t>W23</t>
        </is>
      </c>
      <c r="O966" s="36" t="n">
        <v>46413</v>
      </c>
      <c r="P966" s="30">
        <f>IF(F966&lt;&gt;"","✅ 완료",IF(O966="","-",IF(TODAY()&gt;O966,"🚨 지연","⏳ 예정")))</f>
        <v/>
      </c>
      <c r="Q966" s="7" t="n"/>
      <c r="R966" s="7" t="n"/>
      <c r="S966" s="7" t="n"/>
      <c r="T966" s="7" t="n"/>
      <c r="U966" s="7" t="n"/>
      <c r="V966" s="7" t="n"/>
      <c r="W966" s="7" t="n"/>
      <c r="X966" s="7" t="n"/>
    </row>
    <row r="967" ht="21.75" customHeight="1" s="209">
      <c r="A967" s="28" t="n">
        <v>964</v>
      </c>
      <c r="B967" s="28" t="inlineStr">
        <is>
          <t>3465</t>
        </is>
      </c>
      <c r="C967" s="30" t="inlineStr">
        <is>
          <t>D7</t>
        </is>
      </c>
      <c r="D967" s="32" t="inlineStr">
        <is>
          <t>다슬이의 연봉인상</t>
        </is>
      </c>
      <c r="E967" s="28" t="inlineStr">
        <is>
          <t>최적화 / 고급 알고리즘</t>
        </is>
      </c>
      <c r="F967" s="28" t="n"/>
      <c r="G967" s="28" t="n"/>
      <c r="H967" s="28" t="n"/>
      <c r="I967" s="28" t="n"/>
      <c r="J967" s="54">
        <f>IF(OR(ISNUMBER(SEARCH("보류",K967)),ISNUMBER(SEARCH("미룸",K967)),ISNUMBER(SEARCH("나중에",K967)),ISNUMBER(SEARCH("보류",L967)),ISNUMBER(SEARCH("미룸",L967)),ISNUMBER(SEARCH("나중에",L967))),"보류(나중에 풀기)",IF(AND(F967="",G967="",H967="",I967=""),"미완료",IF(I967&lt;&gt;"","복습3(마스터)",IF(H967&lt;&gt;"","복습2",IF(G967&lt;&gt;"","복습1",IF(ISNUMBER(SEARCH("제미나이",K967)),"복습대기(AI도움)",IF(ISNUMBER(SEARCH("간당간당",K967)),"복습대기(간당간당)",IF(OR(ISNUMBER(SEARCH("아이디어",K967)),ISNUMBER(SEARCH("시간초과",K967)),ISNUMBER(SEARCH("자료구조",K967)),ISNUMBER(SEARCH("경계값",K967)),ISNUMBER(SEARCH("다른 풀이",K967)),ISNUMBER(SEARCH("또풀기",K967))),"복습대기",IF(OR(ISNUMBER(SEARCH("복습필요없음",K967)),ISNUMBER(SEARCH("자력완벽",K967))),"품(복습불필요)",IF(F967&lt;&gt;"","품","미완료"))))))))))</f>
        <v/>
      </c>
      <c r="K967" s="32" t="inlineStr">
        <is>
          <t>-</t>
        </is>
      </c>
      <c r="L967" s="32" t="n"/>
      <c r="M967" s="28">
        <f>IF(OR(LEFT(J967,2)="보류", LEFT(J967,4)="복습대기", LEFT(J967,3)="복습1", LEFT(J967,3)="복습2"), MAX($M$3:M966)+1, "")</f>
        <v/>
      </c>
      <c r="N967" s="28" t="inlineStr">
        <is>
          <t>W23</t>
        </is>
      </c>
      <c r="O967" s="36" t="n">
        <v>46414</v>
      </c>
      <c r="P967" s="30">
        <f>IF(F967&lt;&gt;"","✅ 완료",IF(O967="","-",IF(TODAY()&gt;O967,"🚨 지연","⏳ 예정")))</f>
        <v/>
      </c>
      <c r="Q967" s="7" t="n"/>
      <c r="R967" s="7" t="n"/>
      <c r="S967" s="7" t="n"/>
      <c r="T967" s="7" t="n"/>
      <c r="U967" s="7" t="n"/>
      <c r="V967" s="7" t="n"/>
      <c r="W967" s="7" t="n"/>
      <c r="X967" s="7" t="n"/>
    </row>
    <row r="968" ht="21.75" customHeight="1" s="209">
      <c r="A968" s="28" t="n">
        <v>965</v>
      </c>
      <c r="B968" s="28" t="inlineStr">
        <is>
          <t>3506</t>
        </is>
      </c>
      <c r="C968" s="30" t="inlineStr">
        <is>
          <t>D7</t>
        </is>
      </c>
      <c r="D968" s="32" t="inlineStr">
        <is>
          <t>용성이와 지옥의 시험</t>
        </is>
      </c>
      <c r="E968" s="28" t="inlineStr">
        <is>
          <t>최적화 / 고급 알고리즘</t>
        </is>
      </c>
      <c r="F968" s="28" t="n"/>
      <c r="G968" s="28" t="n"/>
      <c r="H968" s="28" t="n"/>
      <c r="I968" s="28" t="n"/>
      <c r="J968" s="54">
        <f>IF(OR(ISNUMBER(SEARCH("보류",K968)),ISNUMBER(SEARCH("미룸",K968)),ISNUMBER(SEARCH("나중에",K968)),ISNUMBER(SEARCH("보류",L968)),ISNUMBER(SEARCH("미룸",L968)),ISNUMBER(SEARCH("나중에",L968))),"보류(나중에 풀기)",IF(AND(F968="",G968="",H968="",I968=""),"미완료",IF(I968&lt;&gt;"","복습3(마스터)",IF(H968&lt;&gt;"","복습2",IF(G968&lt;&gt;"","복습1",IF(ISNUMBER(SEARCH("제미나이",K968)),"복습대기(AI도움)",IF(ISNUMBER(SEARCH("간당간당",K968)),"복습대기(간당간당)",IF(OR(ISNUMBER(SEARCH("아이디어",K968)),ISNUMBER(SEARCH("시간초과",K968)),ISNUMBER(SEARCH("자료구조",K968)),ISNUMBER(SEARCH("경계값",K968)),ISNUMBER(SEARCH("다른 풀이",K968)),ISNUMBER(SEARCH("또풀기",K968))),"복습대기",IF(OR(ISNUMBER(SEARCH("복습필요없음",K968)),ISNUMBER(SEARCH("자력완벽",K968))),"품(복습불필요)",IF(F968&lt;&gt;"","품","미완료"))))))))))</f>
        <v/>
      </c>
      <c r="K968" s="32" t="inlineStr">
        <is>
          <t>-</t>
        </is>
      </c>
      <c r="L968" s="32" t="n"/>
      <c r="M968" s="28">
        <f>IF(OR(LEFT(J968,2)="보류", LEFT(J968,4)="복습대기", LEFT(J968,3)="복습1", LEFT(J968,3)="복습2"), MAX($M$3:M967)+1, "")</f>
        <v/>
      </c>
      <c r="N968" s="28" t="inlineStr">
        <is>
          <t>W23</t>
        </is>
      </c>
      <c r="O968" s="36" t="n">
        <v>46414</v>
      </c>
      <c r="P968" s="30">
        <f>IF(F968&lt;&gt;"","✅ 완료",IF(O968="","-",IF(TODAY()&gt;O968,"🚨 지연","⏳ 예정")))</f>
        <v/>
      </c>
      <c r="Q968" s="7" t="n"/>
      <c r="R968" s="7" t="n"/>
      <c r="S968" s="7" t="n"/>
      <c r="T968" s="7" t="n"/>
      <c r="U968" s="7" t="n"/>
      <c r="V968" s="7" t="n"/>
      <c r="W968" s="7" t="n"/>
      <c r="X968" s="7" t="n"/>
    </row>
    <row r="969" ht="21.75" customHeight="1" s="209">
      <c r="A969" s="28" t="n">
        <v>966</v>
      </c>
      <c r="B969" s="28" t="inlineStr">
        <is>
          <t>3756</t>
        </is>
      </c>
      <c r="C969" s="30" t="inlineStr">
        <is>
          <t>D7</t>
        </is>
      </c>
      <c r="D969" s="32" t="inlineStr">
        <is>
          <t>만준이의 패킷 분석</t>
        </is>
      </c>
      <c r="E969" s="28" t="inlineStr">
        <is>
          <t>최적화 / 고급 알고리즘</t>
        </is>
      </c>
      <c r="F969" s="28" t="n"/>
      <c r="G969" s="28" t="n"/>
      <c r="H969" s="28" t="n"/>
      <c r="I969" s="28" t="n"/>
      <c r="J969" s="54">
        <f>IF(OR(ISNUMBER(SEARCH("보류",K969)),ISNUMBER(SEARCH("미룸",K969)),ISNUMBER(SEARCH("나중에",K969)),ISNUMBER(SEARCH("보류",L969)),ISNUMBER(SEARCH("미룸",L969)),ISNUMBER(SEARCH("나중에",L969))),"보류(나중에 풀기)",IF(AND(F969="",G969="",H969="",I969=""),"미완료",IF(I969&lt;&gt;"","복습3(마스터)",IF(H969&lt;&gt;"","복습2",IF(G969&lt;&gt;"","복습1",IF(ISNUMBER(SEARCH("제미나이",K969)),"복습대기(AI도움)",IF(ISNUMBER(SEARCH("간당간당",K969)),"복습대기(간당간당)",IF(OR(ISNUMBER(SEARCH("아이디어",K969)),ISNUMBER(SEARCH("시간초과",K969)),ISNUMBER(SEARCH("자료구조",K969)),ISNUMBER(SEARCH("경계값",K969)),ISNUMBER(SEARCH("다른 풀이",K969)),ISNUMBER(SEARCH("또풀기",K969))),"복습대기",IF(OR(ISNUMBER(SEARCH("복습필요없음",K969)),ISNUMBER(SEARCH("자력완벽",K969))),"품(복습불필요)",IF(F969&lt;&gt;"","품","미완료"))))))))))</f>
        <v/>
      </c>
      <c r="K969" s="32" t="inlineStr">
        <is>
          <t>-</t>
        </is>
      </c>
      <c r="L969" s="32" t="n"/>
      <c r="M969" s="28">
        <f>IF(OR(LEFT(J969,2)="보류", LEFT(J969,4)="복습대기", LEFT(J969,3)="복습1", LEFT(J969,3)="복습2"), MAX($M$3:M968)+1, "")</f>
        <v/>
      </c>
      <c r="N969" s="28" t="inlineStr">
        <is>
          <t>W23</t>
        </is>
      </c>
      <c r="O969" s="36" t="n">
        <v>46414</v>
      </c>
      <c r="P969" s="30">
        <f>IF(F969&lt;&gt;"","✅ 완료",IF(O969="","-",IF(TODAY()&gt;O969,"🚨 지연","⏳ 예정")))</f>
        <v/>
      </c>
      <c r="Q969" s="7" t="n"/>
      <c r="R969" s="7" t="n"/>
      <c r="S969" s="7" t="n"/>
      <c r="T969" s="7" t="n"/>
      <c r="U969" s="7" t="n"/>
      <c r="V969" s="7" t="n"/>
      <c r="W969" s="7" t="n"/>
      <c r="X969" s="7" t="n"/>
    </row>
    <row r="970" ht="21.75" customHeight="1" s="209">
      <c r="A970" s="28" t="n">
        <v>967</v>
      </c>
      <c r="B970" s="28" t="inlineStr">
        <is>
          <t>3972</t>
        </is>
      </c>
      <c r="C970" s="30" t="inlineStr">
        <is>
          <t>D7</t>
        </is>
      </c>
      <c r="D970" s="32" t="inlineStr">
        <is>
          <t>삼성초등학교 조별활동</t>
        </is>
      </c>
      <c r="E970" s="28" t="inlineStr">
        <is>
          <t>최적화 / 고급 알고리즘</t>
        </is>
      </c>
      <c r="F970" s="28" t="n"/>
      <c r="G970" s="28" t="n"/>
      <c r="H970" s="28" t="n"/>
      <c r="I970" s="28" t="n"/>
      <c r="J970" s="54">
        <f>IF(OR(ISNUMBER(SEARCH("보류",K970)),ISNUMBER(SEARCH("미룸",K970)),ISNUMBER(SEARCH("나중에",K970)),ISNUMBER(SEARCH("보류",L970)),ISNUMBER(SEARCH("미룸",L970)),ISNUMBER(SEARCH("나중에",L970))),"보류(나중에 풀기)",IF(AND(F970="",G970="",H970="",I970=""),"미완료",IF(I970&lt;&gt;"","복습3(마스터)",IF(H970&lt;&gt;"","복습2",IF(G970&lt;&gt;"","복습1",IF(ISNUMBER(SEARCH("제미나이",K970)),"복습대기(AI도움)",IF(ISNUMBER(SEARCH("간당간당",K970)),"복습대기(간당간당)",IF(OR(ISNUMBER(SEARCH("아이디어",K970)),ISNUMBER(SEARCH("시간초과",K970)),ISNUMBER(SEARCH("자료구조",K970)),ISNUMBER(SEARCH("경계값",K970)),ISNUMBER(SEARCH("다른 풀이",K970)),ISNUMBER(SEARCH("또풀기",K970))),"복습대기",IF(OR(ISNUMBER(SEARCH("복습필요없음",K970)),ISNUMBER(SEARCH("자력완벽",K970))),"품(복습불필요)",IF(F970&lt;&gt;"","품","미완료"))))))))))</f>
        <v/>
      </c>
      <c r="K970" s="32" t="inlineStr">
        <is>
          <t>-</t>
        </is>
      </c>
      <c r="L970" s="32" t="n"/>
      <c r="M970" s="28">
        <f>IF(OR(LEFT(J970,2)="보류", LEFT(J970,4)="복습대기", LEFT(J970,3)="복습1", LEFT(J970,3)="복습2"), MAX($M$3:M969)+1, "")</f>
        <v/>
      </c>
      <c r="N970" s="28" t="inlineStr">
        <is>
          <t>W23</t>
        </is>
      </c>
      <c r="O970" s="36" t="n">
        <v>46414</v>
      </c>
      <c r="P970" s="30">
        <f>IF(F970&lt;&gt;"","✅ 완료",IF(O970="","-",IF(TODAY()&gt;O970,"🚨 지연","⏳ 예정")))</f>
        <v/>
      </c>
      <c r="Q970" s="7" t="n"/>
      <c r="R970" s="7" t="n"/>
      <c r="S970" s="7" t="n"/>
      <c r="T970" s="7" t="n"/>
      <c r="U970" s="7" t="n"/>
      <c r="V970" s="7" t="n"/>
      <c r="W970" s="7" t="n"/>
      <c r="X970" s="7" t="n"/>
    </row>
    <row r="971" ht="21.75" customHeight="1" s="209">
      <c r="A971" s="28" t="n">
        <v>968</v>
      </c>
      <c r="B971" s="28" t="inlineStr">
        <is>
          <t>4016</t>
        </is>
      </c>
      <c r="C971" s="30" t="inlineStr">
        <is>
          <t>D7</t>
        </is>
      </c>
      <c r="D971" s="32" t="inlineStr">
        <is>
          <t>보급로2</t>
        </is>
      </c>
      <c r="E971" s="28" t="inlineStr">
        <is>
          <t>최적화 / 고급 알고리즘</t>
        </is>
      </c>
      <c r="F971" s="28" t="n"/>
      <c r="G971" s="28" t="n"/>
      <c r="H971" s="28" t="n"/>
      <c r="I971" s="28" t="n"/>
      <c r="J971" s="54">
        <f>IF(OR(ISNUMBER(SEARCH("보류",K971)),ISNUMBER(SEARCH("미룸",K971)),ISNUMBER(SEARCH("나중에",K971)),ISNUMBER(SEARCH("보류",L971)),ISNUMBER(SEARCH("미룸",L971)),ISNUMBER(SEARCH("나중에",L971))),"보류(나중에 풀기)",IF(AND(F971="",G971="",H971="",I971=""),"미완료",IF(I971&lt;&gt;"","복습3(마스터)",IF(H971&lt;&gt;"","복습2",IF(G971&lt;&gt;"","복습1",IF(ISNUMBER(SEARCH("제미나이",K971)),"복습대기(AI도움)",IF(ISNUMBER(SEARCH("간당간당",K971)),"복습대기(간당간당)",IF(OR(ISNUMBER(SEARCH("아이디어",K971)),ISNUMBER(SEARCH("시간초과",K971)),ISNUMBER(SEARCH("자료구조",K971)),ISNUMBER(SEARCH("경계값",K971)),ISNUMBER(SEARCH("다른 풀이",K971)),ISNUMBER(SEARCH("또풀기",K971))),"복습대기",IF(OR(ISNUMBER(SEARCH("복습필요없음",K971)),ISNUMBER(SEARCH("자력완벽",K971))),"품(복습불필요)",IF(F971&lt;&gt;"","품","미완료"))))))))))</f>
        <v/>
      </c>
      <c r="K971" s="32" t="inlineStr">
        <is>
          <t>-</t>
        </is>
      </c>
      <c r="L971" s="32" t="n"/>
      <c r="M971" s="28">
        <f>IF(OR(LEFT(J971,2)="보류", LEFT(J971,4)="복습대기", LEFT(J971,3)="복습1", LEFT(J971,3)="복습2"), MAX($M$3:M970)+1, "")</f>
        <v/>
      </c>
      <c r="N971" s="28" t="inlineStr">
        <is>
          <t>W23</t>
        </is>
      </c>
      <c r="O971" s="36" t="n">
        <v>46414</v>
      </c>
      <c r="P971" s="30">
        <f>IF(F971&lt;&gt;"","✅ 완료",IF(O971="","-",IF(TODAY()&gt;O971,"🚨 지연","⏳ 예정")))</f>
        <v/>
      </c>
      <c r="Q971" s="7" t="n"/>
      <c r="R971" s="7" t="n"/>
      <c r="S971" s="7" t="n"/>
      <c r="T971" s="7" t="n"/>
      <c r="U971" s="7" t="n"/>
      <c r="V971" s="7" t="n"/>
      <c r="W971" s="7" t="n"/>
      <c r="X971" s="7" t="n"/>
    </row>
    <row r="972" ht="21.75" customHeight="1" s="209">
      <c r="A972" s="28" t="n">
        <v>969</v>
      </c>
      <c r="B972" s="28" t="inlineStr">
        <is>
          <t>4064</t>
        </is>
      </c>
      <c r="C972" s="30" t="inlineStr">
        <is>
          <t>D7</t>
        </is>
      </c>
      <c r="D972" s="32" t="inlineStr">
        <is>
          <t>창용이의 멋진 수열</t>
        </is>
      </c>
      <c r="E972" s="28" t="inlineStr">
        <is>
          <t>동적계획법 (DP)</t>
        </is>
      </c>
      <c r="F972" s="28" t="n"/>
      <c r="G972" s="28" t="n"/>
      <c r="H972" s="28" t="n"/>
      <c r="I972" s="28" t="n"/>
      <c r="J972" s="54">
        <f>IF(OR(ISNUMBER(SEARCH("보류",K972)),ISNUMBER(SEARCH("미룸",K972)),ISNUMBER(SEARCH("나중에",K972)),ISNUMBER(SEARCH("보류",L972)),ISNUMBER(SEARCH("미룸",L972)),ISNUMBER(SEARCH("나중에",L972))),"보류(나중에 풀기)",IF(AND(F972="",G972="",H972="",I972=""),"미완료",IF(I972&lt;&gt;"","복습3(마스터)",IF(H972&lt;&gt;"","복습2",IF(G972&lt;&gt;"","복습1",IF(ISNUMBER(SEARCH("제미나이",K972)),"복습대기(AI도움)",IF(ISNUMBER(SEARCH("간당간당",K972)),"복습대기(간당간당)",IF(OR(ISNUMBER(SEARCH("아이디어",K972)),ISNUMBER(SEARCH("시간초과",K972)),ISNUMBER(SEARCH("자료구조",K972)),ISNUMBER(SEARCH("경계값",K972)),ISNUMBER(SEARCH("다른 풀이",K972)),ISNUMBER(SEARCH("또풀기",K972))),"복습대기",IF(OR(ISNUMBER(SEARCH("복습필요없음",K972)),ISNUMBER(SEARCH("자력완벽",K972))),"품(복습불필요)",IF(F972&lt;&gt;"","품","미완료"))))))))))</f>
        <v/>
      </c>
      <c r="K972" s="32" t="inlineStr">
        <is>
          <t>-</t>
        </is>
      </c>
      <c r="L972" s="32" t="n"/>
      <c r="M972" s="28">
        <f>IF(OR(LEFT(J972,2)="보류", LEFT(J972,4)="복습대기", LEFT(J972,3)="복습1", LEFT(J972,3)="복습2"), MAX($M$3:M971)+1, "")</f>
        <v/>
      </c>
      <c r="N972" s="28" t="inlineStr">
        <is>
          <t>W23</t>
        </is>
      </c>
      <c r="O972" s="36" t="n">
        <v>46414</v>
      </c>
      <c r="P972" s="30">
        <f>IF(F972&lt;&gt;"","✅ 완료",IF(O972="","-",IF(TODAY()&gt;O972,"🚨 지연","⏳ 예정")))</f>
        <v/>
      </c>
      <c r="Q972" s="7" t="n"/>
      <c r="R972" s="7" t="n"/>
      <c r="S972" s="7" t="n"/>
      <c r="T972" s="7" t="n"/>
      <c r="U972" s="7" t="n"/>
      <c r="V972" s="7" t="n"/>
      <c r="W972" s="7" t="n"/>
      <c r="X972" s="7" t="n"/>
    </row>
    <row r="973" ht="21.75" customHeight="1" s="209">
      <c r="A973" s="28" t="n">
        <v>970</v>
      </c>
      <c r="B973" s="28" t="inlineStr">
        <is>
          <t>4118</t>
        </is>
      </c>
      <c r="C973" s="30" t="inlineStr">
        <is>
          <t>D7</t>
        </is>
      </c>
      <c r="D973" s="32" t="inlineStr">
        <is>
          <t>트리의 개수 구하기</t>
        </is>
      </c>
      <c r="E973" s="28" t="inlineStr">
        <is>
          <t>트리 / 힙 / 세그먼트트리</t>
        </is>
      </c>
      <c r="F973" s="28" t="n"/>
      <c r="G973" s="28" t="n"/>
      <c r="H973" s="28" t="n"/>
      <c r="I973" s="28" t="n"/>
      <c r="J973" s="54">
        <f>IF(OR(ISNUMBER(SEARCH("보류",K973)),ISNUMBER(SEARCH("미룸",K973)),ISNUMBER(SEARCH("나중에",K973)),ISNUMBER(SEARCH("보류",L973)),ISNUMBER(SEARCH("미룸",L973)),ISNUMBER(SEARCH("나중에",L973))),"보류(나중에 풀기)",IF(AND(F973="",G973="",H973="",I973=""),"미완료",IF(I973&lt;&gt;"","복습3(마스터)",IF(H973&lt;&gt;"","복습2",IF(G973&lt;&gt;"","복습1",IF(ISNUMBER(SEARCH("제미나이",K973)),"복습대기(AI도움)",IF(ISNUMBER(SEARCH("간당간당",K973)),"복습대기(간당간당)",IF(OR(ISNUMBER(SEARCH("아이디어",K973)),ISNUMBER(SEARCH("시간초과",K973)),ISNUMBER(SEARCH("자료구조",K973)),ISNUMBER(SEARCH("경계값",K973)),ISNUMBER(SEARCH("다른 풀이",K973)),ISNUMBER(SEARCH("또풀기",K973))),"복습대기",IF(OR(ISNUMBER(SEARCH("복습필요없음",K973)),ISNUMBER(SEARCH("자력완벽",K973))),"품(복습불필요)",IF(F973&lt;&gt;"","품","미완료"))))))))))</f>
        <v/>
      </c>
      <c r="K973" s="32" t="inlineStr">
        <is>
          <t>-</t>
        </is>
      </c>
      <c r="L973" s="32" t="n"/>
      <c r="M973" s="28">
        <f>IF(OR(LEFT(J973,2)="보류", LEFT(J973,4)="복습대기", LEFT(J973,3)="복습1", LEFT(J973,3)="복습2"), MAX($M$3:M972)+1, "")</f>
        <v/>
      </c>
      <c r="N973" s="28" t="inlineStr">
        <is>
          <t>W23</t>
        </is>
      </c>
      <c r="O973" s="36" t="n">
        <v>46414</v>
      </c>
      <c r="P973" s="30">
        <f>IF(F973&lt;&gt;"","✅ 완료",IF(O973="","-",IF(TODAY()&gt;O973,"🚨 지연","⏳ 예정")))</f>
        <v/>
      </c>
      <c r="Q973" s="7" t="n"/>
      <c r="R973" s="7" t="n"/>
      <c r="S973" s="7" t="n"/>
      <c r="T973" s="7" t="n"/>
      <c r="U973" s="7" t="n"/>
      <c r="V973" s="7" t="n"/>
      <c r="W973" s="7" t="n"/>
      <c r="X973" s="7" t="n"/>
    </row>
    <row r="974" ht="21.75" customHeight="1" s="209">
      <c r="A974" s="28" t="n">
        <v>971</v>
      </c>
      <c r="B974" s="28" t="inlineStr">
        <is>
          <t>4264</t>
        </is>
      </c>
      <c r="C974" s="30" t="inlineStr">
        <is>
          <t>D7</t>
        </is>
      </c>
      <c r="D974" s="32" t="inlineStr">
        <is>
          <t>선표의 최단시간 여행하기</t>
        </is>
      </c>
      <c r="E974" s="28" t="inlineStr">
        <is>
          <t>BFS (너비우선탐색)</t>
        </is>
      </c>
      <c r="F974" s="28" t="n"/>
      <c r="G974" s="28" t="n"/>
      <c r="H974" s="28" t="n"/>
      <c r="I974" s="28" t="n"/>
      <c r="J974" s="54">
        <f>IF(OR(ISNUMBER(SEARCH("보류",K974)),ISNUMBER(SEARCH("미룸",K974)),ISNUMBER(SEARCH("나중에",K974)),ISNUMBER(SEARCH("보류",L974)),ISNUMBER(SEARCH("미룸",L974)),ISNUMBER(SEARCH("나중에",L974))),"보류(나중에 풀기)",IF(AND(F974="",G974="",H974="",I974=""),"미완료",IF(I974&lt;&gt;"","복습3(마스터)",IF(H974&lt;&gt;"","복습2",IF(G974&lt;&gt;"","복습1",IF(ISNUMBER(SEARCH("제미나이",K974)),"복습대기(AI도움)",IF(ISNUMBER(SEARCH("간당간당",K974)),"복습대기(간당간당)",IF(OR(ISNUMBER(SEARCH("아이디어",K974)),ISNUMBER(SEARCH("시간초과",K974)),ISNUMBER(SEARCH("자료구조",K974)),ISNUMBER(SEARCH("경계값",K974)),ISNUMBER(SEARCH("다른 풀이",K974)),ISNUMBER(SEARCH("또풀기",K974))),"복습대기",IF(OR(ISNUMBER(SEARCH("복습필요없음",K974)),ISNUMBER(SEARCH("자력완벽",K974))),"품(복습불필요)",IF(F974&lt;&gt;"","품","미완료"))))))))))</f>
        <v/>
      </c>
      <c r="K974" s="32" t="inlineStr">
        <is>
          <t>-</t>
        </is>
      </c>
      <c r="L974" s="32" t="n"/>
      <c r="M974" s="28">
        <f>IF(OR(LEFT(J974,2)="보류", LEFT(J974,4)="복습대기", LEFT(J974,3)="복습1", LEFT(J974,3)="복습2"), MAX($M$3:M973)+1, "")</f>
        <v/>
      </c>
      <c r="N974" s="28" t="inlineStr">
        <is>
          <t>W23</t>
        </is>
      </c>
      <c r="O974" s="36" t="n">
        <v>46415</v>
      </c>
      <c r="P974" s="30">
        <f>IF(F974&lt;&gt;"","✅ 완료",IF(O974="","-",IF(TODAY()&gt;O974,"🚨 지연","⏳ 예정")))</f>
        <v/>
      </c>
      <c r="Q974" s="7" t="n"/>
      <c r="R974" s="7" t="n"/>
      <c r="S974" s="7" t="n"/>
      <c r="T974" s="7" t="n"/>
      <c r="U974" s="7" t="n"/>
      <c r="V974" s="7" t="n"/>
      <c r="W974" s="7" t="n"/>
      <c r="X974" s="7" t="n"/>
    </row>
    <row r="975" ht="21.75" customHeight="1" s="209">
      <c r="A975" s="28" t="n">
        <v>972</v>
      </c>
      <c r="B975" s="28" t="inlineStr">
        <is>
          <t>4303</t>
        </is>
      </c>
      <c r="C975" s="30" t="inlineStr">
        <is>
          <t>D7</t>
        </is>
      </c>
      <c r="D975" s="32" t="inlineStr">
        <is>
          <t>재성이의 식신로드</t>
        </is>
      </c>
      <c r="E975" s="28" t="inlineStr">
        <is>
          <t>최적화 / 고급 알고리즘</t>
        </is>
      </c>
      <c r="F975" s="28" t="n"/>
      <c r="G975" s="28" t="n"/>
      <c r="H975" s="28" t="n"/>
      <c r="I975" s="28" t="n"/>
      <c r="J975" s="54">
        <f>IF(OR(ISNUMBER(SEARCH("보류",K975)),ISNUMBER(SEARCH("미룸",K975)),ISNUMBER(SEARCH("나중에",K975)),ISNUMBER(SEARCH("보류",L975)),ISNUMBER(SEARCH("미룸",L975)),ISNUMBER(SEARCH("나중에",L975))),"보류(나중에 풀기)",IF(AND(F975="",G975="",H975="",I975=""),"미완료",IF(I975&lt;&gt;"","복습3(마스터)",IF(H975&lt;&gt;"","복습2",IF(G975&lt;&gt;"","복습1",IF(ISNUMBER(SEARCH("제미나이",K975)),"복습대기(AI도움)",IF(ISNUMBER(SEARCH("간당간당",K975)),"복습대기(간당간당)",IF(OR(ISNUMBER(SEARCH("아이디어",K975)),ISNUMBER(SEARCH("시간초과",K975)),ISNUMBER(SEARCH("자료구조",K975)),ISNUMBER(SEARCH("경계값",K975)),ISNUMBER(SEARCH("다른 풀이",K975)),ISNUMBER(SEARCH("또풀기",K975))),"복습대기",IF(OR(ISNUMBER(SEARCH("복습필요없음",K975)),ISNUMBER(SEARCH("자력완벽",K975))),"품(복습불필요)",IF(F975&lt;&gt;"","품","미완료"))))))))))</f>
        <v/>
      </c>
      <c r="K975" s="32" t="inlineStr">
        <is>
          <t>-</t>
        </is>
      </c>
      <c r="L975" s="32" t="n"/>
      <c r="M975" s="28">
        <f>IF(OR(LEFT(J975,2)="보류", LEFT(J975,4)="복습대기", LEFT(J975,3)="복습1", LEFT(J975,3)="복습2"), MAX($M$3:M974)+1, "")</f>
        <v/>
      </c>
      <c r="N975" s="28" t="inlineStr">
        <is>
          <t>W23</t>
        </is>
      </c>
      <c r="O975" s="36" t="n">
        <v>46415</v>
      </c>
      <c r="P975" s="30">
        <f>IF(F975&lt;&gt;"","✅ 완료",IF(O975="","-",IF(TODAY()&gt;O975,"🚨 지연","⏳ 예정")))</f>
        <v/>
      </c>
      <c r="Q975" s="7" t="n"/>
      <c r="R975" s="7" t="n"/>
      <c r="S975" s="7" t="n"/>
      <c r="T975" s="7" t="n"/>
      <c r="U975" s="7" t="n"/>
      <c r="V975" s="7" t="n"/>
      <c r="W975" s="7" t="n"/>
      <c r="X975" s="7" t="n"/>
    </row>
    <row r="976" ht="21.75" customHeight="1" s="209">
      <c r="A976" s="28" t="n">
        <v>973</v>
      </c>
      <c r="B976" s="28" t="inlineStr">
        <is>
          <t>4361</t>
        </is>
      </c>
      <c r="C976" s="30" t="inlineStr">
        <is>
          <t>D7</t>
        </is>
      </c>
      <c r="D976" s="32" t="inlineStr">
        <is>
          <t>마법의 주문</t>
        </is>
      </c>
      <c r="E976" s="28" t="inlineStr">
        <is>
          <t>최적화 / 고급 알고리즘</t>
        </is>
      </c>
      <c r="F976" s="28" t="n"/>
      <c r="G976" s="28" t="n"/>
      <c r="H976" s="28" t="n"/>
      <c r="I976" s="28" t="n"/>
      <c r="J976" s="54">
        <f>IF(OR(ISNUMBER(SEARCH("보류",K976)),ISNUMBER(SEARCH("미룸",K976)),ISNUMBER(SEARCH("나중에",K976)),ISNUMBER(SEARCH("보류",L976)),ISNUMBER(SEARCH("미룸",L976)),ISNUMBER(SEARCH("나중에",L976))),"보류(나중에 풀기)",IF(AND(F976="",G976="",H976="",I976=""),"미완료",IF(I976&lt;&gt;"","복습3(마스터)",IF(H976&lt;&gt;"","복습2",IF(G976&lt;&gt;"","복습1",IF(ISNUMBER(SEARCH("제미나이",K976)),"복습대기(AI도움)",IF(ISNUMBER(SEARCH("간당간당",K976)),"복습대기(간당간당)",IF(OR(ISNUMBER(SEARCH("아이디어",K976)),ISNUMBER(SEARCH("시간초과",K976)),ISNUMBER(SEARCH("자료구조",K976)),ISNUMBER(SEARCH("경계값",K976)),ISNUMBER(SEARCH("다른 풀이",K976)),ISNUMBER(SEARCH("또풀기",K976))),"복습대기",IF(OR(ISNUMBER(SEARCH("복습필요없음",K976)),ISNUMBER(SEARCH("자력완벽",K976))),"품(복습불필요)",IF(F976&lt;&gt;"","품","미완료"))))))))))</f>
        <v/>
      </c>
      <c r="K976" s="32" t="inlineStr">
        <is>
          <t>-</t>
        </is>
      </c>
      <c r="L976" s="32" t="n"/>
      <c r="M976" s="28">
        <f>IF(OR(LEFT(J976,2)="보류", LEFT(J976,4)="복습대기", LEFT(J976,3)="복습1", LEFT(J976,3)="복습2"), MAX($M$3:M975)+1, "")</f>
        <v/>
      </c>
      <c r="N976" s="28" t="inlineStr">
        <is>
          <t>W23</t>
        </is>
      </c>
      <c r="O976" s="36" t="n">
        <v>46415</v>
      </c>
      <c r="P976" s="30">
        <f>IF(F976&lt;&gt;"","✅ 완료",IF(O976="","-",IF(TODAY()&gt;O976,"🚨 지연","⏳ 예정")))</f>
        <v/>
      </c>
      <c r="Q976" s="7" t="n"/>
      <c r="R976" s="7" t="n"/>
      <c r="S976" s="7" t="n"/>
      <c r="T976" s="7" t="n"/>
      <c r="U976" s="7" t="n"/>
      <c r="V976" s="7" t="n"/>
      <c r="W976" s="7" t="n"/>
      <c r="X976" s="7" t="n"/>
    </row>
    <row r="977" ht="21.75" customHeight="1" s="209">
      <c r="A977" s="28" t="n">
        <v>974</v>
      </c>
      <c r="B977" s="28" t="inlineStr">
        <is>
          <t>4412</t>
        </is>
      </c>
      <c r="C977" s="30" t="inlineStr">
        <is>
          <t>D7</t>
        </is>
      </c>
      <c r="D977" s="32" t="inlineStr">
        <is>
          <t>팰린드롬적 동등</t>
        </is>
      </c>
      <c r="E977" s="28" t="inlineStr">
        <is>
          <t>문자열 / 파싱</t>
        </is>
      </c>
      <c r="F977" s="28" t="n"/>
      <c r="G977" s="28" t="n"/>
      <c r="H977" s="28" t="n"/>
      <c r="I977" s="28" t="n"/>
      <c r="J977" s="54">
        <f>IF(OR(ISNUMBER(SEARCH("보류",K977)),ISNUMBER(SEARCH("미룸",K977)),ISNUMBER(SEARCH("나중에",K977)),ISNUMBER(SEARCH("보류",L977)),ISNUMBER(SEARCH("미룸",L977)),ISNUMBER(SEARCH("나중에",L977))),"보류(나중에 풀기)",IF(AND(F977="",G977="",H977="",I977=""),"미완료",IF(I977&lt;&gt;"","복습3(마스터)",IF(H977&lt;&gt;"","복습2",IF(G977&lt;&gt;"","복습1",IF(ISNUMBER(SEARCH("제미나이",K977)),"복습대기(AI도움)",IF(ISNUMBER(SEARCH("간당간당",K977)),"복습대기(간당간당)",IF(OR(ISNUMBER(SEARCH("아이디어",K977)),ISNUMBER(SEARCH("시간초과",K977)),ISNUMBER(SEARCH("자료구조",K977)),ISNUMBER(SEARCH("경계값",K977)),ISNUMBER(SEARCH("다른 풀이",K977)),ISNUMBER(SEARCH("또풀기",K977))),"복습대기",IF(OR(ISNUMBER(SEARCH("복습필요없음",K977)),ISNUMBER(SEARCH("자력완벽",K977))),"품(복습불필요)",IF(F977&lt;&gt;"","품","미완료"))))))))))</f>
        <v/>
      </c>
      <c r="K977" s="32" t="inlineStr">
        <is>
          <t>-</t>
        </is>
      </c>
      <c r="L977" s="32" t="n"/>
      <c r="M977" s="28">
        <f>IF(OR(LEFT(J977,2)="보류", LEFT(J977,4)="복습대기", LEFT(J977,3)="복습1", LEFT(J977,3)="복습2"), MAX($M$3:M976)+1, "")</f>
        <v/>
      </c>
      <c r="N977" s="28" t="inlineStr">
        <is>
          <t>W23</t>
        </is>
      </c>
      <c r="O977" s="36" t="n">
        <v>46415</v>
      </c>
      <c r="P977" s="30">
        <f>IF(F977&lt;&gt;"","✅ 완료",IF(O977="","-",IF(TODAY()&gt;O977,"🚨 지연","⏳ 예정")))</f>
        <v/>
      </c>
      <c r="Q977" s="7" t="n"/>
      <c r="R977" s="7" t="n"/>
      <c r="S977" s="7" t="n"/>
      <c r="T977" s="7" t="n"/>
      <c r="U977" s="7" t="n"/>
      <c r="V977" s="7" t="n"/>
      <c r="W977" s="7" t="n"/>
      <c r="X977" s="7" t="n"/>
    </row>
    <row r="978" ht="21.75" customHeight="1" s="209">
      <c r="A978" s="28" t="n">
        <v>975</v>
      </c>
      <c r="B978" s="28" t="inlineStr">
        <is>
          <t>4475</t>
        </is>
      </c>
      <c r="C978" s="30" t="inlineStr">
        <is>
          <t>D7</t>
        </is>
      </c>
      <c r="D978" s="32" t="inlineStr">
        <is>
          <t>반도체 품질검사</t>
        </is>
      </c>
      <c r="E978" s="28" t="inlineStr">
        <is>
          <t>최적화 / 고급 알고리즘</t>
        </is>
      </c>
      <c r="F978" s="28" t="n"/>
      <c r="G978" s="28" t="n"/>
      <c r="H978" s="28" t="n"/>
      <c r="I978" s="28" t="n"/>
      <c r="J978" s="54">
        <f>IF(OR(ISNUMBER(SEARCH("보류",K978)),ISNUMBER(SEARCH("미룸",K978)),ISNUMBER(SEARCH("나중에",K978)),ISNUMBER(SEARCH("보류",L978)),ISNUMBER(SEARCH("미룸",L978)),ISNUMBER(SEARCH("나중에",L978))),"보류(나중에 풀기)",IF(AND(F978="",G978="",H978="",I978=""),"미완료",IF(I978&lt;&gt;"","복습3(마스터)",IF(H978&lt;&gt;"","복습2",IF(G978&lt;&gt;"","복습1",IF(ISNUMBER(SEARCH("제미나이",K978)),"복습대기(AI도움)",IF(ISNUMBER(SEARCH("간당간당",K978)),"복습대기(간당간당)",IF(OR(ISNUMBER(SEARCH("아이디어",K978)),ISNUMBER(SEARCH("시간초과",K978)),ISNUMBER(SEARCH("자료구조",K978)),ISNUMBER(SEARCH("경계값",K978)),ISNUMBER(SEARCH("다른 풀이",K978)),ISNUMBER(SEARCH("또풀기",K978))),"복습대기",IF(OR(ISNUMBER(SEARCH("복습필요없음",K978)),ISNUMBER(SEARCH("자력완벽",K978))),"품(복습불필요)",IF(F978&lt;&gt;"","품","미완료"))))))))))</f>
        <v/>
      </c>
      <c r="K978" s="32" t="inlineStr">
        <is>
          <t>-</t>
        </is>
      </c>
      <c r="L978" s="32" t="n"/>
      <c r="M978" s="28">
        <f>IF(OR(LEFT(J978,2)="보류", LEFT(J978,4)="복습대기", LEFT(J978,3)="복습1", LEFT(J978,3)="복습2"), MAX($M$3:M977)+1, "")</f>
        <v/>
      </c>
      <c r="N978" s="28" t="inlineStr">
        <is>
          <t>W23</t>
        </is>
      </c>
      <c r="O978" s="36" t="n">
        <v>46415</v>
      </c>
      <c r="P978" s="30">
        <f>IF(F978&lt;&gt;"","✅ 완료",IF(O978="","-",IF(TODAY()&gt;O978,"🚨 지연","⏳ 예정")))</f>
        <v/>
      </c>
      <c r="Q978" s="7" t="n"/>
      <c r="R978" s="7" t="n"/>
      <c r="S978" s="7" t="n"/>
      <c r="T978" s="7" t="n"/>
      <c r="U978" s="7" t="n"/>
      <c r="V978" s="7" t="n"/>
      <c r="W978" s="7" t="n"/>
      <c r="X978" s="7" t="n"/>
    </row>
    <row r="979" ht="21.75" customHeight="1" s="209">
      <c r="A979" s="28" t="n">
        <v>976</v>
      </c>
      <c r="B979" s="28" t="inlineStr">
        <is>
          <t>4524</t>
        </is>
      </c>
      <c r="C979" s="30" t="inlineStr">
        <is>
          <t>D7</t>
        </is>
      </c>
      <c r="D979" s="32" t="inlineStr">
        <is>
          <t>최대 공약수 계산기 만들기</t>
        </is>
      </c>
      <c r="E979" s="28" t="inlineStr">
        <is>
          <t>자료구조 (스택/큐/리스트)</t>
        </is>
      </c>
      <c r="F979" s="28" t="n"/>
      <c r="G979" s="28" t="n"/>
      <c r="H979" s="28" t="n"/>
      <c r="I979" s="28" t="n"/>
      <c r="J979" s="54">
        <f>IF(OR(ISNUMBER(SEARCH("보류",K979)),ISNUMBER(SEARCH("미룸",K979)),ISNUMBER(SEARCH("나중에",K979)),ISNUMBER(SEARCH("보류",L979)),ISNUMBER(SEARCH("미룸",L979)),ISNUMBER(SEARCH("나중에",L979))),"보류(나중에 풀기)",IF(AND(F979="",G979="",H979="",I979=""),"미완료",IF(I979&lt;&gt;"","복습3(마스터)",IF(H979&lt;&gt;"","복습2",IF(G979&lt;&gt;"","복습1",IF(ISNUMBER(SEARCH("제미나이",K979)),"복습대기(AI도움)",IF(ISNUMBER(SEARCH("간당간당",K979)),"복습대기(간당간당)",IF(OR(ISNUMBER(SEARCH("아이디어",K979)),ISNUMBER(SEARCH("시간초과",K979)),ISNUMBER(SEARCH("자료구조",K979)),ISNUMBER(SEARCH("경계값",K979)),ISNUMBER(SEARCH("다른 풀이",K979)),ISNUMBER(SEARCH("또풀기",K979))),"복습대기",IF(OR(ISNUMBER(SEARCH("복습필요없음",K979)),ISNUMBER(SEARCH("자력완벽",K979))),"품(복습불필요)",IF(F979&lt;&gt;"","품","미완료"))))))))))</f>
        <v/>
      </c>
      <c r="K979" s="32" t="inlineStr">
        <is>
          <t>-</t>
        </is>
      </c>
      <c r="L979" s="32" t="n"/>
      <c r="M979" s="28">
        <f>IF(OR(LEFT(J979,2)="보류", LEFT(J979,4)="복습대기", LEFT(J979,3)="복습1", LEFT(J979,3)="복습2"), MAX($M$3:M978)+1, "")</f>
        <v/>
      </c>
      <c r="N979" s="28" t="inlineStr">
        <is>
          <t>W23</t>
        </is>
      </c>
      <c r="O979" s="36" t="n">
        <v>46415</v>
      </c>
      <c r="P979" s="30">
        <f>IF(F979&lt;&gt;"","✅ 완료",IF(O979="","-",IF(TODAY()&gt;O979,"🚨 지연","⏳ 예정")))</f>
        <v/>
      </c>
      <c r="Q979" s="7" t="n"/>
      <c r="R979" s="7" t="n"/>
      <c r="S979" s="7" t="n"/>
      <c r="T979" s="7" t="n"/>
      <c r="U979" s="7" t="n"/>
      <c r="V979" s="7" t="n"/>
      <c r="W979" s="7" t="n"/>
      <c r="X979" s="7" t="n"/>
    </row>
    <row r="980" ht="21.75" customHeight="1" s="209">
      <c r="A980" s="28" t="n">
        <v>977</v>
      </c>
      <c r="B980" s="28" t="inlineStr">
        <is>
          <t>4581</t>
        </is>
      </c>
      <c r="C980" s="30" t="inlineStr">
        <is>
          <t>D7</t>
        </is>
      </c>
      <c r="D980" s="32" t="inlineStr">
        <is>
          <t>문자열 재구성 프로젝트</t>
        </is>
      </c>
      <c r="E980" s="28" t="inlineStr">
        <is>
          <t>문자열 / 파싱</t>
        </is>
      </c>
      <c r="F980" s="28" t="n"/>
      <c r="G980" s="28" t="n"/>
      <c r="H980" s="28" t="n"/>
      <c r="I980" s="28" t="n"/>
      <c r="J980" s="54">
        <f>IF(OR(ISNUMBER(SEARCH("보류",K980)),ISNUMBER(SEARCH("미룸",K980)),ISNUMBER(SEARCH("나중에",K980)),ISNUMBER(SEARCH("보류",L980)),ISNUMBER(SEARCH("미룸",L980)),ISNUMBER(SEARCH("나중에",L980))),"보류(나중에 풀기)",IF(AND(F980="",G980="",H980="",I980=""),"미완료",IF(I980&lt;&gt;"","복습3(마스터)",IF(H980&lt;&gt;"","복습2",IF(G980&lt;&gt;"","복습1",IF(ISNUMBER(SEARCH("제미나이",K980)),"복습대기(AI도움)",IF(ISNUMBER(SEARCH("간당간당",K980)),"복습대기(간당간당)",IF(OR(ISNUMBER(SEARCH("아이디어",K980)),ISNUMBER(SEARCH("시간초과",K980)),ISNUMBER(SEARCH("자료구조",K980)),ISNUMBER(SEARCH("경계값",K980)),ISNUMBER(SEARCH("다른 풀이",K980)),ISNUMBER(SEARCH("또풀기",K980))),"복습대기",IF(OR(ISNUMBER(SEARCH("복습필요없음",K980)),ISNUMBER(SEARCH("자력완벽",K980))),"품(복습불필요)",IF(F980&lt;&gt;"","품","미완료"))))))))))</f>
        <v/>
      </c>
      <c r="K980" s="32" t="inlineStr">
        <is>
          <t>-</t>
        </is>
      </c>
      <c r="L980" s="32" t="n"/>
      <c r="M980" s="28">
        <f>IF(OR(LEFT(J980,2)="보류", LEFT(J980,4)="복습대기", LEFT(J980,3)="복습1", LEFT(J980,3)="복습2"), MAX($M$3:M979)+1, "")</f>
        <v/>
      </c>
      <c r="N980" s="28" t="inlineStr">
        <is>
          <t>W23</t>
        </is>
      </c>
      <c r="O980" s="36" t="n">
        <v>46415</v>
      </c>
      <c r="P980" s="30">
        <f>IF(F980&lt;&gt;"","✅ 완료",IF(O980="","-",IF(TODAY()&gt;O980,"🚨 지연","⏳ 예정")))</f>
        <v/>
      </c>
      <c r="Q980" s="7" t="n"/>
      <c r="R980" s="7" t="n"/>
      <c r="S980" s="7" t="n"/>
      <c r="T980" s="7" t="n"/>
      <c r="U980" s="7" t="n"/>
      <c r="V980" s="7" t="n"/>
      <c r="W980" s="7" t="n"/>
      <c r="X980" s="7" t="n"/>
    </row>
    <row r="981" ht="21.75" customHeight="1" s="209">
      <c r="A981" s="28" t="n">
        <v>978</v>
      </c>
      <c r="B981" s="28" t="inlineStr">
        <is>
          <t>4626</t>
        </is>
      </c>
      <c r="C981" s="30" t="inlineStr">
        <is>
          <t>D7</t>
        </is>
      </c>
      <c r="D981" s="32" t="inlineStr">
        <is>
          <t>같은 접미사 배열 찾기</t>
        </is>
      </c>
      <c r="E981" s="28" t="inlineStr">
        <is>
          <t>시뮬레이션 / 구현</t>
        </is>
      </c>
      <c r="F981" s="28" t="n"/>
      <c r="G981" s="28" t="n"/>
      <c r="H981" s="28" t="n"/>
      <c r="I981" s="28" t="n"/>
      <c r="J981" s="54">
        <f>IF(OR(ISNUMBER(SEARCH("보류",K981)),ISNUMBER(SEARCH("미룸",K981)),ISNUMBER(SEARCH("나중에",K981)),ISNUMBER(SEARCH("보류",L981)),ISNUMBER(SEARCH("미룸",L981)),ISNUMBER(SEARCH("나중에",L981))),"보류(나중에 풀기)",IF(AND(F981="",G981="",H981="",I981=""),"미완료",IF(I981&lt;&gt;"","복습3(마스터)",IF(H981&lt;&gt;"","복습2",IF(G981&lt;&gt;"","복습1",IF(ISNUMBER(SEARCH("제미나이",K981)),"복습대기(AI도움)",IF(ISNUMBER(SEARCH("간당간당",K981)),"복습대기(간당간당)",IF(OR(ISNUMBER(SEARCH("아이디어",K981)),ISNUMBER(SEARCH("시간초과",K981)),ISNUMBER(SEARCH("자료구조",K981)),ISNUMBER(SEARCH("경계값",K981)),ISNUMBER(SEARCH("다른 풀이",K981)),ISNUMBER(SEARCH("또풀기",K981))),"복습대기",IF(OR(ISNUMBER(SEARCH("복습필요없음",K981)),ISNUMBER(SEARCH("자력완벽",K981))),"품(복습불필요)",IF(F981&lt;&gt;"","품","미완료"))))))))))</f>
        <v/>
      </c>
      <c r="K981" s="32" t="inlineStr">
        <is>
          <t>-</t>
        </is>
      </c>
      <c r="L981" s="32" t="n"/>
      <c r="M981" s="28">
        <f>IF(OR(LEFT(J981,2)="보류", LEFT(J981,4)="복습대기", LEFT(J981,3)="복습1", LEFT(J981,3)="복습2"), MAX($M$3:M980)+1, "")</f>
        <v/>
      </c>
      <c r="N981" s="28" t="inlineStr">
        <is>
          <t>W23</t>
        </is>
      </c>
      <c r="O981" s="36" t="n">
        <v>46416</v>
      </c>
      <c r="P981" s="30">
        <f>IF(F981&lt;&gt;"","✅ 완료",IF(O981="","-",IF(TODAY()&gt;O981,"🚨 지연","⏳ 예정")))</f>
        <v/>
      </c>
      <c r="Q981" s="7" t="n"/>
      <c r="R981" s="7" t="n"/>
      <c r="S981" s="7" t="n"/>
      <c r="T981" s="7" t="n"/>
      <c r="U981" s="7" t="n"/>
      <c r="V981" s="7" t="n"/>
      <c r="W981" s="7" t="n"/>
      <c r="X981" s="7" t="n"/>
    </row>
    <row r="982" ht="21.75" customHeight="1" s="209">
      <c r="A982" s="28" t="n">
        <v>979</v>
      </c>
      <c r="B982" s="28" t="inlineStr">
        <is>
          <t>4677</t>
        </is>
      </c>
      <c r="C982" s="30" t="inlineStr">
        <is>
          <t>D7</t>
        </is>
      </c>
      <c r="D982" s="32" t="inlineStr">
        <is>
          <t>직교 직선 게임</t>
        </is>
      </c>
      <c r="E982" s="28" t="inlineStr">
        <is>
          <t>시뮬레이션 / 구현</t>
        </is>
      </c>
      <c r="F982" s="28" t="n"/>
      <c r="G982" s="28" t="n"/>
      <c r="H982" s="28" t="n"/>
      <c r="I982" s="28" t="n"/>
      <c r="J982" s="54">
        <f>IF(OR(ISNUMBER(SEARCH("보류",K982)),ISNUMBER(SEARCH("미룸",K982)),ISNUMBER(SEARCH("나중에",K982)),ISNUMBER(SEARCH("보류",L982)),ISNUMBER(SEARCH("미룸",L982)),ISNUMBER(SEARCH("나중에",L982))),"보류(나중에 풀기)",IF(AND(F982="",G982="",H982="",I982=""),"미완료",IF(I982&lt;&gt;"","복습3(마스터)",IF(H982&lt;&gt;"","복습2",IF(G982&lt;&gt;"","복습1",IF(ISNUMBER(SEARCH("제미나이",K982)),"복습대기(AI도움)",IF(ISNUMBER(SEARCH("간당간당",K982)),"복습대기(간당간당)",IF(OR(ISNUMBER(SEARCH("아이디어",K982)),ISNUMBER(SEARCH("시간초과",K982)),ISNUMBER(SEARCH("자료구조",K982)),ISNUMBER(SEARCH("경계값",K982)),ISNUMBER(SEARCH("다른 풀이",K982)),ISNUMBER(SEARCH("또풀기",K982))),"복습대기",IF(OR(ISNUMBER(SEARCH("복습필요없음",K982)),ISNUMBER(SEARCH("자력완벽",K982))),"품(복습불필요)",IF(F982&lt;&gt;"","품","미완료"))))))))))</f>
        <v/>
      </c>
      <c r="K982" s="32" t="inlineStr">
        <is>
          <t>-</t>
        </is>
      </c>
      <c r="L982" s="32" t="n"/>
      <c r="M982" s="28">
        <f>IF(OR(LEFT(J982,2)="보류", LEFT(J982,4)="복습대기", LEFT(J982,3)="복습1", LEFT(J982,3)="복습2"), MAX($M$3:M981)+1, "")</f>
        <v/>
      </c>
      <c r="N982" s="28" t="inlineStr">
        <is>
          <t>W23</t>
        </is>
      </c>
      <c r="O982" s="36" t="n">
        <v>46416</v>
      </c>
      <c r="P982" s="30">
        <f>IF(F982&lt;&gt;"","✅ 완료",IF(O982="","-",IF(TODAY()&gt;O982,"🚨 지연","⏳ 예정")))</f>
        <v/>
      </c>
      <c r="Q982" s="7" t="n"/>
      <c r="R982" s="7" t="n"/>
      <c r="S982" s="7" t="n"/>
      <c r="T982" s="7" t="n"/>
      <c r="U982" s="7" t="n"/>
      <c r="V982" s="7" t="n"/>
      <c r="W982" s="7" t="n"/>
      <c r="X982" s="7" t="n"/>
    </row>
    <row r="983" ht="21.75" customHeight="1" s="209">
      <c r="A983" s="28" t="n">
        <v>980</v>
      </c>
      <c r="B983" s="28" t="inlineStr">
        <is>
          <t>4702</t>
        </is>
      </c>
      <c r="C983" s="30" t="inlineStr">
        <is>
          <t>D7</t>
        </is>
      </c>
      <c r="D983" s="32" t="inlineStr">
        <is>
          <t>밍이의 트리 번호 붙이기</t>
        </is>
      </c>
      <c r="E983" s="28" t="inlineStr">
        <is>
          <t>트리 / 힙 / 세그먼트트리</t>
        </is>
      </c>
      <c r="F983" s="28" t="n"/>
      <c r="G983" s="28" t="n"/>
      <c r="H983" s="28" t="n"/>
      <c r="I983" s="28" t="n"/>
      <c r="J983" s="54">
        <f>IF(OR(ISNUMBER(SEARCH("보류",K983)),ISNUMBER(SEARCH("미룸",K983)),ISNUMBER(SEARCH("나중에",K983)),ISNUMBER(SEARCH("보류",L983)),ISNUMBER(SEARCH("미룸",L983)),ISNUMBER(SEARCH("나중에",L983))),"보류(나중에 풀기)",IF(AND(F983="",G983="",H983="",I983=""),"미완료",IF(I983&lt;&gt;"","복습3(마스터)",IF(H983&lt;&gt;"","복습2",IF(G983&lt;&gt;"","복습1",IF(ISNUMBER(SEARCH("제미나이",K983)),"복습대기(AI도움)",IF(ISNUMBER(SEARCH("간당간당",K983)),"복습대기(간당간당)",IF(OR(ISNUMBER(SEARCH("아이디어",K983)),ISNUMBER(SEARCH("시간초과",K983)),ISNUMBER(SEARCH("자료구조",K983)),ISNUMBER(SEARCH("경계값",K983)),ISNUMBER(SEARCH("다른 풀이",K983)),ISNUMBER(SEARCH("또풀기",K983))),"복습대기",IF(OR(ISNUMBER(SEARCH("복습필요없음",K983)),ISNUMBER(SEARCH("자력완벽",K983))),"품(복습불필요)",IF(F983&lt;&gt;"","품","미완료"))))))))))</f>
        <v/>
      </c>
      <c r="K983" s="32" t="inlineStr">
        <is>
          <t>-</t>
        </is>
      </c>
      <c r="L983" s="32" t="n"/>
      <c r="M983" s="28">
        <f>IF(OR(LEFT(J983,2)="보류", LEFT(J983,4)="복습대기", LEFT(J983,3)="복습1", LEFT(J983,3)="복습2"), MAX($M$3:M982)+1, "")</f>
        <v/>
      </c>
      <c r="N983" s="28" t="inlineStr">
        <is>
          <t>W23</t>
        </is>
      </c>
      <c r="O983" s="36" t="n">
        <v>46416</v>
      </c>
      <c r="P983" s="30">
        <f>IF(F983&lt;&gt;"","✅ 완료",IF(O983="","-",IF(TODAY()&gt;O983,"🚨 지연","⏳ 예정")))</f>
        <v/>
      </c>
      <c r="Q983" s="7" t="n"/>
      <c r="R983" s="7" t="n"/>
      <c r="S983" s="7" t="n"/>
      <c r="T983" s="7" t="n"/>
      <c r="U983" s="7" t="n"/>
      <c r="V983" s="7" t="n"/>
      <c r="W983" s="7" t="n"/>
      <c r="X983" s="7" t="n"/>
    </row>
    <row r="984" ht="21.75" customHeight="1" s="209">
      <c r="A984" s="28" t="n">
        <v>981</v>
      </c>
      <c r="B984" s="28" t="inlineStr">
        <is>
          <t>4753</t>
        </is>
      </c>
      <c r="C984" s="30" t="inlineStr">
        <is>
          <t>D7</t>
        </is>
      </c>
      <c r="D984" s="32" t="inlineStr">
        <is>
          <t>호둥이의 단어 찾기</t>
        </is>
      </c>
      <c r="E984" s="28" t="inlineStr">
        <is>
          <t>문자열 / 파싱</t>
        </is>
      </c>
      <c r="F984" s="28" t="n"/>
      <c r="G984" s="28" t="n"/>
      <c r="H984" s="28" t="n"/>
      <c r="I984" s="28" t="n"/>
      <c r="J984" s="54">
        <f>IF(OR(ISNUMBER(SEARCH("보류",K984)),ISNUMBER(SEARCH("미룸",K984)),ISNUMBER(SEARCH("나중에",K984)),ISNUMBER(SEARCH("보류",L984)),ISNUMBER(SEARCH("미룸",L984)),ISNUMBER(SEARCH("나중에",L984))),"보류(나중에 풀기)",IF(AND(F984="",G984="",H984="",I984=""),"미완료",IF(I984&lt;&gt;"","복습3(마스터)",IF(H984&lt;&gt;"","복습2",IF(G984&lt;&gt;"","복습1",IF(ISNUMBER(SEARCH("제미나이",K984)),"복습대기(AI도움)",IF(ISNUMBER(SEARCH("간당간당",K984)),"복습대기(간당간당)",IF(OR(ISNUMBER(SEARCH("아이디어",K984)),ISNUMBER(SEARCH("시간초과",K984)),ISNUMBER(SEARCH("자료구조",K984)),ISNUMBER(SEARCH("경계값",K984)),ISNUMBER(SEARCH("다른 풀이",K984)),ISNUMBER(SEARCH("또풀기",K984))),"복습대기",IF(OR(ISNUMBER(SEARCH("복습필요없음",K984)),ISNUMBER(SEARCH("자력완벽",K984))),"품(복습불필요)",IF(F984&lt;&gt;"","품","미완료"))))))))))</f>
        <v/>
      </c>
      <c r="K984" s="32" t="inlineStr">
        <is>
          <t>-</t>
        </is>
      </c>
      <c r="L984" s="32" t="n"/>
      <c r="M984" s="28">
        <f>IF(OR(LEFT(J984,2)="보류", LEFT(J984,4)="복습대기", LEFT(J984,3)="복습1", LEFT(J984,3)="복습2"), MAX($M$3:M983)+1, "")</f>
        <v/>
      </c>
      <c r="N984" s="28" t="inlineStr">
        <is>
          <t>W23</t>
        </is>
      </c>
      <c r="O984" s="36" t="n">
        <v>46416</v>
      </c>
      <c r="P984" s="30">
        <f>IF(F984&lt;&gt;"","✅ 완료",IF(O984="","-",IF(TODAY()&gt;O984,"🚨 지연","⏳ 예정")))</f>
        <v/>
      </c>
      <c r="Q984" s="7" t="n"/>
      <c r="R984" s="7" t="n"/>
      <c r="S984" s="7" t="n"/>
      <c r="T984" s="7" t="n"/>
      <c r="U984" s="7" t="n"/>
      <c r="V984" s="7" t="n"/>
      <c r="W984" s="7" t="n"/>
      <c r="X984" s="7" t="n"/>
    </row>
    <row r="985" ht="21.75" customHeight="1" s="209">
      <c r="A985" s="28" t="n">
        <v>982</v>
      </c>
      <c r="B985" s="28" t="inlineStr">
        <is>
          <t>4792</t>
        </is>
      </c>
      <c r="C985" s="30" t="inlineStr">
        <is>
          <t>D7</t>
        </is>
      </c>
      <c r="D985" s="32" t="inlineStr">
        <is>
          <t>민기의 자전거 조립</t>
        </is>
      </c>
      <c r="E985" s="28" t="inlineStr">
        <is>
          <t>최적화 / 고급 알고리즘</t>
        </is>
      </c>
      <c r="F985" s="28" t="n"/>
      <c r="G985" s="28" t="n"/>
      <c r="H985" s="28" t="n"/>
      <c r="I985" s="28" t="n"/>
      <c r="J985" s="54">
        <f>IF(OR(ISNUMBER(SEARCH("보류",K985)),ISNUMBER(SEARCH("미룸",K985)),ISNUMBER(SEARCH("나중에",K985)),ISNUMBER(SEARCH("보류",L985)),ISNUMBER(SEARCH("미룸",L985)),ISNUMBER(SEARCH("나중에",L985))),"보류(나중에 풀기)",IF(AND(F985="",G985="",H985="",I985=""),"미완료",IF(I985&lt;&gt;"","복습3(마스터)",IF(H985&lt;&gt;"","복습2",IF(G985&lt;&gt;"","복습1",IF(ISNUMBER(SEARCH("제미나이",K985)),"복습대기(AI도움)",IF(ISNUMBER(SEARCH("간당간당",K985)),"복습대기(간당간당)",IF(OR(ISNUMBER(SEARCH("아이디어",K985)),ISNUMBER(SEARCH("시간초과",K985)),ISNUMBER(SEARCH("자료구조",K985)),ISNUMBER(SEARCH("경계값",K985)),ISNUMBER(SEARCH("다른 풀이",K985)),ISNUMBER(SEARCH("또풀기",K985))),"복습대기",IF(OR(ISNUMBER(SEARCH("복습필요없음",K985)),ISNUMBER(SEARCH("자력완벽",K985))),"품(복습불필요)",IF(F985&lt;&gt;"","품","미완료"))))))))))</f>
        <v/>
      </c>
      <c r="K985" s="32" t="inlineStr">
        <is>
          <t>-</t>
        </is>
      </c>
      <c r="L985" s="32" t="n"/>
      <c r="M985" s="28">
        <f>IF(OR(LEFT(J985,2)="보류", LEFT(J985,4)="복습대기", LEFT(J985,3)="복습1", LEFT(J985,3)="복습2"), MAX($M$3:M984)+1, "")</f>
        <v/>
      </c>
      <c r="N985" s="28" t="inlineStr">
        <is>
          <t>W23</t>
        </is>
      </c>
      <c r="O985" s="36" t="n">
        <v>46416</v>
      </c>
      <c r="P985" s="30">
        <f>IF(F985&lt;&gt;"","✅ 완료",IF(O985="","-",IF(TODAY()&gt;O985,"🚨 지연","⏳ 예정")))</f>
        <v/>
      </c>
      <c r="Q985" s="7" t="n"/>
      <c r="R985" s="7" t="n"/>
      <c r="S985" s="7" t="n"/>
      <c r="T985" s="7" t="n"/>
      <c r="U985" s="7" t="n"/>
      <c r="V985" s="7" t="n"/>
      <c r="W985" s="7" t="n"/>
      <c r="X985" s="7" t="n"/>
    </row>
    <row r="986" ht="21.75" customHeight="1" s="209">
      <c r="A986" s="28" t="n">
        <v>983</v>
      </c>
      <c r="B986" s="28" t="inlineStr">
        <is>
          <t>5164</t>
        </is>
      </c>
      <c r="C986" s="30" t="inlineStr">
        <is>
          <t>D7</t>
        </is>
      </c>
      <c r="D986" s="32" t="inlineStr">
        <is>
          <t>상원이의 퍼즐 게임</t>
        </is>
      </c>
      <c r="E986" s="28" t="inlineStr">
        <is>
          <t>시뮬레이션 / 구현</t>
        </is>
      </c>
      <c r="F986" s="28" t="n"/>
      <c r="G986" s="28" t="n"/>
      <c r="H986" s="28" t="n"/>
      <c r="I986" s="28" t="n"/>
      <c r="J986" s="54">
        <f>IF(OR(ISNUMBER(SEARCH("보류",K986)),ISNUMBER(SEARCH("미룸",K986)),ISNUMBER(SEARCH("나중에",K986)),ISNUMBER(SEARCH("보류",L986)),ISNUMBER(SEARCH("미룸",L986)),ISNUMBER(SEARCH("나중에",L986))),"보류(나중에 풀기)",IF(AND(F986="",G986="",H986="",I986=""),"미완료",IF(I986&lt;&gt;"","복습3(마스터)",IF(H986&lt;&gt;"","복습2",IF(G986&lt;&gt;"","복습1",IF(ISNUMBER(SEARCH("제미나이",K986)),"복습대기(AI도움)",IF(ISNUMBER(SEARCH("간당간당",K986)),"복습대기(간당간당)",IF(OR(ISNUMBER(SEARCH("아이디어",K986)),ISNUMBER(SEARCH("시간초과",K986)),ISNUMBER(SEARCH("자료구조",K986)),ISNUMBER(SEARCH("경계값",K986)),ISNUMBER(SEARCH("다른 풀이",K986)),ISNUMBER(SEARCH("또풀기",K986))),"복습대기",IF(OR(ISNUMBER(SEARCH("복습필요없음",K986)),ISNUMBER(SEARCH("자력완벽",K986))),"품(복습불필요)",IF(F986&lt;&gt;"","품","미완료"))))))))))</f>
        <v/>
      </c>
      <c r="K986" s="32" t="inlineStr">
        <is>
          <t>-</t>
        </is>
      </c>
      <c r="L986" s="32" t="n"/>
      <c r="M986" s="28">
        <f>IF(OR(LEFT(J986,2)="보류", LEFT(J986,4)="복습대기", LEFT(J986,3)="복습1", LEFT(J986,3)="복습2"), MAX($M$3:M985)+1, "")</f>
        <v/>
      </c>
      <c r="N986" s="28" t="inlineStr">
        <is>
          <t>W23</t>
        </is>
      </c>
      <c r="O986" s="36" t="n">
        <v>46416</v>
      </c>
      <c r="P986" s="30">
        <f>IF(F986&lt;&gt;"","✅ 완료",IF(O986="","-",IF(TODAY()&gt;O986,"🚨 지연","⏳ 예정")))</f>
        <v/>
      </c>
      <c r="Q986" s="7" t="n"/>
      <c r="R986" s="7" t="n"/>
      <c r="S986" s="7" t="n"/>
      <c r="T986" s="7" t="n"/>
      <c r="U986" s="7" t="n"/>
      <c r="V986" s="7" t="n"/>
      <c r="W986" s="7" t="n"/>
      <c r="X986" s="7" t="n"/>
    </row>
    <row r="987" ht="21.75" customHeight="1" s="209">
      <c r="A987" s="28" t="n">
        <v>984</v>
      </c>
      <c r="B987" s="28" t="inlineStr">
        <is>
          <t>5222</t>
        </is>
      </c>
      <c r="C987" s="30" t="inlineStr">
        <is>
          <t>D7</t>
        </is>
      </c>
      <c r="D987" s="32" t="inlineStr">
        <is>
          <t>진수의 안전지대</t>
        </is>
      </c>
      <c r="E987" s="28" t="inlineStr">
        <is>
          <t>수학 / 정수론</t>
        </is>
      </c>
      <c r="F987" s="28" t="n"/>
      <c r="G987" s="28" t="n"/>
      <c r="H987" s="28" t="n"/>
      <c r="I987" s="28" t="n"/>
      <c r="J987" s="54">
        <f>IF(OR(ISNUMBER(SEARCH("보류",K987)),ISNUMBER(SEARCH("미룸",K987)),ISNUMBER(SEARCH("나중에",K987)),ISNUMBER(SEARCH("보류",L987)),ISNUMBER(SEARCH("미룸",L987)),ISNUMBER(SEARCH("나중에",L987))),"보류(나중에 풀기)",IF(AND(F987="",G987="",H987="",I987=""),"미완료",IF(I987&lt;&gt;"","복습3(마스터)",IF(H987&lt;&gt;"","복습2",IF(G987&lt;&gt;"","복습1",IF(ISNUMBER(SEARCH("제미나이",K987)),"복습대기(AI도움)",IF(ISNUMBER(SEARCH("간당간당",K987)),"복습대기(간당간당)",IF(OR(ISNUMBER(SEARCH("아이디어",K987)),ISNUMBER(SEARCH("시간초과",K987)),ISNUMBER(SEARCH("자료구조",K987)),ISNUMBER(SEARCH("경계값",K987)),ISNUMBER(SEARCH("다른 풀이",K987)),ISNUMBER(SEARCH("또풀기",K987))),"복습대기",IF(OR(ISNUMBER(SEARCH("복습필요없음",K987)),ISNUMBER(SEARCH("자력완벽",K987))),"품(복습불필요)",IF(F987&lt;&gt;"","품","미완료"))))))))))</f>
        <v/>
      </c>
      <c r="K987" s="32" t="inlineStr">
        <is>
          <t>-</t>
        </is>
      </c>
      <c r="L987" s="32" t="n"/>
      <c r="M987" s="28">
        <f>IF(OR(LEFT(J987,2)="보류", LEFT(J987,4)="복습대기", LEFT(J987,3)="복습1", LEFT(J987,3)="복습2"), MAX($M$3:M986)+1, "")</f>
        <v/>
      </c>
      <c r="N987" s="28" t="inlineStr">
        <is>
          <t>W23</t>
        </is>
      </c>
      <c r="O987" s="36" t="n">
        <v>46416</v>
      </c>
      <c r="P987" s="30">
        <f>IF(F987&lt;&gt;"","✅ 완료",IF(O987="","-",IF(TODAY()&gt;O987,"🚨 지연","⏳ 예정")))</f>
        <v/>
      </c>
      <c r="Q987" s="7" t="n"/>
      <c r="R987" s="7" t="n"/>
      <c r="S987" s="7" t="n"/>
      <c r="T987" s="7" t="n"/>
      <c r="U987" s="7" t="n"/>
      <c r="V987" s="7" t="n"/>
      <c r="W987" s="7" t="n"/>
      <c r="X987" s="7" t="n"/>
    </row>
    <row r="988" ht="21.75" customHeight="1" s="209">
      <c r="A988" s="28" t="n">
        <v>985</v>
      </c>
      <c r="B988" s="28" t="inlineStr">
        <is>
          <t>5363</t>
        </is>
      </c>
      <c r="C988" s="30" t="inlineStr">
        <is>
          <t>D7</t>
        </is>
      </c>
      <c r="D988" s="32" t="inlineStr">
        <is>
          <t>부분 수열의 힘</t>
        </is>
      </c>
      <c r="E988" s="28" t="inlineStr">
        <is>
          <t>동적계획법 (DP)</t>
        </is>
      </c>
      <c r="F988" s="28" t="n"/>
      <c r="G988" s="28" t="n"/>
      <c r="H988" s="28" t="n"/>
      <c r="I988" s="28" t="n"/>
      <c r="J988" s="54">
        <f>IF(OR(ISNUMBER(SEARCH("보류",K988)),ISNUMBER(SEARCH("미룸",K988)),ISNUMBER(SEARCH("나중에",K988)),ISNUMBER(SEARCH("보류",L988)),ISNUMBER(SEARCH("미룸",L988)),ISNUMBER(SEARCH("나중에",L988))),"보류(나중에 풀기)",IF(AND(F988="",G988="",H988="",I988=""),"미완료",IF(I988&lt;&gt;"","복습3(마스터)",IF(H988&lt;&gt;"","복습2",IF(G988&lt;&gt;"","복습1",IF(ISNUMBER(SEARCH("제미나이",K988)),"복습대기(AI도움)",IF(ISNUMBER(SEARCH("간당간당",K988)),"복습대기(간당간당)",IF(OR(ISNUMBER(SEARCH("아이디어",K988)),ISNUMBER(SEARCH("시간초과",K988)),ISNUMBER(SEARCH("자료구조",K988)),ISNUMBER(SEARCH("경계값",K988)),ISNUMBER(SEARCH("다른 풀이",K988)),ISNUMBER(SEARCH("또풀기",K988))),"복습대기",IF(OR(ISNUMBER(SEARCH("복습필요없음",K988)),ISNUMBER(SEARCH("자력완벽",K988))),"품(복습불필요)",IF(F988&lt;&gt;"","품","미완료"))))))))))</f>
        <v/>
      </c>
      <c r="K988" s="32" t="inlineStr">
        <is>
          <t>-</t>
        </is>
      </c>
      <c r="L988" s="32" t="n"/>
      <c r="M988" s="28">
        <f>IF(OR(LEFT(J988,2)="보류", LEFT(J988,4)="복습대기", LEFT(J988,3)="복습1", LEFT(J988,3)="복습2"), MAX($M$3:M987)+1, "")</f>
        <v/>
      </c>
      <c r="N988" s="28" t="inlineStr">
        <is>
          <t>W23</t>
        </is>
      </c>
      <c r="O988" s="36" t="n">
        <v>46416</v>
      </c>
      <c r="P988" s="30">
        <f>IF(F988&lt;&gt;"","✅ 완료",IF(O988="","-",IF(TODAY()&gt;O988,"🚨 지연","⏳ 예정")))</f>
        <v/>
      </c>
      <c r="Q988" s="7" t="n"/>
      <c r="R988" s="7" t="n"/>
      <c r="S988" s="7" t="n"/>
      <c r="T988" s="7" t="n"/>
      <c r="U988" s="7" t="n"/>
      <c r="V988" s="7" t="n"/>
      <c r="W988" s="7" t="n"/>
      <c r="X988" s="7" t="n"/>
    </row>
    <row r="989" ht="21.75" customHeight="1" s="209">
      <c r="A989" s="28" t="n">
        <v>986</v>
      </c>
      <c r="B989" s="28" t="inlineStr">
        <is>
          <t>5439</t>
        </is>
      </c>
      <c r="C989" s="30" t="inlineStr">
        <is>
          <t>D7</t>
        </is>
      </c>
      <c r="D989" s="32" t="inlineStr">
        <is>
          <t>마트료시카 인형</t>
        </is>
      </c>
      <c r="E989" s="28" t="inlineStr">
        <is>
          <t>최적화 / 고급 알고리즘</t>
        </is>
      </c>
      <c r="F989" s="28" t="n"/>
      <c r="G989" s="28" t="n"/>
      <c r="H989" s="28" t="n"/>
      <c r="I989" s="28" t="n"/>
      <c r="J989" s="54">
        <f>IF(OR(ISNUMBER(SEARCH("보류",K989)),ISNUMBER(SEARCH("미룸",K989)),ISNUMBER(SEARCH("나중에",K989)),ISNUMBER(SEARCH("보류",L989)),ISNUMBER(SEARCH("미룸",L989)),ISNUMBER(SEARCH("나중에",L989))),"보류(나중에 풀기)",IF(AND(F989="",G989="",H989="",I989=""),"미완료",IF(I989&lt;&gt;"","복습3(마스터)",IF(H989&lt;&gt;"","복습2",IF(G989&lt;&gt;"","복습1",IF(ISNUMBER(SEARCH("제미나이",K989)),"복습대기(AI도움)",IF(ISNUMBER(SEARCH("간당간당",K989)),"복습대기(간당간당)",IF(OR(ISNUMBER(SEARCH("아이디어",K989)),ISNUMBER(SEARCH("시간초과",K989)),ISNUMBER(SEARCH("자료구조",K989)),ISNUMBER(SEARCH("경계값",K989)),ISNUMBER(SEARCH("다른 풀이",K989)),ISNUMBER(SEARCH("또풀기",K989))),"복습대기",IF(OR(ISNUMBER(SEARCH("복습필요없음",K989)),ISNUMBER(SEARCH("자력완벽",K989))),"품(복습불필요)",IF(F989&lt;&gt;"","품","미완료"))))))))))</f>
        <v/>
      </c>
      <c r="K989" s="32" t="inlineStr">
        <is>
          <t>-</t>
        </is>
      </c>
      <c r="L989" s="32" t="n"/>
      <c r="M989" s="28">
        <f>IF(OR(LEFT(J989,2)="보류", LEFT(J989,4)="복습대기", LEFT(J989,3)="복습1", LEFT(J989,3)="복습2"), MAX($M$3:M988)+1, "")</f>
        <v/>
      </c>
      <c r="N989" s="28" t="inlineStr">
        <is>
          <t>W23</t>
        </is>
      </c>
      <c r="O989" s="36" t="n">
        <v>46417</v>
      </c>
      <c r="P989" s="30">
        <f>IF(F989&lt;&gt;"","✅ 완료",IF(O989="","-",IF(TODAY()&gt;O989,"🚨 지연","⏳ 예정")))</f>
        <v/>
      </c>
      <c r="Q989" s="7" t="n"/>
      <c r="R989" s="7" t="n"/>
      <c r="S989" s="7" t="n"/>
      <c r="T989" s="7" t="n"/>
      <c r="U989" s="7" t="n"/>
      <c r="V989" s="7" t="n"/>
      <c r="W989" s="7" t="n"/>
      <c r="X989" s="7" t="n"/>
    </row>
    <row r="990" ht="21.75" customHeight="1" s="209">
      <c r="A990" s="28" t="n">
        <v>987</v>
      </c>
      <c r="B990" s="28" t="inlineStr">
        <is>
          <t>5517</t>
        </is>
      </c>
      <c r="C990" s="30" t="inlineStr">
        <is>
          <t>D7</t>
        </is>
      </c>
      <c r="D990" s="32" t="inlineStr">
        <is>
          <t>은비의 스케이팅 게임</t>
        </is>
      </c>
      <c r="E990" s="28" t="inlineStr">
        <is>
          <t>시뮬레이션 / 구현</t>
        </is>
      </c>
      <c r="F990" s="28" t="n"/>
      <c r="G990" s="28" t="n"/>
      <c r="H990" s="28" t="n"/>
      <c r="I990" s="28" t="n"/>
      <c r="J990" s="54">
        <f>IF(OR(ISNUMBER(SEARCH("보류",K990)),ISNUMBER(SEARCH("미룸",K990)),ISNUMBER(SEARCH("나중에",K990)),ISNUMBER(SEARCH("보류",L990)),ISNUMBER(SEARCH("미룸",L990)),ISNUMBER(SEARCH("나중에",L990))),"보류(나중에 풀기)",IF(AND(F990="",G990="",H990="",I990=""),"미완료",IF(I990&lt;&gt;"","복습3(마스터)",IF(H990&lt;&gt;"","복습2",IF(G990&lt;&gt;"","복습1",IF(ISNUMBER(SEARCH("제미나이",K990)),"복습대기(AI도움)",IF(ISNUMBER(SEARCH("간당간당",K990)),"복습대기(간당간당)",IF(OR(ISNUMBER(SEARCH("아이디어",K990)),ISNUMBER(SEARCH("시간초과",K990)),ISNUMBER(SEARCH("자료구조",K990)),ISNUMBER(SEARCH("경계값",K990)),ISNUMBER(SEARCH("다른 풀이",K990)),ISNUMBER(SEARCH("또풀기",K990))),"복습대기",IF(OR(ISNUMBER(SEARCH("복습필요없음",K990)),ISNUMBER(SEARCH("자력완벽",K990))),"품(복습불필요)",IF(F990&lt;&gt;"","품","미완료"))))))))))</f>
        <v/>
      </c>
      <c r="K990" s="32" t="inlineStr">
        <is>
          <t>-</t>
        </is>
      </c>
      <c r="L990" s="32" t="n"/>
      <c r="M990" s="28">
        <f>IF(OR(LEFT(J990,2)="보류", LEFT(J990,4)="복습대기", LEFT(J990,3)="복습1", LEFT(J990,3)="복습2"), MAX($M$3:M989)+1, "")</f>
        <v/>
      </c>
      <c r="N990" s="28" t="inlineStr">
        <is>
          <t>W23</t>
        </is>
      </c>
      <c r="O990" s="36" t="n">
        <v>46417</v>
      </c>
      <c r="P990" s="30">
        <f>IF(F990&lt;&gt;"","✅ 완료",IF(O990="","-",IF(TODAY()&gt;O990,"🚨 지연","⏳ 예정")))</f>
        <v/>
      </c>
      <c r="Q990" s="7" t="n"/>
      <c r="R990" s="7" t="n"/>
      <c r="S990" s="7" t="n"/>
      <c r="T990" s="7" t="n"/>
      <c r="U990" s="7" t="n"/>
      <c r="V990" s="7" t="n"/>
      <c r="W990" s="7" t="n"/>
      <c r="X990" s="7" t="n"/>
    </row>
    <row r="991" ht="21.75" customHeight="1" s="209">
      <c r="A991" s="28" t="n">
        <v>988</v>
      </c>
      <c r="B991" s="28" t="inlineStr">
        <is>
          <t>5551</t>
        </is>
      </c>
      <c r="C991" s="30" t="inlineStr">
        <is>
          <t>D7</t>
        </is>
      </c>
      <c r="D991" s="32" t="inlineStr">
        <is>
          <t>영은이의 공 모으기</t>
        </is>
      </c>
      <c r="E991" s="28" t="inlineStr">
        <is>
          <t>최적화 / 고급 알고리즘</t>
        </is>
      </c>
      <c r="F991" s="28" t="n"/>
      <c r="G991" s="28" t="n"/>
      <c r="H991" s="28" t="n"/>
      <c r="I991" s="28" t="n"/>
      <c r="J991" s="54">
        <f>IF(OR(ISNUMBER(SEARCH("보류",K991)),ISNUMBER(SEARCH("미룸",K991)),ISNUMBER(SEARCH("나중에",K991)),ISNUMBER(SEARCH("보류",L991)),ISNUMBER(SEARCH("미룸",L991)),ISNUMBER(SEARCH("나중에",L991))),"보류(나중에 풀기)",IF(AND(F991="",G991="",H991="",I991=""),"미완료",IF(I991&lt;&gt;"","복습3(마스터)",IF(H991&lt;&gt;"","복습2",IF(G991&lt;&gt;"","복습1",IF(ISNUMBER(SEARCH("제미나이",K991)),"복습대기(AI도움)",IF(ISNUMBER(SEARCH("간당간당",K991)),"복습대기(간당간당)",IF(OR(ISNUMBER(SEARCH("아이디어",K991)),ISNUMBER(SEARCH("시간초과",K991)),ISNUMBER(SEARCH("자료구조",K991)),ISNUMBER(SEARCH("경계값",K991)),ISNUMBER(SEARCH("다른 풀이",K991)),ISNUMBER(SEARCH("또풀기",K991))),"복습대기",IF(OR(ISNUMBER(SEARCH("복습필요없음",K991)),ISNUMBER(SEARCH("자력완벽",K991))),"품(복습불필요)",IF(F991&lt;&gt;"","품","미완료"))))))))))</f>
        <v/>
      </c>
      <c r="K991" s="32" t="inlineStr">
        <is>
          <t>-</t>
        </is>
      </c>
      <c r="L991" s="32" t="n"/>
      <c r="M991" s="28">
        <f>IF(OR(LEFT(J991,2)="보류", LEFT(J991,4)="복습대기", LEFT(J991,3)="복습1", LEFT(J991,3)="복습2"), MAX($M$3:M990)+1, "")</f>
        <v/>
      </c>
      <c r="N991" s="28" t="inlineStr">
        <is>
          <t>W23</t>
        </is>
      </c>
      <c r="O991" s="36" t="n">
        <v>46417</v>
      </c>
      <c r="P991" s="30">
        <f>IF(F991&lt;&gt;"","✅ 완료",IF(O991="","-",IF(TODAY()&gt;O991,"🚨 지연","⏳ 예정")))</f>
        <v/>
      </c>
      <c r="Q991" s="7" t="n"/>
      <c r="R991" s="7" t="n"/>
      <c r="S991" s="7" t="n"/>
      <c r="T991" s="7" t="n"/>
      <c r="U991" s="7" t="n"/>
      <c r="V991" s="7" t="n"/>
      <c r="W991" s="7" t="n"/>
      <c r="X991" s="7" t="n"/>
    </row>
    <row r="992" ht="21.75" customHeight="1" s="209">
      <c r="A992" s="28" t="n">
        <v>989</v>
      </c>
      <c r="B992" s="28" t="inlineStr">
        <is>
          <t>5697</t>
        </is>
      </c>
      <c r="C992" s="30" t="inlineStr">
        <is>
          <t>D7</t>
        </is>
      </c>
      <c r="D992" s="32" t="inlineStr">
        <is>
          <t>상원이의 최소 비용 이분 검색</t>
        </is>
      </c>
      <c r="E992" s="28" t="inlineStr">
        <is>
          <t>이진탐색 (Binary Search)</t>
        </is>
      </c>
      <c r="F992" s="28" t="n"/>
      <c r="G992" s="28" t="n"/>
      <c r="H992" s="28" t="n"/>
      <c r="I992" s="28" t="n"/>
      <c r="J992" s="54">
        <f>IF(OR(ISNUMBER(SEARCH("보류",K992)),ISNUMBER(SEARCH("미룸",K992)),ISNUMBER(SEARCH("나중에",K992)),ISNUMBER(SEARCH("보류",L992)),ISNUMBER(SEARCH("미룸",L992)),ISNUMBER(SEARCH("나중에",L992))),"보류(나중에 풀기)",IF(AND(F992="",G992="",H992="",I992=""),"미완료",IF(I992&lt;&gt;"","복습3(마스터)",IF(H992&lt;&gt;"","복습2",IF(G992&lt;&gt;"","복습1",IF(ISNUMBER(SEARCH("제미나이",K992)),"복습대기(AI도움)",IF(ISNUMBER(SEARCH("간당간당",K992)),"복습대기(간당간당)",IF(OR(ISNUMBER(SEARCH("아이디어",K992)),ISNUMBER(SEARCH("시간초과",K992)),ISNUMBER(SEARCH("자료구조",K992)),ISNUMBER(SEARCH("경계값",K992)),ISNUMBER(SEARCH("다른 풀이",K992)),ISNUMBER(SEARCH("또풀기",K992))),"복습대기",IF(OR(ISNUMBER(SEARCH("복습필요없음",K992)),ISNUMBER(SEARCH("자력완벽",K992))),"품(복습불필요)",IF(F992&lt;&gt;"","품","미완료"))))))))))</f>
        <v/>
      </c>
      <c r="K992" s="32" t="inlineStr">
        <is>
          <t>-</t>
        </is>
      </c>
      <c r="L992" s="32" t="n"/>
      <c r="M992" s="28">
        <f>IF(OR(LEFT(J992,2)="보류", LEFT(J992,4)="복습대기", LEFT(J992,3)="복습1", LEFT(J992,3)="복습2"), MAX($M$3:M991)+1, "")</f>
        <v/>
      </c>
      <c r="N992" s="28" t="inlineStr">
        <is>
          <t>W23</t>
        </is>
      </c>
      <c r="O992" s="36" t="n">
        <v>46417</v>
      </c>
      <c r="P992" s="30">
        <f>IF(F992&lt;&gt;"","✅ 완료",IF(O992="","-",IF(TODAY()&gt;O992,"🚨 지연","⏳ 예정")))</f>
        <v/>
      </c>
      <c r="Q992" s="7" t="n"/>
      <c r="R992" s="7" t="n"/>
      <c r="S992" s="7" t="n"/>
      <c r="T992" s="7" t="n"/>
      <c r="U992" s="7" t="n"/>
      <c r="V992" s="7" t="n"/>
      <c r="W992" s="7" t="n"/>
      <c r="X992" s="7" t="n"/>
    </row>
    <row r="993" ht="21.75" customHeight="1" s="209">
      <c r="A993" s="28" t="n">
        <v>990</v>
      </c>
      <c r="B993" s="28" t="inlineStr">
        <is>
          <t>5791</t>
        </is>
      </c>
      <c r="C993" s="30" t="inlineStr">
        <is>
          <t>D7</t>
        </is>
      </c>
      <c r="D993" s="32" t="inlineStr">
        <is>
          <t>현규의 비율 맞추기</t>
        </is>
      </c>
      <c r="E993" s="28" t="inlineStr">
        <is>
          <t>최적화 / 고급 알고리즘</t>
        </is>
      </c>
      <c r="F993" s="28" t="n"/>
      <c r="G993" s="28" t="n"/>
      <c r="H993" s="28" t="n"/>
      <c r="I993" s="28" t="n"/>
      <c r="J993" s="54">
        <f>IF(OR(ISNUMBER(SEARCH("보류",K993)),ISNUMBER(SEARCH("미룸",K993)),ISNUMBER(SEARCH("나중에",K993)),ISNUMBER(SEARCH("보류",L993)),ISNUMBER(SEARCH("미룸",L993)),ISNUMBER(SEARCH("나중에",L993))),"보류(나중에 풀기)",IF(AND(F993="",G993="",H993="",I993=""),"미완료",IF(I993&lt;&gt;"","복습3(마스터)",IF(H993&lt;&gt;"","복습2",IF(G993&lt;&gt;"","복습1",IF(ISNUMBER(SEARCH("제미나이",K993)),"복습대기(AI도움)",IF(ISNUMBER(SEARCH("간당간당",K993)),"복습대기(간당간당)",IF(OR(ISNUMBER(SEARCH("아이디어",K993)),ISNUMBER(SEARCH("시간초과",K993)),ISNUMBER(SEARCH("자료구조",K993)),ISNUMBER(SEARCH("경계값",K993)),ISNUMBER(SEARCH("다른 풀이",K993)),ISNUMBER(SEARCH("또풀기",K993))),"복습대기",IF(OR(ISNUMBER(SEARCH("복습필요없음",K993)),ISNUMBER(SEARCH("자력완벽",K993))),"품(복습불필요)",IF(F993&lt;&gt;"","품","미완료"))))))))))</f>
        <v/>
      </c>
      <c r="K993" s="32" t="inlineStr">
        <is>
          <t>-</t>
        </is>
      </c>
      <c r="L993" s="32" t="n"/>
      <c r="M993" s="28">
        <f>IF(OR(LEFT(J993,2)="보류", LEFT(J993,4)="복습대기", LEFT(J993,3)="복습1", LEFT(J993,3)="복습2"), MAX($M$3:M992)+1, "")</f>
        <v/>
      </c>
      <c r="N993" s="28" t="inlineStr">
        <is>
          <t>W23</t>
        </is>
      </c>
      <c r="O993" s="36" t="n">
        <v>46417</v>
      </c>
      <c r="P993" s="30">
        <f>IF(F993&lt;&gt;"","✅ 완료",IF(O993="","-",IF(TODAY()&gt;O993,"🚨 지연","⏳ 예정")))</f>
        <v/>
      </c>
      <c r="Q993" s="7" t="n"/>
      <c r="R993" s="7" t="n"/>
      <c r="S993" s="7" t="n"/>
      <c r="T993" s="7" t="n"/>
      <c r="U993" s="7" t="n"/>
      <c r="V993" s="7" t="n"/>
      <c r="W993" s="7" t="n"/>
      <c r="X993" s="7" t="n"/>
    </row>
    <row r="994" ht="21.75" customHeight="1" s="209">
      <c r="A994" s="28" t="n">
        <v>991</v>
      </c>
      <c r="B994" s="28" t="inlineStr">
        <is>
          <t>5954</t>
        </is>
      </c>
      <c r="C994" s="30" t="inlineStr">
        <is>
          <t>D7</t>
        </is>
      </c>
      <c r="D994" s="32" t="inlineStr">
        <is>
          <t>지루하지 않은 수열</t>
        </is>
      </c>
      <c r="E994" s="28" t="inlineStr">
        <is>
          <t>동적계획법 (DP)</t>
        </is>
      </c>
      <c r="F994" s="28" t="n"/>
      <c r="G994" s="28" t="n"/>
      <c r="H994" s="28" t="n"/>
      <c r="I994" s="28" t="n"/>
      <c r="J994" s="54">
        <f>IF(OR(ISNUMBER(SEARCH("보류",K994)),ISNUMBER(SEARCH("미룸",K994)),ISNUMBER(SEARCH("나중에",K994)),ISNUMBER(SEARCH("보류",L994)),ISNUMBER(SEARCH("미룸",L994)),ISNUMBER(SEARCH("나중에",L994))),"보류(나중에 풀기)",IF(AND(F994="",G994="",H994="",I994=""),"미완료",IF(I994&lt;&gt;"","복습3(마스터)",IF(H994&lt;&gt;"","복습2",IF(G994&lt;&gt;"","복습1",IF(ISNUMBER(SEARCH("제미나이",K994)),"복습대기(AI도움)",IF(ISNUMBER(SEARCH("간당간당",K994)),"복습대기(간당간당)",IF(OR(ISNUMBER(SEARCH("아이디어",K994)),ISNUMBER(SEARCH("시간초과",K994)),ISNUMBER(SEARCH("자료구조",K994)),ISNUMBER(SEARCH("경계값",K994)),ISNUMBER(SEARCH("다른 풀이",K994)),ISNUMBER(SEARCH("또풀기",K994))),"복습대기",IF(OR(ISNUMBER(SEARCH("복습필요없음",K994)),ISNUMBER(SEARCH("자력완벽",K994))),"품(복습불필요)",IF(F994&lt;&gt;"","품","미완료"))))))))))</f>
        <v/>
      </c>
      <c r="K994" s="32" t="inlineStr">
        <is>
          <t>-</t>
        </is>
      </c>
      <c r="L994" s="32" t="n"/>
      <c r="M994" s="28">
        <f>IF(OR(LEFT(J994,2)="보류", LEFT(J994,4)="복습대기", LEFT(J994,3)="복습1", LEFT(J994,3)="복습2"), MAX($M$3:M993)+1, "")</f>
        <v/>
      </c>
      <c r="N994" s="28" t="inlineStr">
        <is>
          <t>W23</t>
        </is>
      </c>
      <c r="O994" s="36" t="n">
        <v>46417</v>
      </c>
      <c r="P994" s="30">
        <f>IF(F994&lt;&gt;"","✅ 완료",IF(O994="","-",IF(TODAY()&gt;O994,"🚨 지연","⏳ 예정")))</f>
        <v/>
      </c>
      <c r="Q994" s="7" t="n"/>
      <c r="R994" s="7" t="n"/>
      <c r="S994" s="7" t="n"/>
      <c r="T994" s="7" t="n"/>
      <c r="U994" s="7" t="n"/>
      <c r="V994" s="7" t="n"/>
      <c r="W994" s="7" t="n"/>
      <c r="X994" s="7" t="n"/>
    </row>
    <row r="995" ht="21.75" customHeight="1" s="209">
      <c r="A995" s="28" t="n">
        <v>992</v>
      </c>
      <c r="B995" s="28" t="inlineStr">
        <is>
          <t>5994</t>
        </is>
      </c>
      <c r="C995" s="30" t="inlineStr">
        <is>
          <t>D7</t>
        </is>
      </c>
      <c r="D995" s="32" t="inlineStr">
        <is>
          <t>희인이의 트라이나누기</t>
        </is>
      </c>
      <c r="E995" s="28" t="inlineStr">
        <is>
          <t>최적화 / 고급 알고리즘</t>
        </is>
      </c>
      <c r="F995" s="28" t="n"/>
      <c r="G995" s="28" t="n"/>
      <c r="H995" s="28" t="n"/>
      <c r="I995" s="28" t="n"/>
      <c r="J995" s="54">
        <f>IF(OR(ISNUMBER(SEARCH("보류",K995)),ISNUMBER(SEARCH("미룸",K995)),ISNUMBER(SEARCH("나중에",K995)),ISNUMBER(SEARCH("보류",L995)),ISNUMBER(SEARCH("미룸",L995)),ISNUMBER(SEARCH("나중에",L995))),"보류(나중에 풀기)",IF(AND(F995="",G995="",H995="",I995=""),"미완료",IF(I995&lt;&gt;"","복습3(마스터)",IF(H995&lt;&gt;"","복습2",IF(G995&lt;&gt;"","복습1",IF(ISNUMBER(SEARCH("제미나이",K995)),"복습대기(AI도움)",IF(ISNUMBER(SEARCH("간당간당",K995)),"복습대기(간당간당)",IF(OR(ISNUMBER(SEARCH("아이디어",K995)),ISNUMBER(SEARCH("시간초과",K995)),ISNUMBER(SEARCH("자료구조",K995)),ISNUMBER(SEARCH("경계값",K995)),ISNUMBER(SEARCH("다른 풀이",K995)),ISNUMBER(SEARCH("또풀기",K995))),"복습대기",IF(OR(ISNUMBER(SEARCH("복습필요없음",K995)),ISNUMBER(SEARCH("자력완벽",K995))),"품(복습불필요)",IF(F995&lt;&gt;"","품","미완료"))))))))))</f>
        <v/>
      </c>
      <c r="K995" s="32" t="inlineStr">
        <is>
          <t>-</t>
        </is>
      </c>
      <c r="L995" s="32" t="n"/>
      <c r="M995" s="28">
        <f>IF(OR(LEFT(J995,2)="보류", LEFT(J995,4)="복습대기", LEFT(J995,3)="복습1", LEFT(J995,3)="복습2"), MAX($M$3:M994)+1, "")</f>
        <v/>
      </c>
      <c r="N995" s="28" t="inlineStr">
        <is>
          <t>W23</t>
        </is>
      </c>
      <c r="O995" s="36" t="n">
        <v>46417</v>
      </c>
      <c r="P995" s="30">
        <f>IF(F995&lt;&gt;"","✅ 완료",IF(O995="","-",IF(TODAY()&gt;O995,"🚨 지연","⏳ 예정")))</f>
        <v/>
      </c>
      <c r="Q995" s="7" t="n"/>
      <c r="R995" s="7" t="n"/>
      <c r="S995" s="7" t="n"/>
      <c r="T995" s="7" t="n"/>
      <c r="U995" s="7" t="n"/>
      <c r="V995" s="7" t="n"/>
      <c r="W995" s="7" t="n"/>
      <c r="X995" s="7" t="n"/>
    </row>
    <row r="996" ht="21.75" customHeight="1" s="209">
      <c r="A996" s="28" t="n">
        <v>993</v>
      </c>
      <c r="B996" s="28" t="inlineStr">
        <is>
          <t>6020</t>
        </is>
      </c>
      <c r="C996" s="30" t="inlineStr">
        <is>
          <t>D7</t>
        </is>
      </c>
      <c r="D996" s="32" t="inlineStr">
        <is>
          <t>설희의 양궁연습</t>
        </is>
      </c>
      <c r="E996" s="28" t="inlineStr">
        <is>
          <t>최적화 / 고급 알고리즘</t>
        </is>
      </c>
      <c r="F996" s="28" t="n"/>
      <c r="G996" s="28" t="n"/>
      <c r="H996" s="28" t="n"/>
      <c r="I996" s="28" t="n"/>
      <c r="J996" s="54">
        <f>IF(OR(ISNUMBER(SEARCH("보류",K996)),ISNUMBER(SEARCH("미룸",K996)),ISNUMBER(SEARCH("나중에",K996)),ISNUMBER(SEARCH("보류",L996)),ISNUMBER(SEARCH("미룸",L996)),ISNUMBER(SEARCH("나중에",L996))),"보류(나중에 풀기)",IF(AND(F996="",G996="",H996="",I996=""),"미완료",IF(I996&lt;&gt;"","복습3(마스터)",IF(H996&lt;&gt;"","복습2",IF(G996&lt;&gt;"","복습1",IF(ISNUMBER(SEARCH("제미나이",K996)),"복습대기(AI도움)",IF(ISNUMBER(SEARCH("간당간당",K996)),"복습대기(간당간당)",IF(OR(ISNUMBER(SEARCH("아이디어",K996)),ISNUMBER(SEARCH("시간초과",K996)),ISNUMBER(SEARCH("자료구조",K996)),ISNUMBER(SEARCH("경계값",K996)),ISNUMBER(SEARCH("다른 풀이",K996)),ISNUMBER(SEARCH("또풀기",K996))),"복습대기",IF(OR(ISNUMBER(SEARCH("복습필요없음",K996)),ISNUMBER(SEARCH("자력완벽",K996))),"품(복습불필요)",IF(F996&lt;&gt;"","품","미완료"))))))))))</f>
        <v/>
      </c>
      <c r="K996" s="32" t="inlineStr">
        <is>
          <t>-</t>
        </is>
      </c>
      <c r="L996" s="32" t="n"/>
      <c r="M996" s="28">
        <f>IF(OR(LEFT(J996,2)="보류", LEFT(J996,4)="복습대기", LEFT(J996,3)="복습1", LEFT(J996,3)="복습2"), MAX($M$3:M995)+1, "")</f>
        <v/>
      </c>
      <c r="N996" s="28" t="inlineStr">
        <is>
          <t>W23</t>
        </is>
      </c>
      <c r="O996" s="36" t="n">
        <v>46418</v>
      </c>
      <c r="P996" s="30">
        <f>IF(F996&lt;&gt;"","✅ 완료",IF(O996="","-",IF(TODAY()&gt;O996,"🚨 지연","⏳ 예정")))</f>
        <v/>
      </c>
      <c r="Q996" s="7" t="n"/>
      <c r="R996" s="7" t="n"/>
      <c r="S996" s="7" t="n"/>
      <c r="T996" s="7" t="n"/>
      <c r="U996" s="7" t="n"/>
      <c r="V996" s="7" t="n"/>
      <c r="W996" s="7" t="n"/>
      <c r="X996" s="7" t="n"/>
    </row>
    <row r="997" ht="21.75" customHeight="1" s="209">
      <c r="A997" s="28" t="n">
        <v>994</v>
      </c>
      <c r="B997" s="28" t="inlineStr">
        <is>
          <t>6068</t>
        </is>
      </c>
      <c r="C997" s="30" t="inlineStr">
        <is>
          <t>D7</t>
        </is>
      </c>
      <c r="D997" s="32" t="inlineStr">
        <is>
          <t>한길이의 물 채우기</t>
        </is>
      </c>
      <c r="E997" s="28" t="inlineStr">
        <is>
          <t>최적화 / 고급 알고리즘</t>
        </is>
      </c>
      <c r="F997" s="28" t="n"/>
      <c r="G997" s="28" t="n"/>
      <c r="H997" s="28" t="n"/>
      <c r="I997" s="28" t="n"/>
      <c r="J997" s="54">
        <f>IF(OR(ISNUMBER(SEARCH("보류",K997)),ISNUMBER(SEARCH("미룸",K997)),ISNUMBER(SEARCH("나중에",K997)),ISNUMBER(SEARCH("보류",L997)),ISNUMBER(SEARCH("미룸",L997)),ISNUMBER(SEARCH("나중에",L997))),"보류(나중에 풀기)",IF(AND(F997="",G997="",H997="",I997=""),"미완료",IF(I997&lt;&gt;"","복습3(마스터)",IF(H997&lt;&gt;"","복습2",IF(G997&lt;&gt;"","복습1",IF(ISNUMBER(SEARCH("제미나이",K997)),"복습대기(AI도움)",IF(ISNUMBER(SEARCH("간당간당",K997)),"복습대기(간당간당)",IF(OR(ISNUMBER(SEARCH("아이디어",K997)),ISNUMBER(SEARCH("시간초과",K997)),ISNUMBER(SEARCH("자료구조",K997)),ISNUMBER(SEARCH("경계값",K997)),ISNUMBER(SEARCH("다른 풀이",K997)),ISNUMBER(SEARCH("또풀기",K997))),"복습대기",IF(OR(ISNUMBER(SEARCH("복습필요없음",K997)),ISNUMBER(SEARCH("자력완벽",K997))),"품(복습불필요)",IF(F997&lt;&gt;"","품","미완료"))))))))))</f>
        <v/>
      </c>
      <c r="K997" s="32" t="inlineStr">
        <is>
          <t>-</t>
        </is>
      </c>
      <c r="L997" s="32" t="n"/>
      <c r="M997" s="28">
        <f>IF(OR(LEFT(J997,2)="보류", LEFT(J997,4)="복습대기", LEFT(J997,3)="복습1", LEFT(J997,3)="복습2"), MAX($M$3:M996)+1, "")</f>
        <v/>
      </c>
      <c r="N997" s="28" t="inlineStr">
        <is>
          <t>W23</t>
        </is>
      </c>
      <c r="O997" s="36" t="n">
        <v>46418</v>
      </c>
      <c r="P997" s="30">
        <f>IF(F997&lt;&gt;"","✅ 완료",IF(O997="","-",IF(TODAY()&gt;O997,"🚨 지연","⏳ 예정")))</f>
        <v/>
      </c>
      <c r="Q997" s="7" t="n"/>
      <c r="R997" s="7" t="n"/>
      <c r="S997" s="7" t="n"/>
      <c r="T997" s="7" t="n"/>
      <c r="U997" s="7" t="n"/>
      <c r="V997" s="7" t="n"/>
      <c r="W997" s="7" t="n"/>
      <c r="X997" s="7" t="n"/>
    </row>
    <row r="998" ht="21.75" customHeight="1" s="209">
      <c r="A998" s="28" t="n">
        <v>995</v>
      </c>
      <c r="B998" s="28" t="inlineStr">
        <is>
          <t>6114</t>
        </is>
      </c>
      <c r="C998" s="30" t="inlineStr">
        <is>
          <t>D7</t>
        </is>
      </c>
      <c r="D998" s="32" t="inlineStr">
        <is>
          <t>주현이의 도시영향력 구하기</t>
        </is>
      </c>
      <c r="E998" s="28" t="inlineStr">
        <is>
          <t>최적화 / 고급 알고리즘</t>
        </is>
      </c>
      <c r="F998" s="28" t="n"/>
      <c r="G998" s="28" t="n"/>
      <c r="H998" s="28" t="n"/>
      <c r="I998" s="28" t="n"/>
      <c r="J998" s="54">
        <f>IF(OR(ISNUMBER(SEARCH("보류",K998)),ISNUMBER(SEARCH("미룸",K998)),ISNUMBER(SEARCH("나중에",K998)),ISNUMBER(SEARCH("보류",L998)),ISNUMBER(SEARCH("미룸",L998)),ISNUMBER(SEARCH("나중에",L998))),"보류(나중에 풀기)",IF(AND(F998="",G998="",H998="",I998=""),"미완료",IF(I998&lt;&gt;"","복습3(마스터)",IF(H998&lt;&gt;"","복습2",IF(G998&lt;&gt;"","복습1",IF(ISNUMBER(SEARCH("제미나이",K998)),"복습대기(AI도움)",IF(ISNUMBER(SEARCH("간당간당",K998)),"복습대기(간당간당)",IF(OR(ISNUMBER(SEARCH("아이디어",K998)),ISNUMBER(SEARCH("시간초과",K998)),ISNUMBER(SEARCH("자료구조",K998)),ISNUMBER(SEARCH("경계값",K998)),ISNUMBER(SEARCH("다른 풀이",K998)),ISNUMBER(SEARCH("또풀기",K998))),"복습대기",IF(OR(ISNUMBER(SEARCH("복습필요없음",K998)),ISNUMBER(SEARCH("자력완벽",K998))),"품(복습불필요)",IF(F998&lt;&gt;"","품","미완료"))))))))))</f>
        <v/>
      </c>
      <c r="K998" s="32" t="inlineStr">
        <is>
          <t>-</t>
        </is>
      </c>
      <c r="L998" s="32" t="n"/>
      <c r="M998" s="28">
        <f>IF(OR(LEFT(J998,2)="보류", LEFT(J998,4)="복습대기", LEFT(J998,3)="복습1", LEFT(J998,3)="복습2"), MAX($M$3:M997)+1, "")</f>
        <v/>
      </c>
      <c r="N998" s="28" t="inlineStr">
        <is>
          <t>W23</t>
        </is>
      </c>
      <c r="O998" s="36" t="n">
        <v>46418</v>
      </c>
      <c r="P998" s="30">
        <f>IF(F998&lt;&gt;"","✅ 완료",IF(O998="","-",IF(TODAY()&gt;O998,"🚨 지연","⏳ 예정")))</f>
        <v/>
      </c>
      <c r="Q998" s="7" t="n"/>
      <c r="R998" s="7" t="n"/>
      <c r="S998" s="7" t="n"/>
      <c r="T998" s="7" t="n"/>
      <c r="U998" s="7" t="n"/>
      <c r="V998" s="7" t="n"/>
      <c r="W998" s="7" t="n"/>
      <c r="X998" s="7" t="n"/>
    </row>
    <row r="999" ht="21.75" customHeight="1" s="209">
      <c r="A999" s="28" t="n">
        <v>996</v>
      </c>
      <c r="B999" s="28" t="inlineStr">
        <is>
          <t>6486</t>
        </is>
      </c>
      <c r="C999" s="30" t="inlineStr">
        <is>
          <t>D7</t>
        </is>
      </c>
      <c r="D999" s="32" t="inlineStr">
        <is>
          <t>원소 합들의 XOR 연산</t>
        </is>
      </c>
      <c r="E999" s="28" t="inlineStr">
        <is>
          <t>수학 / 정수론</t>
        </is>
      </c>
      <c r="F999" s="28" t="n"/>
      <c r="G999" s="28" t="n"/>
      <c r="H999" s="28" t="n"/>
      <c r="I999" s="28" t="n"/>
      <c r="J999" s="54">
        <f>IF(OR(ISNUMBER(SEARCH("보류",K999)),ISNUMBER(SEARCH("미룸",K999)),ISNUMBER(SEARCH("나중에",K999)),ISNUMBER(SEARCH("보류",L999)),ISNUMBER(SEARCH("미룸",L999)),ISNUMBER(SEARCH("나중에",L999))),"보류(나중에 풀기)",IF(AND(F999="",G999="",H999="",I999=""),"미완료",IF(I999&lt;&gt;"","복습3(마스터)",IF(H999&lt;&gt;"","복습2",IF(G999&lt;&gt;"","복습1",IF(ISNUMBER(SEARCH("제미나이",K999)),"복습대기(AI도움)",IF(ISNUMBER(SEARCH("간당간당",K999)),"복습대기(간당간당)",IF(OR(ISNUMBER(SEARCH("아이디어",K999)),ISNUMBER(SEARCH("시간초과",K999)),ISNUMBER(SEARCH("자료구조",K999)),ISNUMBER(SEARCH("경계값",K999)),ISNUMBER(SEARCH("다른 풀이",K999)),ISNUMBER(SEARCH("또풀기",K999))),"복습대기",IF(OR(ISNUMBER(SEARCH("복습필요없음",K999)),ISNUMBER(SEARCH("자력완벽",K999))),"품(복습불필요)",IF(F999&lt;&gt;"","품","미완료"))))))))))</f>
        <v/>
      </c>
      <c r="K999" s="32" t="inlineStr">
        <is>
          <t>-</t>
        </is>
      </c>
      <c r="L999" s="32" t="n"/>
      <c r="M999" s="28">
        <f>IF(OR(LEFT(J999,2)="보류", LEFT(J999,4)="복습대기", LEFT(J999,3)="복습1", LEFT(J999,3)="복습2"), MAX($M$3:M998)+1, "")</f>
        <v/>
      </c>
      <c r="N999" s="28" t="inlineStr">
        <is>
          <t>W23</t>
        </is>
      </c>
      <c r="O999" s="36" t="n">
        <v>46418</v>
      </c>
      <c r="P999" s="30">
        <f>IF(F999&lt;&gt;"","✅ 완료",IF(O999="","-",IF(TODAY()&gt;O999,"🚨 지연","⏳ 예정")))</f>
        <v/>
      </c>
      <c r="Q999" s="7" t="n"/>
      <c r="R999" s="7" t="n"/>
      <c r="S999" s="7" t="n"/>
      <c r="T999" s="7" t="n"/>
      <c r="U999" s="7" t="n"/>
      <c r="V999" s="7" t="n"/>
      <c r="W999" s="7" t="n"/>
      <c r="X999" s="7" t="n"/>
    </row>
    <row r="1000" ht="21.75" customHeight="1" s="209">
      <c r="A1000" s="28" t="n">
        <v>997</v>
      </c>
      <c r="B1000" s="28" t="inlineStr">
        <is>
          <t>6742</t>
        </is>
      </c>
      <c r="C1000" s="30" t="inlineStr">
        <is>
          <t>D7</t>
        </is>
      </c>
      <c r="D1000" s="32" t="inlineStr">
        <is>
          <t>넓이를 만족하는 삼각형들</t>
        </is>
      </c>
      <c r="E1000" s="28" t="inlineStr">
        <is>
          <t>최적화 / 고급 알고리즘</t>
        </is>
      </c>
      <c r="F1000" s="28" t="n"/>
      <c r="G1000" s="28" t="n"/>
      <c r="H1000" s="28" t="n"/>
      <c r="I1000" s="28" t="n"/>
      <c r="J1000" s="54">
        <f>IF(OR(ISNUMBER(SEARCH("보류",K1000)),ISNUMBER(SEARCH("미룸",K1000)),ISNUMBER(SEARCH("나중에",K1000)),ISNUMBER(SEARCH("보류",L1000)),ISNUMBER(SEARCH("미룸",L1000)),ISNUMBER(SEARCH("나중에",L1000))),"보류(나중에 풀기)",IF(AND(F1000="",G1000="",H1000="",I1000=""),"미완료",IF(I1000&lt;&gt;"","복습3(마스터)",IF(H1000&lt;&gt;"","복습2",IF(G1000&lt;&gt;"","복습1",IF(ISNUMBER(SEARCH("제미나이",K1000)),"복습대기(AI도움)",IF(ISNUMBER(SEARCH("간당간당",K1000)),"복습대기(간당간당)",IF(OR(ISNUMBER(SEARCH("아이디어",K1000)),ISNUMBER(SEARCH("시간초과",K1000)),ISNUMBER(SEARCH("자료구조",K1000)),ISNUMBER(SEARCH("경계값",K1000)),ISNUMBER(SEARCH("다른 풀이",K1000)),ISNUMBER(SEARCH("또풀기",K1000))),"복습대기",IF(OR(ISNUMBER(SEARCH("복습필요없음",K1000)),ISNUMBER(SEARCH("자력완벽",K1000))),"품(복습불필요)",IF(F1000&lt;&gt;"","품","미완료"))))))))))</f>
        <v/>
      </c>
      <c r="K1000" s="32" t="inlineStr">
        <is>
          <t>-</t>
        </is>
      </c>
      <c r="L1000" s="32" t="n"/>
      <c r="M1000" s="28">
        <f>IF(OR(LEFT(J1000,2)="보류", LEFT(J1000,4)="복습대기", LEFT(J1000,3)="복습1", LEFT(J1000,3)="복습2"), MAX($M$3:M999)+1, "")</f>
        <v/>
      </c>
      <c r="N1000" s="28" t="inlineStr">
        <is>
          <t>W23</t>
        </is>
      </c>
      <c r="O1000" s="36" t="n">
        <v>46418</v>
      </c>
      <c r="P1000" s="30">
        <f>IF(F1000&lt;&gt;"","✅ 완료",IF(O1000="","-",IF(TODAY()&gt;O1000,"🚨 지연","⏳ 예정")))</f>
        <v/>
      </c>
      <c r="Q1000" s="7" t="n"/>
      <c r="R1000" s="7" t="n"/>
      <c r="S1000" s="7" t="n"/>
      <c r="T1000" s="7" t="n"/>
      <c r="U1000" s="7" t="n"/>
      <c r="V1000" s="7" t="n"/>
      <c r="W1000" s="7" t="n"/>
      <c r="X1000" s="7" t="n"/>
    </row>
    <row r="1001" ht="21.75" customHeight="1" s="209">
      <c r="A1001" s="28" t="n">
        <v>998</v>
      </c>
      <c r="B1001" s="28" t="inlineStr">
        <is>
          <t>6811</t>
        </is>
      </c>
      <c r="C1001" s="30" t="inlineStr">
        <is>
          <t>D7</t>
        </is>
      </c>
      <c r="D1001" s="32" t="inlineStr">
        <is>
          <t>경찰과 도둑 우주대회</t>
        </is>
      </c>
      <c r="E1001" s="28" t="inlineStr">
        <is>
          <t>최적화 / 고급 알고리즘</t>
        </is>
      </c>
      <c r="F1001" s="28" t="n"/>
      <c r="G1001" s="28" t="n"/>
      <c r="H1001" s="28" t="n"/>
      <c r="I1001" s="28" t="n"/>
      <c r="J1001" s="54">
        <f>IF(OR(ISNUMBER(SEARCH("보류",K1001)),ISNUMBER(SEARCH("미룸",K1001)),ISNUMBER(SEARCH("나중에",K1001)),ISNUMBER(SEARCH("보류",L1001)),ISNUMBER(SEARCH("미룸",L1001)),ISNUMBER(SEARCH("나중에",L1001))),"보류(나중에 풀기)",IF(AND(F1001="",G1001="",H1001="",I1001=""),"미완료",IF(I1001&lt;&gt;"","복습3(마스터)",IF(H1001&lt;&gt;"","복습2",IF(G1001&lt;&gt;"","복습1",IF(ISNUMBER(SEARCH("제미나이",K1001)),"복습대기(AI도움)",IF(ISNUMBER(SEARCH("간당간당",K1001)),"복습대기(간당간당)",IF(OR(ISNUMBER(SEARCH("아이디어",K1001)),ISNUMBER(SEARCH("시간초과",K1001)),ISNUMBER(SEARCH("자료구조",K1001)),ISNUMBER(SEARCH("경계값",K1001)),ISNUMBER(SEARCH("다른 풀이",K1001)),ISNUMBER(SEARCH("또풀기",K1001))),"복습대기",IF(OR(ISNUMBER(SEARCH("복습필요없음",K1001)),ISNUMBER(SEARCH("자력완벽",K1001))),"품(복습불필요)",IF(F1001&lt;&gt;"","품","미완료"))))))))))</f>
        <v/>
      </c>
      <c r="K1001" s="32" t="inlineStr">
        <is>
          <t>-</t>
        </is>
      </c>
      <c r="L1001" s="32" t="n"/>
      <c r="M1001" s="28">
        <f>IF(OR(LEFT(J1001,2)="보류", LEFT(J1001,4)="복습대기", LEFT(J1001,3)="복습1", LEFT(J1001,3)="복습2"), MAX($M$3:M1000)+1, "")</f>
        <v/>
      </c>
      <c r="N1001" s="28" t="inlineStr">
        <is>
          <t>W23</t>
        </is>
      </c>
      <c r="O1001" s="36" t="n">
        <v>46418</v>
      </c>
      <c r="P1001" s="30">
        <f>IF(F1001&lt;&gt;"","✅ 완료",IF(O1001="","-",IF(TODAY()&gt;O1001,"🚨 지연","⏳ 예정")))</f>
        <v/>
      </c>
      <c r="Q1001" s="7" t="n"/>
      <c r="R1001" s="7" t="n"/>
      <c r="S1001" s="7" t="n"/>
      <c r="T1001" s="7" t="n"/>
      <c r="U1001" s="7" t="n"/>
      <c r="V1001" s="7" t="n"/>
      <c r="W1001" s="7" t="n"/>
      <c r="X1001" s="7" t="n"/>
    </row>
    <row r="1002" ht="21.75" customHeight="1" s="209">
      <c r="A1002" s="28" t="n">
        <v>999</v>
      </c>
      <c r="B1002" s="28" t="inlineStr">
        <is>
          <t>6961</t>
        </is>
      </c>
      <c r="C1002" s="30" t="inlineStr">
        <is>
          <t>D7</t>
        </is>
      </c>
      <c r="D1002" s="32" t="inlineStr">
        <is>
          <t>사다리 게임</t>
        </is>
      </c>
      <c r="E1002" s="28" t="inlineStr">
        <is>
          <t>시뮬레이션 / 구현</t>
        </is>
      </c>
      <c r="F1002" s="28" t="n"/>
      <c r="G1002" s="28" t="n"/>
      <c r="H1002" s="28" t="n"/>
      <c r="I1002" s="28" t="n"/>
      <c r="J1002" s="54">
        <f>IF(OR(ISNUMBER(SEARCH("보류",K1002)),ISNUMBER(SEARCH("미룸",K1002)),ISNUMBER(SEARCH("나중에",K1002)),ISNUMBER(SEARCH("보류",L1002)),ISNUMBER(SEARCH("미룸",L1002)),ISNUMBER(SEARCH("나중에",L1002))),"보류(나중에 풀기)",IF(AND(F1002="",G1002="",H1002="",I1002=""),"미완료",IF(I1002&lt;&gt;"","복습3(마스터)",IF(H1002&lt;&gt;"","복습2",IF(G1002&lt;&gt;"","복습1",IF(ISNUMBER(SEARCH("제미나이",K1002)),"복습대기(AI도움)",IF(ISNUMBER(SEARCH("간당간당",K1002)),"복습대기(간당간당)",IF(OR(ISNUMBER(SEARCH("아이디어",K1002)),ISNUMBER(SEARCH("시간초과",K1002)),ISNUMBER(SEARCH("자료구조",K1002)),ISNUMBER(SEARCH("경계값",K1002)),ISNUMBER(SEARCH("다른 풀이",K1002)),ISNUMBER(SEARCH("또풀기",K1002))),"복습대기",IF(OR(ISNUMBER(SEARCH("복습필요없음",K1002)),ISNUMBER(SEARCH("자력완벽",K1002))),"품(복습불필요)",IF(F1002&lt;&gt;"","품","미완료"))))))))))</f>
        <v/>
      </c>
      <c r="K1002" s="32" t="inlineStr">
        <is>
          <t>-</t>
        </is>
      </c>
      <c r="L1002" s="32" t="n"/>
      <c r="M1002" s="28">
        <f>IF(OR(LEFT(J1002,2)="보류", LEFT(J1002,4)="복습대기", LEFT(J1002,3)="복습1", LEFT(J1002,3)="복습2"), MAX($M$3:M1001)+1, "")</f>
        <v/>
      </c>
      <c r="N1002" s="28" t="inlineStr">
        <is>
          <t>W23</t>
        </is>
      </c>
      <c r="O1002" s="36" t="n">
        <v>46418</v>
      </c>
      <c r="P1002" s="30">
        <f>IF(F1002&lt;&gt;"","✅ 완료",IF(O1002="","-",IF(TODAY()&gt;O1002,"🚨 지연","⏳ 예정")))</f>
        <v/>
      </c>
      <c r="Q1002" s="7" t="n"/>
      <c r="R1002" s="7" t="n"/>
      <c r="S1002" s="7" t="n"/>
      <c r="T1002" s="7" t="n"/>
      <c r="U1002" s="7" t="n"/>
      <c r="V1002" s="7" t="n"/>
      <c r="W1002" s="7" t="n"/>
      <c r="X1002" s="7" t="n"/>
    </row>
    <row r="1003" ht="21.75" customHeight="1" s="209">
      <c r="A1003" s="28" t="n">
        <v>1000</v>
      </c>
      <c r="B1003" s="28" t="inlineStr">
        <is>
          <t>7105</t>
        </is>
      </c>
      <c r="C1003" s="30" t="inlineStr">
        <is>
          <t>D7</t>
        </is>
      </c>
      <c r="D1003" s="32" t="inlineStr">
        <is>
          <t>유사 외판원 문제</t>
        </is>
      </c>
      <c r="E1003" s="28" t="inlineStr">
        <is>
          <t>최적화 / 고급 알고리즘</t>
        </is>
      </c>
      <c r="F1003" s="28" t="n"/>
      <c r="G1003" s="28" t="n"/>
      <c r="H1003" s="28" t="n"/>
      <c r="I1003" s="28" t="n"/>
      <c r="J1003" s="54">
        <f>IF(OR(ISNUMBER(SEARCH("보류",K1003)),ISNUMBER(SEARCH("미룸",K1003)),ISNUMBER(SEARCH("나중에",K1003)),ISNUMBER(SEARCH("보류",L1003)),ISNUMBER(SEARCH("미룸",L1003)),ISNUMBER(SEARCH("나중에",L1003))),"보류(나중에 풀기)",IF(AND(F1003="",G1003="",H1003="",I1003=""),"미완료",IF(I1003&lt;&gt;"","복습3(마스터)",IF(H1003&lt;&gt;"","복습2",IF(G1003&lt;&gt;"","복습1",IF(ISNUMBER(SEARCH("제미나이",K1003)),"복습대기(AI도움)",IF(ISNUMBER(SEARCH("간당간당",K1003)),"복습대기(간당간당)",IF(OR(ISNUMBER(SEARCH("아이디어",K1003)),ISNUMBER(SEARCH("시간초과",K1003)),ISNUMBER(SEARCH("자료구조",K1003)),ISNUMBER(SEARCH("경계값",K1003)),ISNUMBER(SEARCH("다른 풀이",K1003)),ISNUMBER(SEARCH("또풀기",K1003))),"복습대기",IF(OR(ISNUMBER(SEARCH("복습필요없음",K1003)),ISNUMBER(SEARCH("자력완벽",K1003))),"품(복습불필요)",IF(F1003&lt;&gt;"","품","미완료"))))))))))</f>
        <v/>
      </c>
      <c r="K1003" s="32" t="inlineStr">
        <is>
          <t>-</t>
        </is>
      </c>
      <c r="L1003" s="32" t="n"/>
      <c r="M1003" s="28">
        <f>IF(OR(LEFT(J1003,2)="보류", LEFT(J1003,4)="복습대기", LEFT(J1003,3)="복습1", LEFT(J1003,3)="복습2"), MAX($M$3:M1002)+1, "")</f>
        <v/>
      </c>
      <c r="N1003" s="28" t="inlineStr">
        <is>
          <t>W24</t>
        </is>
      </c>
      <c r="O1003" s="36" t="n">
        <v>46419</v>
      </c>
      <c r="P1003" s="30">
        <f>IF(F1003&lt;&gt;"","✅ 완료",IF(O1003="","-",IF(TODAY()&gt;O1003,"🚨 지연","⏳ 예정")))</f>
        <v/>
      </c>
      <c r="Q1003" s="7" t="n"/>
      <c r="R1003" s="7" t="n"/>
      <c r="S1003" s="7" t="n"/>
      <c r="T1003" s="7" t="n"/>
      <c r="U1003" s="7" t="n"/>
      <c r="V1003" s="7" t="n"/>
      <c r="W1003" s="7" t="n"/>
      <c r="X1003" s="7" t="n"/>
    </row>
    <row r="1004" ht="21.75" customHeight="1" s="209">
      <c r="A1004" s="28" t="n">
        <v>1001</v>
      </c>
      <c r="B1004" s="28" t="inlineStr">
        <is>
          <t>7195</t>
        </is>
      </c>
      <c r="C1004" s="30" t="inlineStr">
        <is>
          <t>D7</t>
        </is>
      </c>
      <c r="D1004" s="32" t="inlineStr">
        <is>
          <t>팔레트 위의 물감</t>
        </is>
      </c>
      <c r="E1004" s="28" t="inlineStr">
        <is>
          <t>최적화 / 고급 알고리즘</t>
        </is>
      </c>
      <c r="F1004" s="28" t="n"/>
      <c r="G1004" s="28" t="n"/>
      <c r="H1004" s="28" t="n"/>
      <c r="I1004" s="28" t="n"/>
      <c r="J1004" s="54">
        <f>IF(OR(ISNUMBER(SEARCH("보류",K1004)),ISNUMBER(SEARCH("미룸",K1004)),ISNUMBER(SEARCH("나중에",K1004)),ISNUMBER(SEARCH("보류",L1004)),ISNUMBER(SEARCH("미룸",L1004)),ISNUMBER(SEARCH("나중에",L1004))),"보류(나중에 풀기)",IF(AND(F1004="",G1004="",H1004="",I1004=""),"미완료",IF(I1004&lt;&gt;"","복습3(마스터)",IF(H1004&lt;&gt;"","복습2",IF(G1004&lt;&gt;"","복습1",IF(ISNUMBER(SEARCH("제미나이",K1004)),"복습대기(AI도움)",IF(ISNUMBER(SEARCH("간당간당",K1004)),"복습대기(간당간당)",IF(OR(ISNUMBER(SEARCH("아이디어",K1004)),ISNUMBER(SEARCH("시간초과",K1004)),ISNUMBER(SEARCH("자료구조",K1004)),ISNUMBER(SEARCH("경계값",K1004)),ISNUMBER(SEARCH("다른 풀이",K1004)),ISNUMBER(SEARCH("또풀기",K1004))),"복습대기",IF(OR(ISNUMBER(SEARCH("복습필요없음",K1004)),ISNUMBER(SEARCH("자력완벽",K1004))),"품(복습불필요)",IF(F1004&lt;&gt;"","품","미완료"))))))))))</f>
        <v/>
      </c>
      <c r="K1004" s="32" t="inlineStr">
        <is>
          <t>-</t>
        </is>
      </c>
      <c r="L1004" s="32" t="n"/>
      <c r="M1004" s="28">
        <f>IF(OR(LEFT(J1004,2)="보류", LEFT(J1004,4)="복습대기", LEFT(J1004,3)="복습1", LEFT(J1004,3)="복습2"), MAX($M$3:M1003)+1, "")</f>
        <v/>
      </c>
      <c r="N1004" s="28" t="inlineStr">
        <is>
          <t>W24</t>
        </is>
      </c>
      <c r="O1004" s="36" t="n">
        <v>46419</v>
      </c>
      <c r="P1004" s="30">
        <f>IF(F1004&lt;&gt;"","✅ 완료",IF(O1004="","-",IF(TODAY()&gt;O1004,"🚨 지연","⏳ 예정")))</f>
        <v/>
      </c>
      <c r="Q1004" s="7" t="n"/>
      <c r="R1004" s="7" t="n"/>
      <c r="S1004" s="7" t="n"/>
      <c r="T1004" s="7" t="n"/>
      <c r="U1004" s="7" t="n"/>
      <c r="V1004" s="7" t="n"/>
      <c r="W1004" s="7" t="n"/>
      <c r="X1004" s="7" t="n"/>
    </row>
    <row r="1005" ht="21.75" customHeight="1" s="209">
      <c r="A1005" s="28" t="n">
        <v>1002</v>
      </c>
      <c r="B1005" s="28" t="inlineStr">
        <is>
          <t>7233</t>
        </is>
      </c>
      <c r="C1005" s="30" t="inlineStr">
        <is>
          <t>D7</t>
        </is>
      </c>
      <c r="D1005" s="32" t="inlineStr">
        <is>
          <t>미로 속 보석 줍기</t>
        </is>
      </c>
      <c r="E1005" s="28" t="inlineStr">
        <is>
          <t>DFS / 백트래킹</t>
        </is>
      </c>
      <c r="F1005" s="28" t="n"/>
      <c r="G1005" s="28" t="n"/>
      <c r="H1005" s="28" t="n"/>
      <c r="I1005" s="28" t="n"/>
      <c r="J1005" s="54">
        <f>IF(OR(ISNUMBER(SEARCH("보류",K1005)),ISNUMBER(SEARCH("미룸",K1005)),ISNUMBER(SEARCH("나중에",K1005)),ISNUMBER(SEARCH("보류",L1005)),ISNUMBER(SEARCH("미룸",L1005)),ISNUMBER(SEARCH("나중에",L1005))),"보류(나중에 풀기)",IF(AND(F1005="",G1005="",H1005="",I1005=""),"미완료",IF(I1005&lt;&gt;"","복습3(마스터)",IF(H1005&lt;&gt;"","복습2",IF(G1005&lt;&gt;"","복습1",IF(ISNUMBER(SEARCH("제미나이",K1005)),"복습대기(AI도움)",IF(ISNUMBER(SEARCH("간당간당",K1005)),"복습대기(간당간당)",IF(OR(ISNUMBER(SEARCH("아이디어",K1005)),ISNUMBER(SEARCH("시간초과",K1005)),ISNUMBER(SEARCH("자료구조",K1005)),ISNUMBER(SEARCH("경계값",K1005)),ISNUMBER(SEARCH("다른 풀이",K1005)),ISNUMBER(SEARCH("또풀기",K1005))),"복습대기",IF(OR(ISNUMBER(SEARCH("복습필요없음",K1005)),ISNUMBER(SEARCH("자력완벽",K1005))),"품(복습불필요)",IF(F1005&lt;&gt;"","품","미완료"))))))))))</f>
        <v/>
      </c>
      <c r="K1005" s="32" t="inlineStr">
        <is>
          <t>-</t>
        </is>
      </c>
      <c r="L1005" s="32" t="n"/>
      <c r="M1005" s="28">
        <f>IF(OR(LEFT(J1005,2)="보류", LEFT(J1005,4)="복습대기", LEFT(J1005,3)="복습1", LEFT(J1005,3)="복습2"), MAX($M$3:M1004)+1, "")</f>
        <v/>
      </c>
      <c r="N1005" s="28" t="inlineStr">
        <is>
          <t>W24</t>
        </is>
      </c>
      <c r="O1005" s="36" t="n">
        <v>46419</v>
      </c>
      <c r="P1005" s="30">
        <f>IF(F1005&lt;&gt;"","✅ 완료",IF(O1005="","-",IF(TODAY()&gt;O1005,"🚨 지연","⏳ 예정")))</f>
        <v/>
      </c>
      <c r="Q1005" s="7" t="n"/>
      <c r="R1005" s="7" t="n"/>
      <c r="S1005" s="7" t="n"/>
      <c r="T1005" s="7" t="n"/>
      <c r="U1005" s="7" t="n"/>
      <c r="V1005" s="7" t="n"/>
      <c r="W1005" s="7" t="n"/>
      <c r="X1005" s="7" t="n"/>
    </row>
    <row r="1006" ht="21.75" customHeight="1" s="209">
      <c r="A1006" s="28" t="n">
        <v>1003</v>
      </c>
      <c r="B1006" s="28" t="inlineStr">
        <is>
          <t>7259</t>
        </is>
      </c>
      <c r="C1006" s="30" t="inlineStr">
        <is>
          <t>D7</t>
        </is>
      </c>
      <c r="D1006" s="32" t="inlineStr">
        <is>
          <t>준홍이의 도형 맞추기</t>
        </is>
      </c>
      <c r="E1006" s="34" t="inlineStr">
        <is>
          <t>최적화 / 고급 알고리즘</t>
        </is>
      </c>
      <c r="F1006" s="28" t="n"/>
      <c r="G1006" s="28" t="n"/>
      <c r="H1006" s="28" t="n"/>
      <c r="I1006" s="28" t="n"/>
      <c r="J1006" s="54">
        <f>IF(OR(ISNUMBER(SEARCH("보류",K1006)),ISNUMBER(SEARCH("미룸",K1006)),ISNUMBER(SEARCH("나중에",K1006)),ISNUMBER(SEARCH("보류",L1006)),ISNUMBER(SEARCH("미룸",L1006)),ISNUMBER(SEARCH("나중에",L1006))),"보류(나중에 풀기)",IF(AND(F1006="",G1006="",H1006="",I1006=""),"미완료",IF(I1006&lt;&gt;"","복습3(마스터)",IF(H1006&lt;&gt;"","복습2",IF(G1006&lt;&gt;"","복습1",IF(ISNUMBER(SEARCH("제미나이",K1006)),"복습대기(AI도움)",IF(ISNUMBER(SEARCH("간당간당",K1006)),"복습대기(간당간당)",IF(OR(ISNUMBER(SEARCH("아이디어",K1006)),ISNUMBER(SEARCH("시간초과",K1006)),ISNUMBER(SEARCH("자료구조",K1006)),ISNUMBER(SEARCH("경계값",K1006)),ISNUMBER(SEARCH("다른 풀이",K1006)),ISNUMBER(SEARCH("또풀기",K1006))),"복습대기",IF(OR(ISNUMBER(SEARCH("복습필요없음",K1006)),ISNUMBER(SEARCH("자력완벽",K1006))),"품(복습불필요)",IF(F1006&lt;&gt;"","품","미완료"))))))))))</f>
        <v/>
      </c>
      <c r="K1006" s="32" t="inlineStr">
        <is>
          <t>-</t>
        </is>
      </c>
      <c r="L1006" s="32" t="n"/>
      <c r="M1006" s="28">
        <f>IF(OR(LEFT(J1006,2)="보류", LEFT(J1006,4)="복습대기", LEFT(J1006,3)="복습1", LEFT(J1006,3)="복습2"), MAX($M$3:M1005)+1, "")</f>
        <v/>
      </c>
      <c r="N1006" s="28" t="inlineStr">
        <is>
          <t>W24</t>
        </is>
      </c>
      <c r="O1006" s="36" t="n">
        <v>46419</v>
      </c>
      <c r="P1006" s="30">
        <f>IF(F1006&lt;&gt;"","✅ 완료",IF(O1006="","-",IF(TODAY()&gt;O1006,"🚨 지연","⏳ 예정")))</f>
        <v/>
      </c>
      <c r="Q1006" s="7" t="n"/>
      <c r="R1006" s="7" t="n"/>
      <c r="S1006" s="7" t="n"/>
      <c r="T1006" s="7" t="n"/>
      <c r="U1006" s="7" t="n"/>
      <c r="V1006" s="7" t="n"/>
      <c r="W1006" s="7" t="n"/>
      <c r="X1006" s="7" t="n"/>
    </row>
    <row r="1007" ht="21.75" customHeight="1" s="209">
      <c r="A1007" s="28" t="n">
        <v>1004</v>
      </c>
      <c r="B1007" s="28" t="inlineStr">
        <is>
          <t>7335</t>
        </is>
      </c>
      <c r="C1007" s="30" t="inlineStr">
        <is>
          <t>D7</t>
        </is>
      </c>
      <c r="D1007" s="32" t="inlineStr">
        <is>
          <t>현주나라의 도로 삭제</t>
        </is>
      </c>
      <c r="E1007" s="34" t="inlineStr">
        <is>
          <t>최적화 / 고급 알고리즘</t>
        </is>
      </c>
      <c r="F1007" s="28" t="n"/>
      <c r="G1007" s="28" t="n"/>
      <c r="H1007" s="28" t="n"/>
      <c r="I1007" s="28" t="n"/>
      <c r="J1007" s="54">
        <f>IF(OR(ISNUMBER(SEARCH("보류",K1007)),ISNUMBER(SEARCH("미룸",K1007)),ISNUMBER(SEARCH("나중에",K1007)),ISNUMBER(SEARCH("보류",L1007)),ISNUMBER(SEARCH("미룸",L1007)),ISNUMBER(SEARCH("나중에",L1007))),"보류(나중에 풀기)",IF(AND(F1007="",G1007="",H1007="",I1007=""),"미완료",IF(I1007&lt;&gt;"","복습3(마스터)",IF(H1007&lt;&gt;"","복습2",IF(G1007&lt;&gt;"","복습1",IF(ISNUMBER(SEARCH("제미나이",K1007)),"복습대기(AI도움)",IF(ISNUMBER(SEARCH("간당간당",K1007)),"복습대기(간당간당)",IF(OR(ISNUMBER(SEARCH("아이디어",K1007)),ISNUMBER(SEARCH("시간초과",K1007)),ISNUMBER(SEARCH("자료구조",K1007)),ISNUMBER(SEARCH("경계값",K1007)),ISNUMBER(SEARCH("다른 풀이",K1007)),ISNUMBER(SEARCH("또풀기",K1007))),"복습대기",IF(OR(ISNUMBER(SEARCH("복습필요없음",K1007)),ISNUMBER(SEARCH("자력완벽",K1007))),"품(복습불필요)",IF(F1007&lt;&gt;"","품","미완료"))))))))))</f>
        <v/>
      </c>
      <c r="K1007" s="32" t="inlineStr">
        <is>
          <t>-</t>
        </is>
      </c>
      <c r="L1007" s="32" t="n"/>
      <c r="M1007" s="28">
        <f>IF(OR(LEFT(J1007,2)="보류", LEFT(J1007,4)="복습대기", LEFT(J1007,3)="복습1", LEFT(J1007,3)="복습2"), MAX($M$3:M1006)+1, "")</f>
        <v/>
      </c>
      <c r="N1007" s="28" t="inlineStr">
        <is>
          <t>W24</t>
        </is>
      </c>
      <c r="O1007" s="36" t="n">
        <v>46419</v>
      </c>
      <c r="P1007" s="30">
        <f>IF(F1007&lt;&gt;"","✅ 완료",IF(O1007="","-",IF(TODAY()&gt;O1007,"🚨 지연","⏳ 예정")))</f>
        <v/>
      </c>
      <c r="Q1007" s="7" t="n"/>
      <c r="R1007" s="7" t="n"/>
      <c r="S1007" s="7" t="n"/>
      <c r="T1007" s="7" t="n"/>
      <c r="U1007" s="7" t="n"/>
      <c r="V1007" s="7" t="n"/>
      <c r="W1007" s="7" t="n"/>
      <c r="X1007" s="7" t="n"/>
    </row>
    <row r="1008" ht="21.75" customHeight="1" s="209">
      <c r="A1008" s="28" t="n">
        <v>1005</v>
      </c>
      <c r="B1008" s="28" t="inlineStr">
        <is>
          <t>7400</t>
        </is>
      </c>
      <c r="C1008" s="30" t="inlineStr">
        <is>
          <t>D7</t>
        </is>
      </c>
      <c r="D1008" s="32" t="inlineStr">
        <is>
          <t>옥희의 pawn게임</t>
        </is>
      </c>
      <c r="E1008" s="28" t="inlineStr">
        <is>
          <t>시뮬레이션 / 구현</t>
        </is>
      </c>
      <c r="F1008" s="28" t="n"/>
      <c r="G1008" s="28" t="n"/>
      <c r="H1008" s="28" t="n"/>
      <c r="I1008" s="28" t="n"/>
      <c r="J1008" s="54">
        <f>IF(OR(ISNUMBER(SEARCH("보류",K1008)),ISNUMBER(SEARCH("미룸",K1008)),ISNUMBER(SEARCH("나중에",K1008)),ISNUMBER(SEARCH("보류",L1008)),ISNUMBER(SEARCH("미룸",L1008)),ISNUMBER(SEARCH("나중에",L1008))),"보류(나중에 풀기)",IF(AND(F1008="",G1008="",H1008="",I1008=""),"미완료",IF(I1008&lt;&gt;"","복습3(마스터)",IF(H1008&lt;&gt;"","복습2",IF(G1008&lt;&gt;"","복습1",IF(ISNUMBER(SEARCH("제미나이",K1008)),"복습대기(AI도움)",IF(ISNUMBER(SEARCH("간당간당",K1008)),"복습대기(간당간당)",IF(OR(ISNUMBER(SEARCH("아이디어",K1008)),ISNUMBER(SEARCH("시간초과",K1008)),ISNUMBER(SEARCH("자료구조",K1008)),ISNUMBER(SEARCH("경계값",K1008)),ISNUMBER(SEARCH("다른 풀이",K1008)),ISNUMBER(SEARCH("또풀기",K1008))),"복습대기",IF(OR(ISNUMBER(SEARCH("복습필요없음",K1008)),ISNUMBER(SEARCH("자력완벽",K1008))),"품(복습불필요)",IF(F1008&lt;&gt;"","품","미완료"))))))))))</f>
        <v/>
      </c>
      <c r="K1008" s="32" t="inlineStr">
        <is>
          <t>-</t>
        </is>
      </c>
      <c r="L1008" s="32" t="n"/>
      <c r="M1008" s="28">
        <f>IF(OR(LEFT(J1008,2)="보류", LEFT(J1008,4)="복습대기", LEFT(J1008,3)="복습1", LEFT(J1008,3)="복습2"), MAX($M$3:M1007)+1, "")</f>
        <v/>
      </c>
      <c r="N1008" s="28" t="inlineStr">
        <is>
          <t>W24</t>
        </is>
      </c>
      <c r="O1008" s="36" t="n">
        <v>46419</v>
      </c>
      <c r="P1008" s="30">
        <f>IF(F1008&lt;&gt;"","✅ 완료",IF(O1008="","-",IF(TODAY()&gt;O1008,"🚨 지연","⏳ 예정")))</f>
        <v/>
      </c>
      <c r="Q1008" s="7" t="n"/>
      <c r="R1008" s="7" t="n"/>
      <c r="S1008" s="7" t="n"/>
      <c r="T1008" s="7" t="n"/>
      <c r="U1008" s="7" t="n"/>
      <c r="V1008" s="7" t="n"/>
      <c r="W1008" s="7" t="n"/>
      <c r="X1008" s="7" t="n"/>
    </row>
    <row r="1009" ht="21.75" customHeight="1" s="209">
      <c r="A1009" s="28" t="n">
        <v>1006</v>
      </c>
      <c r="B1009" s="28" t="inlineStr">
        <is>
          <t>7509</t>
        </is>
      </c>
      <c r="C1009" s="30" t="inlineStr">
        <is>
          <t>D7</t>
        </is>
      </c>
      <c r="D1009" s="32" t="inlineStr">
        <is>
          <t>최소 비용 경로 쿼리</t>
        </is>
      </c>
      <c r="E1009" s="28" t="inlineStr">
        <is>
          <t>DFS / 백트래킹</t>
        </is>
      </c>
      <c r="F1009" s="28" t="n"/>
      <c r="G1009" s="28" t="n"/>
      <c r="H1009" s="28" t="n"/>
      <c r="I1009" s="28" t="n"/>
      <c r="J1009" s="54">
        <f>IF(OR(ISNUMBER(SEARCH("보류",K1009)),ISNUMBER(SEARCH("미룸",K1009)),ISNUMBER(SEARCH("나중에",K1009)),ISNUMBER(SEARCH("보류",L1009)),ISNUMBER(SEARCH("미룸",L1009)),ISNUMBER(SEARCH("나중에",L1009))),"보류(나중에 풀기)",IF(AND(F1009="",G1009="",H1009="",I1009=""),"미완료",IF(I1009&lt;&gt;"","복습3(마스터)",IF(H1009&lt;&gt;"","복습2",IF(G1009&lt;&gt;"","복습1",IF(ISNUMBER(SEARCH("제미나이",K1009)),"복습대기(AI도움)",IF(ISNUMBER(SEARCH("간당간당",K1009)),"복습대기(간당간당)",IF(OR(ISNUMBER(SEARCH("아이디어",K1009)),ISNUMBER(SEARCH("시간초과",K1009)),ISNUMBER(SEARCH("자료구조",K1009)),ISNUMBER(SEARCH("경계값",K1009)),ISNUMBER(SEARCH("다른 풀이",K1009)),ISNUMBER(SEARCH("또풀기",K1009))),"복습대기",IF(OR(ISNUMBER(SEARCH("복습필요없음",K1009)),ISNUMBER(SEARCH("자력완벽",K1009))),"품(복습불필요)",IF(F1009&lt;&gt;"","품","미완료"))))))))))</f>
        <v/>
      </c>
      <c r="K1009" s="32" t="inlineStr">
        <is>
          <t>-</t>
        </is>
      </c>
      <c r="L1009" s="32" t="n"/>
      <c r="M1009" s="28">
        <f>IF(OR(LEFT(J1009,2)="보류", LEFT(J1009,4)="복습대기", LEFT(J1009,3)="복습1", LEFT(J1009,3)="복습2"), MAX($M$3:M1008)+1, "")</f>
        <v/>
      </c>
      <c r="N1009" s="28" t="inlineStr">
        <is>
          <t>W24</t>
        </is>
      </c>
      <c r="O1009" s="36" t="n">
        <v>46419</v>
      </c>
      <c r="P1009" s="30">
        <f>IF(F1009&lt;&gt;"","✅ 완료",IF(O1009="","-",IF(TODAY()&gt;O1009,"🚨 지연","⏳ 예정")))</f>
        <v/>
      </c>
      <c r="Q1009" s="7" t="n"/>
      <c r="R1009" s="7" t="n"/>
      <c r="S1009" s="7" t="n"/>
      <c r="T1009" s="7" t="n"/>
      <c r="U1009" s="7" t="n"/>
      <c r="V1009" s="7" t="n"/>
      <c r="W1009" s="7" t="n"/>
      <c r="X1009" s="7" t="n"/>
    </row>
    <row r="1010" ht="21.75" customHeight="1" s="209">
      <c r="A1010" s="28" t="n">
        <v>1007</v>
      </c>
      <c r="B1010" s="28" t="inlineStr">
        <is>
          <t>7536</t>
        </is>
      </c>
      <c r="C1010" s="30" t="inlineStr">
        <is>
          <t>D7</t>
        </is>
      </c>
      <c r="D1010" s="32" t="inlineStr">
        <is>
          <t>카드 술래잡기</t>
        </is>
      </c>
      <c r="E1010" s="28" t="inlineStr">
        <is>
          <t>최적화 / 고급 알고리즘</t>
        </is>
      </c>
      <c r="F1010" s="28" t="n"/>
      <c r="G1010" s="28" t="n"/>
      <c r="H1010" s="28" t="n"/>
      <c r="I1010" s="28" t="n"/>
      <c r="J1010" s="54">
        <f>IF(OR(ISNUMBER(SEARCH("보류",K1010)),ISNUMBER(SEARCH("미룸",K1010)),ISNUMBER(SEARCH("나중에",K1010)),ISNUMBER(SEARCH("보류",L1010)),ISNUMBER(SEARCH("미룸",L1010)),ISNUMBER(SEARCH("나중에",L1010))),"보류(나중에 풀기)",IF(AND(F1010="",G1010="",H1010="",I1010=""),"미완료",IF(I1010&lt;&gt;"","복습3(마스터)",IF(H1010&lt;&gt;"","복습2",IF(G1010&lt;&gt;"","복습1",IF(ISNUMBER(SEARCH("제미나이",K1010)),"복습대기(AI도움)",IF(ISNUMBER(SEARCH("간당간당",K1010)),"복습대기(간당간당)",IF(OR(ISNUMBER(SEARCH("아이디어",K1010)),ISNUMBER(SEARCH("시간초과",K1010)),ISNUMBER(SEARCH("자료구조",K1010)),ISNUMBER(SEARCH("경계값",K1010)),ISNUMBER(SEARCH("다른 풀이",K1010)),ISNUMBER(SEARCH("또풀기",K1010))),"복습대기",IF(OR(ISNUMBER(SEARCH("복습필요없음",K1010)),ISNUMBER(SEARCH("자력완벽",K1010))),"품(복습불필요)",IF(F1010&lt;&gt;"","품","미완료"))))))))))</f>
        <v/>
      </c>
      <c r="K1010" s="32" t="inlineStr">
        <is>
          <t>-</t>
        </is>
      </c>
      <c r="L1010" s="32" t="n"/>
      <c r="M1010" s="28">
        <f>IF(OR(LEFT(J1010,2)="보류", LEFT(J1010,4)="복습대기", LEFT(J1010,3)="복습1", LEFT(J1010,3)="복습2"), MAX($M$3:M1009)+1, "")</f>
        <v/>
      </c>
      <c r="N1010" s="28" t="inlineStr">
        <is>
          <t>W24</t>
        </is>
      </c>
      <c r="O1010" s="36" t="n">
        <v>46420</v>
      </c>
      <c r="P1010" s="30">
        <f>IF(F1010&lt;&gt;"","✅ 완료",IF(O1010="","-",IF(TODAY()&gt;O1010,"🚨 지연","⏳ 예정")))</f>
        <v/>
      </c>
      <c r="Q1010" s="7" t="n"/>
      <c r="R1010" s="7" t="n"/>
      <c r="S1010" s="7" t="n"/>
      <c r="T1010" s="7" t="n"/>
      <c r="U1010" s="7" t="n"/>
      <c r="V1010" s="7" t="n"/>
      <c r="W1010" s="7" t="n"/>
      <c r="X1010" s="7" t="n"/>
    </row>
    <row r="1011" ht="21.75" customHeight="1" s="209">
      <c r="A1011" s="28" t="n">
        <v>1008</v>
      </c>
      <c r="B1011" s="28" t="inlineStr">
        <is>
          <t>7700</t>
        </is>
      </c>
      <c r="C1011" s="30" t="inlineStr">
        <is>
          <t>D7</t>
        </is>
      </c>
      <c r="D1011" s="32" t="inlineStr">
        <is>
          <t>복사꽃 마을의 준성댁</t>
        </is>
      </c>
      <c r="E1011" s="28" t="inlineStr">
        <is>
          <t>최적화 / 고급 알고리즘</t>
        </is>
      </c>
      <c r="F1011" s="28" t="n"/>
      <c r="G1011" s="28" t="n"/>
      <c r="H1011" s="28" t="n"/>
      <c r="I1011" s="28" t="n"/>
      <c r="J1011" s="54">
        <f>IF(OR(ISNUMBER(SEARCH("보류",K1011)),ISNUMBER(SEARCH("미룸",K1011)),ISNUMBER(SEARCH("나중에",K1011)),ISNUMBER(SEARCH("보류",L1011)),ISNUMBER(SEARCH("미룸",L1011)),ISNUMBER(SEARCH("나중에",L1011))),"보류(나중에 풀기)",IF(AND(F1011="",G1011="",H1011="",I1011=""),"미완료",IF(I1011&lt;&gt;"","복습3(마스터)",IF(H1011&lt;&gt;"","복습2",IF(G1011&lt;&gt;"","복습1",IF(ISNUMBER(SEARCH("제미나이",K1011)),"복습대기(AI도움)",IF(ISNUMBER(SEARCH("간당간당",K1011)),"복습대기(간당간당)",IF(OR(ISNUMBER(SEARCH("아이디어",K1011)),ISNUMBER(SEARCH("시간초과",K1011)),ISNUMBER(SEARCH("자료구조",K1011)),ISNUMBER(SEARCH("경계값",K1011)),ISNUMBER(SEARCH("다른 풀이",K1011)),ISNUMBER(SEARCH("또풀기",K1011))),"복습대기",IF(OR(ISNUMBER(SEARCH("복습필요없음",K1011)),ISNUMBER(SEARCH("자력완벽",K1011))),"품(복습불필요)",IF(F1011&lt;&gt;"","품","미완료"))))))))))</f>
        <v/>
      </c>
      <c r="K1011" s="32" t="inlineStr">
        <is>
          <t>-</t>
        </is>
      </c>
      <c r="L1011" s="32" t="n"/>
      <c r="M1011" s="28">
        <f>IF(OR(LEFT(J1011,2)="보류", LEFT(J1011,4)="복습대기", LEFT(J1011,3)="복습1", LEFT(J1011,3)="복습2"), MAX($M$3:M1010)+1, "")</f>
        <v/>
      </c>
      <c r="N1011" s="28" t="inlineStr">
        <is>
          <t>W24</t>
        </is>
      </c>
      <c r="O1011" s="36" t="n">
        <v>46420</v>
      </c>
      <c r="P1011" s="30">
        <f>IF(F1011&lt;&gt;"","✅ 완료",IF(O1011="","-",IF(TODAY()&gt;O1011,"🚨 지연","⏳ 예정")))</f>
        <v/>
      </c>
      <c r="Q1011" s="7" t="n"/>
      <c r="R1011" s="7" t="n"/>
      <c r="S1011" s="7" t="n"/>
      <c r="T1011" s="7" t="n"/>
      <c r="U1011" s="7" t="n"/>
      <c r="V1011" s="7" t="n"/>
      <c r="W1011" s="7" t="n"/>
      <c r="X1011" s="7" t="n"/>
    </row>
    <row r="1012" ht="21.75" customHeight="1" s="209">
      <c r="A1012" s="28" t="n">
        <v>1009</v>
      </c>
      <c r="B1012" s="28" t="inlineStr">
        <is>
          <t>7741</t>
        </is>
      </c>
      <c r="C1012" s="30" t="inlineStr">
        <is>
          <t>D7</t>
        </is>
      </c>
      <c r="D1012" s="32" t="inlineStr">
        <is>
          <t>지뢰 만들기</t>
        </is>
      </c>
      <c r="E1012" s="28" t="inlineStr">
        <is>
          <t>BFS (너비우선탐색)</t>
        </is>
      </c>
      <c r="F1012" s="28" t="n"/>
      <c r="G1012" s="28" t="n"/>
      <c r="H1012" s="28" t="n"/>
      <c r="I1012" s="28" t="n"/>
      <c r="J1012" s="54">
        <f>IF(OR(ISNUMBER(SEARCH("보류",K1012)),ISNUMBER(SEARCH("미룸",K1012)),ISNUMBER(SEARCH("나중에",K1012)),ISNUMBER(SEARCH("보류",L1012)),ISNUMBER(SEARCH("미룸",L1012)),ISNUMBER(SEARCH("나중에",L1012))),"보류(나중에 풀기)",IF(AND(F1012="",G1012="",H1012="",I1012=""),"미완료",IF(I1012&lt;&gt;"","복습3(마스터)",IF(H1012&lt;&gt;"","복습2",IF(G1012&lt;&gt;"","복습1",IF(ISNUMBER(SEARCH("제미나이",K1012)),"복습대기(AI도움)",IF(ISNUMBER(SEARCH("간당간당",K1012)),"복습대기(간당간당)",IF(OR(ISNUMBER(SEARCH("아이디어",K1012)),ISNUMBER(SEARCH("시간초과",K1012)),ISNUMBER(SEARCH("자료구조",K1012)),ISNUMBER(SEARCH("경계값",K1012)),ISNUMBER(SEARCH("다른 풀이",K1012)),ISNUMBER(SEARCH("또풀기",K1012))),"복습대기",IF(OR(ISNUMBER(SEARCH("복습필요없음",K1012)),ISNUMBER(SEARCH("자력완벽",K1012))),"품(복습불필요)",IF(F1012&lt;&gt;"","품","미완료"))))))))))</f>
        <v/>
      </c>
      <c r="K1012" s="32" t="inlineStr">
        <is>
          <t>-</t>
        </is>
      </c>
      <c r="L1012" s="32" t="n"/>
      <c r="M1012" s="28">
        <f>IF(OR(LEFT(J1012,2)="보류", LEFT(J1012,4)="복습대기", LEFT(J1012,3)="복습1", LEFT(J1012,3)="복습2"), MAX($M$3:M1011)+1, "")</f>
        <v/>
      </c>
      <c r="N1012" s="28" t="inlineStr">
        <is>
          <t>W24</t>
        </is>
      </c>
      <c r="O1012" s="36" t="n">
        <v>46420</v>
      </c>
      <c r="P1012" s="30">
        <f>IF(F1012&lt;&gt;"","✅ 완료",IF(O1012="","-",IF(TODAY()&gt;O1012,"🚨 지연","⏳ 예정")))</f>
        <v/>
      </c>
      <c r="Q1012" s="7" t="n"/>
      <c r="R1012" s="7" t="n"/>
      <c r="S1012" s="7" t="n"/>
      <c r="T1012" s="7" t="n"/>
      <c r="U1012" s="7" t="n"/>
      <c r="V1012" s="7" t="n"/>
      <c r="W1012" s="7" t="n"/>
      <c r="X1012" s="7" t="n"/>
    </row>
    <row r="1013" ht="21.75" customHeight="1" s="209">
      <c r="A1013" s="28" t="n">
        <v>1010</v>
      </c>
      <c r="B1013" s="28" t="inlineStr">
        <is>
          <t>7796</t>
        </is>
      </c>
      <c r="C1013" s="30" t="inlineStr">
        <is>
          <t>D7</t>
        </is>
      </c>
      <c r="D1013" s="32" t="inlineStr">
        <is>
          <t>승목이의 상현이 피하기</t>
        </is>
      </c>
      <c r="E1013" s="28" t="inlineStr">
        <is>
          <t>최적화 / 고급 알고리즘</t>
        </is>
      </c>
      <c r="F1013" s="28" t="n"/>
      <c r="G1013" s="28" t="n"/>
      <c r="H1013" s="28" t="n"/>
      <c r="I1013" s="28" t="n"/>
      <c r="J1013" s="54">
        <f>IF(OR(ISNUMBER(SEARCH("보류",K1013)),ISNUMBER(SEARCH("미룸",K1013)),ISNUMBER(SEARCH("나중에",K1013)),ISNUMBER(SEARCH("보류",L1013)),ISNUMBER(SEARCH("미룸",L1013)),ISNUMBER(SEARCH("나중에",L1013))),"보류(나중에 풀기)",IF(AND(F1013="",G1013="",H1013="",I1013=""),"미완료",IF(I1013&lt;&gt;"","복습3(마스터)",IF(H1013&lt;&gt;"","복습2",IF(G1013&lt;&gt;"","복습1",IF(ISNUMBER(SEARCH("제미나이",K1013)),"복습대기(AI도움)",IF(ISNUMBER(SEARCH("간당간당",K1013)),"복습대기(간당간당)",IF(OR(ISNUMBER(SEARCH("아이디어",K1013)),ISNUMBER(SEARCH("시간초과",K1013)),ISNUMBER(SEARCH("자료구조",K1013)),ISNUMBER(SEARCH("경계값",K1013)),ISNUMBER(SEARCH("다른 풀이",K1013)),ISNUMBER(SEARCH("또풀기",K1013))),"복습대기",IF(OR(ISNUMBER(SEARCH("복습필요없음",K1013)),ISNUMBER(SEARCH("자력완벽",K1013))),"품(복습불필요)",IF(F1013&lt;&gt;"","품","미완료"))))))))))</f>
        <v/>
      </c>
      <c r="K1013" s="32" t="inlineStr">
        <is>
          <t>-</t>
        </is>
      </c>
      <c r="L1013" s="32" t="n"/>
      <c r="M1013" s="28">
        <f>IF(OR(LEFT(J1013,2)="보류", LEFT(J1013,4)="복습대기", LEFT(J1013,3)="복습1", LEFT(J1013,3)="복습2"), MAX($M$3:M1012)+1, "")</f>
        <v/>
      </c>
      <c r="N1013" s="28" t="inlineStr">
        <is>
          <t>W24</t>
        </is>
      </c>
      <c r="O1013" s="36" t="n">
        <v>46420</v>
      </c>
      <c r="P1013" s="30">
        <f>IF(F1013&lt;&gt;"","✅ 완료",IF(O1013="","-",IF(TODAY()&gt;O1013,"🚨 지연","⏳ 예정")))</f>
        <v/>
      </c>
      <c r="Q1013" s="7" t="n"/>
      <c r="R1013" s="7" t="n"/>
      <c r="S1013" s="7" t="n"/>
      <c r="T1013" s="7" t="n"/>
      <c r="U1013" s="7" t="n"/>
      <c r="V1013" s="7" t="n"/>
      <c r="W1013" s="7" t="n"/>
      <c r="X1013" s="7" t="n"/>
    </row>
    <row r="1014" ht="21.75" customHeight="1" s="209">
      <c r="A1014" s="28" t="n">
        <v>1011</v>
      </c>
      <c r="B1014" s="28" t="inlineStr">
        <is>
          <t>7859</t>
        </is>
      </c>
      <c r="C1014" s="30" t="inlineStr">
        <is>
          <t>D7</t>
        </is>
      </c>
      <c r="D1014" s="32" t="inlineStr">
        <is>
          <t>업무 분담</t>
        </is>
      </c>
      <c r="E1014" s="28" t="inlineStr">
        <is>
          <t>최적화 / 고급 알고리즘</t>
        </is>
      </c>
      <c r="F1014" s="28" t="n"/>
      <c r="G1014" s="28" t="n"/>
      <c r="H1014" s="28" t="n"/>
      <c r="I1014" s="28" t="n"/>
      <c r="J1014" s="54">
        <f>IF(OR(ISNUMBER(SEARCH("보류",K1014)),ISNUMBER(SEARCH("미룸",K1014)),ISNUMBER(SEARCH("나중에",K1014)),ISNUMBER(SEARCH("보류",L1014)),ISNUMBER(SEARCH("미룸",L1014)),ISNUMBER(SEARCH("나중에",L1014))),"보류(나중에 풀기)",IF(AND(F1014="",G1014="",H1014="",I1014=""),"미완료",IF(I1014&lt;&gt;"","복습3(마스터)",IF(H1014&lt;&gt;"","복습2",IF(G1014&lt;&gt;"","복습1",IF(ISNUMBER(SEARCH("제미나이",K1014)),"복습대기(AI도움)",IF(ISNUMBER(SEARCH("간당간당",K1014)),"복습대기(간당간당)",IF(OR(ISNUMBER(SEARCH("아이디어",K1014)),ISNUMBER(SEARCH("시간초과",K1014)),ISNUMBER(SEARCH("자료구조",K1014)),ISNUMBER(SEARCH("경계값",K1014)),ISNUMBER(SEARCH("다른 풀이",K1014)),ISNUMBER(SEARCH("또풀기",K1014))),"복습대기",IF(OR(ISNUMBER(SEARCH("복습필요없음",K1014)),ISNUMBER(SEARCH("자력완벽",K1014))),"품(복습불필요)",IF(F1014&lt;&gt;"","품","미완료"))))))))))</f>
        <v/>
      </c>
      <c r="K1014" s="32" t="inlineStr">
        <is>
          <t>-</t>
        </is>
      </c>
      <c r="L1014" s="32" t="n"/>
      <c r="M1014" s="28">
        <f>IF(OR(LEFT(J1014,2)="보류", LEFT(J1014,4)="복습대기", LEFT(J1014,3)="복습1", LEFT(J1014,3)="복습2"), MAX($M$3:M1013)+1, "")</f>
        <v/>
      </c>
      <c r="N1014" s="28" t="inlineStr">
        <is>
          <t>W24</t>
        </is>
      </c>
      <c r="O1014" s="36" t="n">
        <v>46420</v>
      </c>
      <c r="P1014" s="30">
        <f>IF(F1014&lt;&gt;"","✅ 완료",IF(O1014="","-",IF(TODAY()&gt;O1014,"🚨 지연","⏳ 예정")))</f>
        <v/>
      </c>
      <c r="Q1014" s="7" t="n"/>
      <c r="R1014" s="7" t="n"/>
      <c r="S1014" s="7" t="n"/>
      <c r="T1014" s="7" t="n"/>
      <c r="U1014" s="7" t="n"/>
      <c r="V1014" s="7" t="n"/>
      <c r="W1014" s="7" t="n"/>
      <c r="X1014" s="7" t="n"/>
    </row>
    <row r="1015" ht="21.75" customHeight="1" s="209">
      <c r="A1015" s="28" t="n">
        <v>1012</v>
      </c>
      <c r="B1015" s="28" t="inlineStr">
        <is>
          <t>7993</t>
        </is>
      </c>
      <c r="C1015" s="30" t="inlineStr">
        <is>
          <t>D7</t>
        </is>
      </c>
      <c r="D1015" s="32" t="inlineStr">
        <is>
          <t>블록 놀이</t>
        </is>
      </c>
      <c r="E1015" s="28" t="inlineStr">
        <is>
          <t>최적화 / 고급 알고리즘</t>
        </is>
      </c>
      <c r="F1015" s="28" t="n"/>
      <c r="G1015" s="28" t="n"/>
      <c r="H1015" s="28" t="n"/>
      <c r="I1015" s="28" t="n"/>
      <c r="J1015" s="54">
        <f>IF(OR(ISNUMBER(SEARCH("보류",K1015)),ISNUMBER(SEARCH("미룸",K1015)),ISNUMBER(SEARCH("나중에",K1015)),ISNUMBER(SEARCH("보류",L1015)),ISNUMBER(SEARCH("미룸",L1015)),ISNUMBER(SEARCH("나중에",L1015))),"보류(나중에 풀기)",IF(AND(F1015="",G1015="",H1015="",I1015=""),"미완료",IF(I1015&lt;&gt;"","복습3(마스터)",IF(H1015&lt;&gt;"","복습2",IF(G1015&lt;&gt;"","복습1",IF(ISNUMBER(SEARCH("제미나이",K1015)),"복습대기(AI도움)",IF(ISNUMBER(SEARCH("간당간당",K1015)),"복습대기(간당간당)",IF(OR(ISNUMBER(SEARCH("아이디어",K1015)),ISNUMBER(SEARCH("시간초과",K1015)),ISNUMBER(SEARCH("자료구조",K1015)),ISNUMBER(SEARCH("경계값",K1015)),ISNUMBER(SEARCH("다른 풀이",K1015)),ISNUMBER(SEARCH("또풀기",K1015))),"복습대기",IF(OR(ISNUMBER(SEARCH("복습필요없음",K1015)),ISNUMBER(SEARCH("자력완벽",K1015))),"품(복습불필요)",IF(F1015&lt;&gt;"","품","미완료"))))))))))</f>
        <v/>
      </c>
      <c r="K1015" s="32" t="inlineStr">
        <is>
          <t>-</t>
        </is>
      </c>
      <c r="L1015" s="32" t="n"/>
      <c r="M1015" s="28">
        <f>IF(OR(LEFT(J1015,2)="보류", LEFT(J1015,4)="복습대기", LEFT(J1015,3)="복습1", LEFT(J1015,3)="복습2"), MAX($M$3:M1014)+1, "")</f>
        <v/>
      </c>
      <c r="N1015" s="28" t="inlineStr">
        <is>
          <t>W24</t>
        </is>
      </c>
      <c r="O1015" s="36" t="n">
        <v>46420</v>
      </c>
      <c r="P1015" s="30">
        <f>IF(F1015&lt;&gt;"","✅ 완료",IF(O1015="","-",IF(TODAY()&gt;O1015,"🚨 지연","⏳ 예정")))</f>
        <v/>
      </c>
      <c r="Q1015" s="7" t="n"/>
      <c r="R1015" s="7" t="n"/>
      <c r="S1015" s="7" t="n"/>
      <c r="T1015" s="7" t="n"/>
      <c r="U1015" s="7" t="n"/>
      <c r="V1015" s="7" t="n"/>
      <c r="W1015" s="7" t="n"/>
      <c r="X1015" s="7" t="n"/>
    </row>
    <row r="1016" ht="21.75" customHeight="1" s="209">
      <c r="A1016" s="28" t="n">
        <v>1013</v>
      </c>
      <c r="B1016" s="28" t="inlineStr">
        <is>
          <t>8126</t>
        </is>
      </c>
      <c r="C1016" s="30" t="inlineStr">
        <is>
          <t>D7</t>
        </is>
      </c>
      <c r="D1016" s="32" t="inlineStr">
        <is>
          <t>정확한 계산</t>
        </is>
      </c>
      <c r="E1016" s="28" t="inlineStr">
        <is>
          <t>최적화 / 고급 알고리즘</t>
        </is>
      </c>
      <c r="F1016" s="28" t="n"/>
      <c r="G1016" s="28" t="n"/>
      <c r="H1016" s="28" t="n"/>
      <c r="I1016" s="28" t="n"/>
      <c r="J1016" s="54">
        <f>IF(OR(ISNUMBER(SEARCH("보류",K1016)),ISNUMBER(SEARCH("미룸",K1016)),ISNUMBER(SEARCH("나중에",K1016)),ISNUMBER(SEARCH("보류",L1016)),ISNUMBER(SEARCH("미룸",L1016)),ISNUMBER(SEARCH("나중에",L1016))),"보류(나중에 풀기)",IF(AND(F1016="",G1016="",H1016="",I1016=""),"미완료",IF(I1016&lt;&gt;"","복습3(마스터)",IF(H1016&lt;&gt;"","복습2",IF(G1016&lt;&gt;"","복습1",IF(ISNUMBER(SEARCH("제미나이",K1016)),"복습대기(AI도움)",IF(ISNUMBER(SEARCH("간당간당",K1016)),"복습대기(간당간당)",IF(OR(ISNUMBER(SEARCH("아이디어",K1016)),ISNUMBER(SEARCH("시간초과",K1016)),ISNUMBER(SEARCH("자료구조",K1016)),ISNUMBER(SEARCH("경계값",K1016)),ISNUMBER(SEARCH("다른 풀이",K1016)),ISNUMBER(SEARCH("또풀기",K1016))),"복습대기",IF(OR(ISNUMBER(SEARCH("복습필요없음",K1016)),ISNUMBER(SEARCH("자력완벽",K1016))),"품(복습불필요)",IF(F1016&lt;&gt;"","품","미완료"))))))))))</f>
        <v/>
      </c>
      <c r="K1016" s="32" t="inlineStr">
        <is>
          <t>-</t>
        </is>
      </c>
      <c r="L1016" s="32" t="n"/>
      <c r="M1016" s="28">
        <f>IF(OR(LEFT(J1016,2)="보류", LEFT(J1016,4)="복습대기", LEFT(J1016,3)="복습1", LEFT(J1016,3)="복습2"), MAX($M$3:M1015)+1, "")</f>
        <v/>
      </c>
      <c r="N1016" s="28" t="inlineStr">
        <is>
          <t>W24</t>
        </is>
      </c>
      <c r="O1016" s="36" t="n">
        <v>46420</v>
      </c>
      <c r="P1016" s="30">
        <f>IF(F1016&lt;&gt;"","✅ 완료",IF(O1016="","-",IF(TODAY()&gt;O1016,"🚨 지연","⏳ 예정")))</f>
        <v/>
      </c>
      <c r="Q1016" s="7" t="n"/>
      <c r="R1016" s="7" t="n"/>
      <c r="S1016" s="7" t="n"/>
      <c r="T1016" s="7" t="n"/>
      <c r="U1016" s="7" t="n"/>
      <c r="V1016" s="7" t="n"/>
      <c r="W1016" s="7" t="n"/>
      <c r="X1016" s="7" t="n"/>
    </row>
    <row r="1017" ht="21.75" customHeight="1" s="209">
      <c r="A1017" s="28" t="n">
        <v>1014</v>
      </c>
      <c r="B1017" s="28" t="inlineStr">
        <is>
          <t>8195</t>
        </is>
      </c>
      <c r="C1017" s="30" t="inlineStr">
        <is>
          <t>D7</t>
        </is>
      </c>
      <c r="D1017" s="32" t="inlineStr">
        <is>
          <t>서로 나눌 수 없는 집합</t>
        </is>
      </c>
      <c r="E1017" s="28" t="inlineStr">
        <is>
          <t>수학 / 정수론</t>
        </is>
      </c>
      <c r="F1017" s="28" t="n"/>
      <c r="G1017" s="28" t="n"/>
      <c r="H1017" s="28" t="n"/>
      <c r="I1017" s="28" t="n"/>
      <c r="J1017" s="54">
        <f>IF(OR(ISNUMBER(SEARCH("보류",K1017)),ISNUMBER(SEARCH("미룸",K1017)),ISNUMBER(SEARCH("나중에",K1017)),ISNUMBER(SEARCH("보류",L1017)),ISNUMBER(SEARCH("미룸",L1017)),ISNUMBER(SEARCH("나중에",L1017))),"보류(나중에 풀기)",IF(AND(F1017="",G1017="",H1017="",I1017=""),"미완료",IF(I1017&lt;&gt;"","복습3(마스터)",IF(H1017&lt;&gt;"","복습2",IF(G1017&lt;&gt;"","복습1",IF(ISNUMBER(SEARCH("제미나이",K1017)),"복습대기(AI도움)",IF(ISNUMBER(SEARCH("간당간당",K1017)),"복습대기(간당간당)",IF(OR(ISNUMBER(SEARCH("아이디어",K1017)),ISNUMBER(SEARCH("시간초과",K1017)),ISNUMBER(SEARCH("자료구조",K1017)),ISNUMBER(SEARCH("경계값",K1017)),ISNUMBER(SEARCH("다른 풀이",K1017)),ISNUMBER(SEARCH("또풀기",K1017))),"복습대기",IF(OR(ISNUMBER(SEARCH("복습필요없음",K1017)),ISNUMBER(SEARCH("자력완벽",K1017))),"품(복습불필요)",IF(F1017&lt;&gt;"","품","미완료"))))))))))</f>
        <v/>
      </c>
      <c r="K1017" s="32" t="inlineStr">
        <is>
          <t>-</t>
        </is>
      </c>
      <c r="L1017" s="32" t="n"/>
      <c r="M1017" s="28">
        <f>IF(OR(LEFT(J1017,2)="보류", LEFT(J1017,4)="복습대기", LEFT(J1017,3)="복습1", LEFT(J1017,3)="복습2"), MAX($M$3:M1016)+1, "")</f>
        <v/>
      </c>
      <c r="N1017" s="28" t="inlineStr">
        <is>
          <t>W24</t>
        </is>
      </c>
      <c r="O1017" s="36" t="n">
        <v>46421</v>
      </c>
      <c r="P1017" s="30">
        <f>IF(F1017&lt;&gt;"","✅ 완료",IF(O1017="","-",IF(TODAY()&gt;O1017,"🚨 지연","⏳ 예정")))</f>
        <v/>
      </c>
      <c r="Q1017" s="7" t="n"/>
      <c r="R1017" s="7" t="n"/>
      <c r="S1017" s="7" t="n"/>
      <c r="T1017" s="7" t="n"/>
      <c r="U1017" s="7" t="n"/>
      <c r="V1017" s="7" t="n"/>
      <c r="W1017" s="7" t="n"/>
      <c r="X1017" s="7" t="n"/>
    </row>
    <row r="1018" ht="21.75" customHeight="1" s="209">
      <c r="A1018" s="28" t="n">
        <v>1015</v>
      </c>
      <c r="B1018" s="28" t="inlineStr">
        <is>
          <t>8360</t>
        </is>
      </c>
      <c r="C1018" s="30" t="inlineStr">
        <is>
          <t>D7</t>
        </is>
      </c>
      <c r="D1018" s="32" t="inlineStr">
        <is>
          <t>정점 선택</t>
        </is>
      </c>
      <c r="E1018" s="132" t="inlineStr">
        <is>
          <t>최적화 / 고급 알고리즘</t>
        </is>
      </c>
      <c r="F1018" s="28" t="n"/>
      <c r="G1018" s="28" t="n"/>
      <c r="H1018" s="28" t="n"/>
      <c r="I1018" s="28" t="n"/>
      <c r="J1018" s="54">
        <f>IF(OR(ISNUMBER(SEARCH("보류",K1018)),ISNUMBER(SEARCH("미룸",K1018)),ISNUMBER(SEARCH("나중에",K1018)),ISNUMBER(SEARCH("보류",L1018)),ISNUMBER(SEARCH("미룸",L1018)),ISNUMBER(SEARCH("나중에",L1018))),"보류(나중에 풀기)",IF(AND(F1018="",G1018="",H1018="",I1018=""),"미완료",IF(I1018&lt;&gt;"","복습3(마스터)",IF(H1018&lt;&gt;"","복습2",IF(G1018&lt;&gt;"","복습1",IF(ISNUMBER(SEARCH("제미나이",K1018)),"복습대기(AI도움)",IF(ISNUMBER(SEARCH("간당간당",K1018)),"복습대기(간당간당)",IF(OR(ISNUMBER(SEARCH("아이디어",K1018)),ISNUMBER(SEARCH("시간초과",K1018)),ISNUMBER(SEARCH("자료구조",K1018)),ISNUMBER(SEARCH("경계값",K1018)),ISNUMBER(SEARCH("다른 풀이",K1018)),ISNUMBER(SEARCH("또풀기",K1018))),"복습대기",IF(OR(ISNUMBER(SEARCH("복습필요없음",K1018)),ISNUMBER(SEARCH("자력완벽",K1018))),"품(복습불필요)",IF(F1018&lt;&gt;"","품","미완료"))))))))))</f>
        <v/>
      </c>
      <c r="K1018" s="32" t="inlineStr">
        <is>
          <t>-</t>
        </is>
      </c>
      <c r="L1018" s="32" t="n"/>
      <c r="M1018" s="28">
        <f>IF(OR(LEFT(J1018,2)="보류", LEFT(J1018,4)="복습대기", LEFT(J1018,3)="복습1", LEFT(J1018,3)="복습2"), MAX($M$3:M1017)+1, "")</f>
        <v/>
      </c>
      <c r="N1018" s="28" t="inlineStr">
        <is>
          <t>W24</t>
        </is>
      </c>
      <c r="O1018" s="36" t="n">
        <v>46421</v>
      </c>
      <c r="P1018" s="30">
        <f>IF(F1018&lt;&gt;"","✅ 완료",IF(O1018="","-",IF(TODAY()&gt;O1018,"🚨 지연","⏳ 예정")))</f>
        <v/>
      </c>
      <c r="Q1018" s="7" t="n"/>
      <c r="R1018" s="7" t="n"/>
      <c r="S1018" s="7" t="n"/>
      <c r="T1018" s="7" t="n"/>
      <c r="U1018" s="7" t="n"/>
      <c r="V1018" s="7" t="n"/>
      <c r="W1018" s="7" t="n"/>
      <c r="X1018" s="7" t="n"/>
    </row>
    <row r="1019" ht="21.75" customHeight="1" s="209">
      <c r="A1019" s="28" t="n">
        <v>1016</v>
      </c>
      <c r="B1019" s="28" t="inlineStr">
        <is>
          <t>8386</t>
        </is>
      </c>
      <c r="C1019" s="30" t="inlineStr">
        <is>
          <t>D7</t>
        </is>
      </c>
      <c r="D1019" s="32" t="inlineStr">
        <is>
          <t>1의 개수</t>
        </is>
      </c>
      <c r="E1019" s="132" t="inlineStr">
        <is>
          <t>최적화 / 고급 알고리즘</t>
        </is>
      </c>
      <c r="F1019" s="28" t="n"/>
      <c r="G1019" s="28" t="n"/>
      <c r="H1019" s="28" t="n"/>
      <c r="I1019" s="28" t="n"/>
      <c r="J1019" s="54">
        <f>IF(OR(ISNUMBER(SEARCH("보류",K1019)),ISNUMBER(SEARCH("미룸",K1019)),ISNUMBER(SEARCH("나중에",K1019)),ISNUMBER(SEARCH("보류",L1019)),ISNUMBER(SEARCH("미룸",L1019)),ISNUMBER(SEARCH("나중에",L1019))),"보류(나중에 풀기)",IF(AND(F1019="",G1019="",H1019="",I1019=""),"미완료",IF(I1019&lt;&gt;"","복습3(마스터)",IF(H1019&lt;&gt;"","복습2",IF(G1019&lt;&gt;"","복습1",IF(ISNUMBER(SEARCH("제미나이",K1019)),"복습대기(AI도움)",IF(ISNUMBER(SEARCH("간당간당",K1019)),"복습대기(간당간당)",IF(OR(ISNUMBER(SEARCH("아이디어",K1019)),ISNUMBER(SEARCH("시간초과",K1019)),ISNUMBER(SEARCH("자료구조",K1019)),ISNUMBER(SEARCH("경계값",K1019)),ISNUMBER(SEARCH("다른 풀이",K1019)),ISNUMBER(SEARCH("또풀기",K1019))),"복습대기",IF(OR(ISNUMBER(SEARCH("복습필요없음",K1019)),ISNUMBER(SEARCH("자력완벽",K1019))),"품(복습불필요)",IF(F1019&lt;&gt;"","품","미완료"))))))))))</f>
        <v/>
      </c>
      <c r="K1019" s="32" t="inlineStr">
        <is>
          <t>-</t>
        </is>
      </c>
      <c r="L1019" s="32" t="n"/>
      <c r="M1019" s="28">
        <f>IF(OR(LEFT(J1019,2)="보류", LEFT(J1019,4)="복습대기", LEFT(J1019,3)="복습1", LEFT(J1019,3)="복습2"), MAX($M$3:M1018)+1, "")</f>
        <v/>
      </c>
      <c r="N1019" s="28" t="inlineStr">
        <is>
          <t>W24</t>
        </is>
      </c>
      <c r="O1019" s="36" t="n">
        <v>46421</v>
      </c>
      <c r="P1019" s="30">
        <f>IF(F1019&lt;&gt;"","✅ 완료",IF(O1019="","-",IF(TODAY()&gt;O1019,"🚨 지연","⏳ 예정")))</f>
        <v/>
      </c>
      <c r="Q1019" s="7" t="n"/>
      <c r="R1019" s="7" t="n"/>
      <c r="S1019" s="7" t="n"/>
      <c r="T1019" s="7" t="n"/>
      <c r="U1019" s="7" t="n"/>
      <c r="V1019" s="7" t="n"/>
      <c r="W1019" s="7" t="n"/>
      <c r="X1019" s="7" t="n"/>
    </row>
    <row r="1020" ht="21.75" customHeight="1" s="209">
      <c r="A1020" s="28" t="n">
        <v>1017</v>
      </c>
      <c r="B1020" s="28" t="inlineStr">
        <is>
          <t>8428</t>
        </is>
      </c>
      <c r="C1020" s="30" t="inlineStr">
        <is>
          <t>D7</t>
        </is>
      </c>
      <c r="D1020" s="32" t="inlineStr">
        <is>
          <t>트리 색칠 게임</t>
        </is>
      </c>
      <c r="E1020" s="132" t="inlineStr">
        <is>
          <t>시뮬레이션 / 구현</t>
        </is>
      </c>
      <c r="F1020" s="28" t="n"/>
      <c r="G1020" s="28" t="n"/>
      <c r="H1020" s="28" t="n"/>
      <c r="I1020" s="28" t="n"/>
      <c r="J1020" s="54">
        <f>IF(OR(ISNUMBER(SEARCH("보류",K1020)),ISNUMBER(SEARCH("미룸",K1020)),ISNUMBER(SEARCH("나중에",K1020)),ISNUMBER(SEARCH("보류",L1020)),ISNUMBER(SEARCH("미룸",L1020)),ISNUMBER(SEARCH("나중에",L1020))),"보류(나중에 풀기)",IF(AND(F1020="",G1020="",H1020="",I1020=""),"미완료",IF(I1020&lt;&gt;"","복습3(마스터)",IF(H1020&lt;&gt;"","복습2",IF(G1020&lt;&gt;"","복습1",IF(ISNUMBER(SEARCH("제미나이",K1020)),"복습대기(AI도움)",IF(ISNUMBER(SEARCH("간당간당",K1020)),"복습대기(간당간당)",IF(OR(ISNUMBER(SEARCH("아이디어",K1020)),ISNUMBER(SEARCH("시간초과",K1020)),ISNUMBER(SEARCH("자료구조",K1020)),ISNUMBER(SEARCH("경계값",K1020)),ISNUMBER(SEARCH("다른 풀이",K1020)),ISNUMBER(SEARCH("또풀기",K1020))),"복습대기",IF(OR(ISNUMBER(SEARCH("복습필요없음",K1020)),ISNUMBER(SEARCH("자력완벽",K1020))),"품(복습불필요)",IF(F1020&lt;&gt;"","품","미완료"))))))))))</f>
        <v/>
      </c>
      <c r="K1020" s="32" t="inlineStr">
        <is>
          <t>-</t>
        </is>
      </c>
      <c r="L1020" s="32" t="n"/>
      <c r="M1020" s="28">
        <f>IF(OR(LEFT(J1020,2)="보류", LEFT(J1020,4)="복습대기", LEFT(J1020,3)="복습1", LEFT(J1020,3)="복습2"), MAX($M$3:M1019)+1, "")</f>
        <v/>
      </c>
      <c r="N1020" s="28" t="inlineStr">
        <is>
          <t>W24</t>
        </is>
      </c>
      <c r="O1020" s="36" t="n">
        <v>46421</v>
      </c>
      <c r="P1020" s="30">
        <f>IF(F1020&lt;&gt;"","✅ 완료",IF(O1020="","-",IF(TODAY()&gt;O1020,"🚨 지연","⏳ 예정")))</f>
        <v/>
      </c>
      <c r="Q1020" s="7" t="n"/>
      <c r="R1020" s="7" t="n"/>
      <c r="S1020" s="7" t="n"/>
      <c r="T1020" s="7" t="n"/>
      <c r="U1020" s="7" t="n"/>
      <c r="V1020" s="7" t="n"/>
      <c r="W1020" s="7" t="n"/>
      <c r="X1020" s="7" t="n"/>
    </row>
    <row r="1021" ht="21.75" customHeight="1" s="209">
      <c r="A1021" s="28" t="n">
        <v>1018</v>
      </c>
      <c r="B1021" s="28" t="inlineStr">
        <is>
          <t>8460</t>
        </is>
      </c>
      <c r="C1021" s="30" t="inlineStr">
        <is>
          <t>D7</t>
        </is>
      </c>
      <c r="D1021" s="32" t="inlineStr">
        <is>
          <t>영원한 이진수 시계</t>
        </is>
      </c>
      <c r="E1021" s="132" t="inlineStr">
        <is>
          <t>이진탐색 (Binary Search)</t>
        </is>
      </c>
      <c r="F1021" s="28" t="n"/>
      <c r="G1021" s="28" t="n"/>
      <c r="H1021" s="28" t="n"/>
      <c r="I1021" s="28" t="n"/>
      <c r="J1021" s="54">
        <f>IF(OR(ISNUMBER(SEARCH("보류",K1021)),ISNUMBER(SEARCH("미룸",K1021)),ISNUMBER(SEARCH("나중에",K1021)),ISNUMBER(SEARCH("보류",L1021)),ISNUMBER(SEARCH("미룸",L1021)),ISNUMBER(SEARCH("나중에",L1021))),"보류(나중에 풀기)",IF(AND(F1021="",G1021="",H1021="",I1021=""),"미완료",IF(I1021&lt;&gt;"","복습3(마스터)",IF(H1021&lt;&gt;"","복습2",IF(G1021&lt;&gt;"","복습1",IF(ISNUMBER(SEARCH("제미나이",K1021)),"복습대기(AI도움)",IF(ISNUMBER(SEARCH("간당간당",K1021)),"복습대기(간당간당)",IF(OR(ISNUMBER(SEARCH("아이디어",K1021)),ISNUMBER(SEARCH("시간초과",K1021)),ISNUMBER(SEARCH("자료구조",K1021)),ISNUMBER(SEARCH("경계값",K1021)),ISNUMBER(SEARCH("다른 풀이",K1021)),ISNUMBER(SEARCH("또풀기",K1021))),"복습대기",IF(OR(ISNUMBER(SEARCH("복습필요없음",K1021)),ISNUMBER(SEARCH("자력완벽",K1021))),"품(복습불필요)",IF(F1021&lt;&gt;"","품","미완료"))))))))))</f>
        <v/>
      </c>
      <c r="K1021" s="32" t="inlineStr">
        <is>
          <t>-</t>
        </is>
      </c>
      <c r="L1021" s="32" t="n"/>
      <c r="M1021" s="28">
        <f>IF(OR(LEFT(J1021,2)="보류", LEFT(J1021,4)="복습대기", LEFT(J1021,3)="복습1", LEFT(J1021,3)="복습2"), MAX($M$3:M1020)+1, "")</f>
        <v/>
      </c>
      <c r="N1021" s="28" t="inlineStr">
        <is>
          <t>W24</t>
        </is>
      </c>
      <c r="O1021" s="36" t="n">
        <v>46421</v>
      </c>
      <c r="P1021" s="30">
        <f>IF(F1021&lt;&gt;"","✅ 완료",IF(O1021="","-",IF(TODAY()&gt;O1021,"🚨 지연","⏳ 예정")))</f>
        <v/>
      </c>
      <c r="Q1021" s="7" t="n"/>
      <c r="R1021" s="7" t="n"/>
      <c r="S1021" s="7" t="n"/>
      <c r="T1021" s="7" t="n"/>
      <c r="U1021" s="7" t="n"/>
      <c r="V1021" s="7" t="n"/>
      <c r="W1021" s="7" t="n"/>
      <c r="X1021" s="7" t="n"/>
    </row>
    <row r="1022" ht="21.75" customHeight="1" s="209">
      <c r="A1022" s="28" t="n">
        <v>1019</v>
      </c>
      <c r="B1022" s="28" t="inlineStr">
        <is>
          <t>8559</t>
        </is>
      </c>
      <c r="C1022" s="30" t="inlineStr">
        <is>
          <t>D7</t>
        </is>
      </c>
      <c r="D1022" s="32" t="inlineStr">
        <is>
          <t>진수의 전설</t>
        </is>
      </c>
      <c r="E1022" s="132" t="inlineStr">
        <is>
          <t>수학 / 정수론</t>
        </is>
      </c>
      <c r="F1022" s="28" t="n"/>
      <c r="G1022" s="28" t="n"/>
      <c r="H1022" s="28" t="n"/>
      <c r="I1022" s="28" t="n"/>
      <c r="J1022" s="54">
        <f>IF(OR(ISNUMBER(SEARCH("보류",K1022)),ISNUMBER(SEARCH("미룸",K1022)),ISNUMBER(SEARCH("나중에",K1022)),ISNUMBER(SEARCH("보류",L1022)),ISNUMBER(SEARCH("미룸",L1022)),ISNUMBER(SEARCH("나중에",L1022))),"보류(나중에 풀기)",IF(AND(F1022="",G1022="",H1022="",I1022=""),"미완료",IF(I1022&lt;&gt;"","복습3(마스터)",IF(H1022&lt;&gt;"","복습2",IF(G1022&lt;&gt;"","복습1",IF(ISNUMBER(SEARCH("제미나이",K1022)),"복습대기(AI도움)",IF(ISNUMBER(SEARCH("간당간당",K1022)),"복습대기(간당간당)",IF(OR(ISNUMBER(SEARCH("아이디어",K1022)),ISNUMBER(SEARCH("시간초과",K1022)),ISNUMBER(SEARCH("자료구조",K1022)),ISNUMBER(SEARCH("경계값",K1022)),ISNUMBER(SEARCH("다른 풀이",K1022)),ISNUMBER(SEARCH("또풀기",K1022))),"복습대기",IF(OR(ISNUMBER(SEARCH("복습필요없음",K1022)),ISNUMBER(SEARCH("자력완벽",K1022))),"품(복습불필요)",IF(F1022&lt;&gt;"","품","미완료"))))))))))</f>
        <v/>
      </c>
      <c r="K1022" s="32" t="inlineStr">
        <is>
          <t>-</t>
        </is>
      </c>
      <c r="L1022" s="32" t="n"/>
      <c r="M1022" s="28">
        <f>IF(OR(LEFT(J1022,2)="보류", LEFT(J1022,4)="복습대기", LEFT(J1022,3)="복습1", LEFT(J1022,3)="복습2"), MAX($M$3:M1021)+1, "")</f>
        <v/>
      </c>
      <c r="N1022" s="28" t="inlineStr">
        <is>
          <t>W24</t>
        </is>
      </c>
      <c r="O1022" s="36" t="n">
        <v>46421</v>
      </c>
      <c r="P1022" s="30">
        <f>IF(F1022&lt;&gt;"","✅ 완료",IF(O1022="","-",IF(TODAY()&gt;O1022,"🚨 지연","⏳ 예정")))</f>
        <v/>
      </c>
      <c r="Q1022" s="7" t="n"/>
      <c r="R1022" s="7" t="n"/>
      <c r="S1022" s="7" t="n"/>
      <c r="T1022" s="7" t="n"/>
      <c r="U1022" s="7" t="n"/>
      <c r="V1022" s="7" t="n"/>
      <c r="W1022" s="7" t="n"/>
      <c r="X1022" s="7" t="n"/>
    </row>
    <row r="1023" ht="21.75" customHeight="1" s="209">
      <c r="A1023" s="28" t="n">
        <v>1020</v>
      </c>
      <c r="B1023" s="28" t="inlineStr">
        <is>
          <t>8575</t>
        </is>
      </c>
      <c r="C1023" s="30" t="inlineStr">
        <is>
          <t>D7</t>
        </is>
      </c>
      <c r="D1023" s="32" t="inlineStr">
        <is>
          <t>최장 최단 경로</t>
        </is>
      </c>
      <c r="E1023" s="132" t="inlineStr">
        <is>
          <t>DFS / 백트래킹</t>
        </is>
      </c>
      <c r="F1023" s="28" t="n"/>
      <c r="G1023" s="28" t="n"/>
      <c r="H1023" s="28" t="n"/>
      <c r="I1023" s="28" t="n"/>
      <c r="J1023" s="54">
        <f>IF(OR(ISNUMBER(SEARCH("보류",K1023)),ISNUMBER(SEARCH("미룸",K1023)),ISNUMBER(SEARCH("나중에",K1023)),ISNUMBER(SEARCH("보류",L1023)),ISNUMBER(SEARCH("미룸",L1023)),ISNUMBER(SEARCH("나중에",L1023))),"보류(나중에 풀기)",IF(AND(F1023="",G1023="",H1023="",I1023=""),"미완료",IF(I1023&lt;&gt;"","복습3(마스터)",IF(H1023&lt;&gt;"","복습2",IF(G1023&lt;&gt;"","복습1",IF(ISNUMBER(SEARCH("제미나이",K1023)),"복습대기(AI도움)",IF(ISNUMBER(SEARCH("간당간당",K1023)),"복습대기(간당간당)",IF(OR(ISNUMBER(SEARCH("아이디어",K1023)),ISNUMBER(SEARCH("시간초과",K1023)),ISNUMBER(SEARCH("자료구조",K1023)),ISNUMBER(SEARCH("경계값",K1023)),ISNUMBER(SEARCH("다른 풀이",K1023)),ISNUMBER(SEARCH("또풀기",K1023))),"복습대기",IF(OR(ISNUMBER(SEARCH("복습필요없음",K1023)),ISNUMBER(SEARCH("자력완벽",K1023))),"품(복습불필요)",IF(F1023&lt;&gt;"","품","미완료"))))))))))</f>
        <v/>
      </c>
      <c r="K1023" s="32" t="inlineStr">
        <is>
          <t>-</t>
        </is>
      </c>
      <c r="L1023" s="32" t="n"/>
      <c r="M1023" s="28">
        <f>IF(OR(LEFT(J1023,2)="보류", LEFT(J1023,4)="복습대기", LEFT(J1023,3)="복습1", LEFT(J1023,3)="복습2"), MAX($M$3:M1022)+1, "")</f>
        <v/>
      </c>
      <c r="N1023" s="28" t="inlineStr">
        <is>
          <t>W24</t>
        </is>
      </c>
      <c r="O1023" s="36" t="n">
        <v>46421</v>
      </c>
      <c r="P1023" s="30">
        <f>IF(F1023&lt;&gt;"","✅ 완료",IF(O1023="","-",IF(TODAY()&gt;O1023,"🚨 지연","⏳ 예정")))</f>
        <v/>
      </c>
      <c r="Q1023" s="7" t="n"/>
      <c r="R1023" s="7" t="n"/>
      <c r="S1023" s="7" t="n"/>
      <c r="T1023" s="7" t="n"/>
      <c r="U1023" s="7" t="n"/>
      <c r="V1023" s="7" t="n"/>
      <c r="W1023" s="7" t="n"/>
      <c r="X1023" s="7" t="n"/>
    </row>
    <row r="1024" ht="21.75" customHeight="1" s="209">
      <c r="A1024" s="28" t="n">
        <v>1021</v>
      </c>
      <c r="B1024" s="28" t="inlineStr">
        <is>
          <t>8775</t>
        </is>
      </c>
      <c r="C1024" s="30" t="inlineStr">
        <is>
          <t>D7</t>
        </is>
      </c>
      <c r="D1024" s="32" t="inlineStr">
        <is>
          <t>피보나치 수 사랑 2</t>
        </is>
      </c>
      <c r="E1024" s="132" t="inlineStr">
        <is>
          <t>동적계획법 (DP)</t>
        </is>
      </c>
      <c r="F1024" s="28" t="n"/>
      <c r="G1024" s="28" t="n"/>
      <c r="H1024" s="28" t="n"/>
      <c r="I1024" s="28" t="n"/>
      <c r="J1024" s="54">
        <f>IF(OR(ISNUMBER(SEARCH("보류",K1024)),ISNUMBER(SEARCH("미룸",K1024)),ISNUMBER(SEARCH("나중에",K1024)),ISNUMBER(SEARCH("보류",L1024)),ISNUMBER(SEARCH("미룸",L1024)),ISNUMBER(SEARCH("나중에",L1024))),"보류(나중에 풀기)",IF(AND(F1024="",G1024="",H1024="",I1024=""),"미완료",IF(I1024&lt;&gt;"","복습3(마스터)",IF(H1024&lt;&gt;"","복습2",IF(G1024&lt;&gt;"","복습1",IF(ISNUMBER(SEARCH("제미나이",K1024)),"복습대기(AI도움)",IF(ISNUMBER(SEARCH("간당간당",K1024)),"복습대기(간당간당)",IF(OR(ISNUMBER(SEARCH("아이디어",K1024)),ISNUMBER(SEARCH("시간초과",K1024)),ISNUMBER(SEARCH("자료구조",K1024)),ISNUMBER(SEARCH("경계값",K1024)),ISNUMBER(SEARCH("다른 풀이",K1024)),ISNUMBER(SEARCH("또풀기",K1024))),"복습대기",IF(OR(ISNUMBER(SEARCH("복습필요없음",K1024)),ISNUMBER(SEARCH("자력완벽",K1024))),"품(복습불필요)",IF(F1024&lt;&gt;"","품","미완료"))))))))))</f>
        <v/>
      </c>
      <c r="K1024" s="32" t="inlineStr">
        <is>
          <t>-</t>
        </is>
      </c>
      <c r="L1024" s="32" t="n"/>
      <c r="M1024" s="28">
        <f>IF(OR(LEFT(J1024,2)="보류", LEFT(J1024,4)="복습대기", LEFT(J1024,3)="복습1", LEFT(J1024,3)="복습2"), MAX($M$3:M1023)+1, "")</f>
        <v/>
      </c>
      <c r="N1024" s="28" t="inlineStr">
        <is>
          <t>W24</t>
        </is>
      </c>
      <c r="O1024" s="36" t="n">
        <v>46422</v>
      </c>
      <c r="P1024" s="30">
        <f>IF(F1024&lt;&gt;"","✅ 완료",IF(O1024="","-",IF(TODAY()&gt;O1024,"🚨 지연","⏳ 예정")))</f>
        <v/>
      </c>
      <c r="Q1024" s="7" t="n"/>
      <c r="R1024" s="7" t="n"/>
      <c r="S1024" s="7" t="n"/>
      <c r="T1024" s="7" t="n"/>
      <c r="U1024" s="7" t="n"/>
      <c r="V1024" s="7" t="n"/>
      <c r="W1024" s="7" t="n"/>
      <c r="X1024" s="7" t="n"/>
    </row>
    <row r="1025" ht="21.75" customHeight="1" s="209">
      <c r="A1025" s="28" t="n">
        <v>1022</v>
      </c>
      <c r="B1025" s="28" t="inlineStr">
        <is>
          <t>8825</t>
        </is>
      </c>
      <c r="C1025" s="30" t="inlineStr">
        <is>
          <t>D7</t>
        </is>
      </c>
      <c r="D1025" s="32" t="inlineStr">
        <is>
          <t>홀수 중간값 피라미드2</t>
        </is>
      </c>
      <c r="E1025" s="132" t="inlineStr">
        <is>
          <t>최적화 / 고급 알고리즘</t>
        </is>
      </c>
      <c r="F1025" s="28" t="n"/>
      <c r="G1025" s="28" t="n"/>
      <c r="H1025" s="28" t="n"/>
      <c r="I1025" s="28" t="n"/>
      <c r="J1025" s="54">
        <f>IF(OR(ISNUMBER(SEARCH("보류",K1025)),ISNUMBER(SEARCH("미룸",K1025)),ISNUMBER(SEARCH("나중에",K1025)),ISNUMBER(SEARCH("보류",L1025)),ISNUMBER(SEARCH("미룸",L1025)),ISNUMBER(SEARCH("나중에",L1025))),"보류(나중에 풀기)",IF(AND(F1025="",G1025="",H1025="",I1025=""),"미완료",IF(I1025&lt;&gt;"","복습3(마스터)",IF(H1025&lt;&gt;"","복습2",IF(G1025&lt;&gt;"","복습1",IF(ISNUMBER(SEARCH("제미나이",K1025)),"복습대기(AI도움)",IF(ISNUMBER(SEARCH("간당간당",K1025)),"복습대기(간당간당)",IF(OR(ISNUMBER(SEARCH("아이디어",K1025)),ISNUMBER(SEARCH("시간초과",K1025)),ISNUMBER(SEARCH("자료구조",K1025)),ISNUMBER(SEARCH("경계값",K1025)),ISNUMBER(SEARCH("다른 풀이",K1025)),ISNUMBER(SEARCH("또풀기",K1025))),"복습대기",IF(OR(ISNUMBER(SEARCH("복습필요없음",K1025)),ISNUMBER(SEARCH("자력완벽",K1025))),"품(복습불필요)",IF(F1025&lt;&gt;"","품","미완료"))))))))))</f>
        <v/>
      </c>
      <c r="K1025" s="32" t="inlineStr">
        <is>
          <t>-</t>
        </is>
      </c>
      <c r="L1025" s="32" t="n"/>
      <c r="M1025" s="28">
        <f>IF(OR(LEFT(J1025,2)="보류", LEFT(J1025,4)="복습대기", LEFT(J1025,3)="복습1", LEFT(J1025,3)="복습2"), MAX($M$3:M1024)+1, "")</f>
        <v/>
      </c>
      <c r="N1025" s="28" t="inlineStr">
        <is>
          <t>W24</t>
        </is>
      </c>
      <c r="O1025" s="36" t="n">
        <v>46422</v>
      </c>
      <c r="P1025" s="30">
        <f>IF(F1025&lt;&gt;"","✅ 완료",IF(O1025="","-",IF(TODAY()&gt;O1025,"🚨 지연","⏳ 예정")))</f>
        <v/>
      </c>
      <c r="Q1025" s="7" t="n"/>
      <c r="R1025" s="7" t="n"/>
      <c r="S1025" s="7" t="n"/>
      <c r="T1025" s="7" t="n"/>
      <c r="U1025" s="7" t="n"/>
      <c r="V1025" s="7" t="n"/>
      <c r="W1025" s="7" t="n"/>
      <c r="X1025" s="7" t="n"/>
    </row>
    <row r="1026" ht="21.75" customHeight="1" s="209">
      <c r="A1026" s="28" t="n">
        <v>1023</v>
      </c>
      <c r="B1026" s="28" t="inlineStr">
        <is>
          <t>8853</t>
        </is>
      </c>
      <c r="C1026" s="30" t="inlineStr">
        <is>
          <t>D7</t>
        </is>
      </c>
      <c r="D1026" s="32" t="inlineStr">
        <is>
          <t>녹즙 제조</t>
        </is>
      </c>
      <c r="E1026" s="132" t="inlineStr">
        <is>
          <t>최적화 / 고급 알고리즘</t>
        </is>
      </c>
      <c r="F1026" s="28" t="n"/>
      <c r="G1026" s="28" t="n"/>
      <c r="H1026" s="28" t="n"/>
      <c r="I1026" s="28" t="n"/>
      <c r="J1026" s="54">
        <f>IF(OR(ISNUMBER(SEARCH("보류",K1026)),ISNUMBER(SEARCH("미룸",K1026)),ISNUMBER(SEARCH("나중에",K1026)),ISNUMBER(SEARCH("보류",L1026)),ISNUMBER(SEARCH("미룸",L1026)),ISNUMBER(SEARCH("나중에",L1026))),"보류(나중에 풀기)",IF(AND(F1026="",G1026="",H1026="",I1026=""),"미완료",IF(I1026&lt;&gt;"","복습3(마스터)",IF(H1026&lt;&gt;"","복습2",IF(G1026&lt;&gt;"","복습1",IF(ISNUMBER(SEARCH("제미나이",K1026)),"복습대기(AI도움)",IF(ISNUMBER(SEARCH("간당간당",K1026)),"복습대기(간당간당)",IF(OR(ISNUMBER(SEARCH("아이디어",K1026)),ISNUMBER(SEARCH("시간초과",K1026)),ISNUMBER(SEARCH("자료구조",K1026)),ISNUMBER(SEARCH("경계값",K1026)),ISNUMBER(SEARCH("다른 풀이",K1026)),ISNUMBER(SEARCH("또풀기",K1026))),"복습대기",IF(OR(ISNUMBER(SEARCH("복습필요없음",K1026)),ISNUMBER(SEARCH("자력완벽",K1026))),"품(복습불필요)",IF(F1026&lt;&gt;"","품","미완료"))))))))))</f>
        <v/>
      </c>
      <c r="K1026" s="32" t="inlineStr">
        <is>
          <t>-</t>
        </is>
      </c>
      <c r="L1026" s="32" t="n"/>
      <c r="M1026" s="28">
        <f>IF(OR(LEFT(J1026,2)="보류", LEFT(J1026,4)="복습대기", LEFT(J1026,3)="복습1", LEFT(J1026,3)="복습2"), MAX($M$3:M1025)+1, "")</f>
        <v/>
      </c>
      <c r="N1026" s="28" t="inlineStr">
        <is>
          <t>W24</t>
        </is>
      </c>
      <c r="O1026" s="36" t="n">
        <v>46422</v>
      </c>
      <c r="P1026" s="30">
        <f>IF(F1026&lt;&gt;"","✅ 완료",IF(O1026="","-",IF(TODAY()&gt;O1026,"🚨 지연","⏳ 예정")))</f>
        <v/>
      </c>
      <c r="Q1026" s="7" t="n"/>
      <c r="R1026" s="7" t="n"/>
      <c r="S1026" s="7" t="n"/>
      <c r="T1026" s="7" t="n"/>
      <c r="U1026" s="7" t="n"/>
      <c r="V1026" s="7" t="n"/>
      <c r="W1026" s="7" t="n"/>
      <c r="X1026" s="7" t="n"/>
    </row>
    <row r="1027" ht="21.75" customHeight="1" s="209">
      <c r="A1027" s="28" t="n">
        <v>1024</v>
      </c>
      <c r="B1027" s="28" t="inlineStr">
        <is>
          <t>8856</t>
        </is>
      </c>
      <c r="C1027" s="30" t="inlineStr">
        <is>
          <t>D7</t>
        </is>
      </c>
      <c r="D1027" s="32" t="inlineStr">
        <is>
          <t>기념 사진 촬영</t>
        </is>
      </c>
      <c r="E1027" s="132" t="inlineStr">
        <is>
          <t>최적화 / 고급 알고리즘</t>
        </is>
      </c>
      <c r="F1027" s="28" t="n"/>
      <c r="G1027" s="28" t="n"/>
      <c r="H1027" s="28" t="n"/>
      <c r="I1027" s="28" t="n"/>
      <c r="J1027" s="54">
        <f>IF(OR(ISNUMBER(SEARCH("보류",K1027)),ISNUMBER(SEARCH("미룸",K1027)),ISNUMBER(SEARCH("나중에",K1027)),ISNUMBER(SEARCH("보류",L1027)),ISNUMBER(SEARCH("미룸",L1027)),ISNUMBER(SEARCH("나중에",L1027))),"보류(나중에 풀기)",IF(AND(F1027="",G1027="",H1027="",I1027=""),"미완료",IF(I1027&lt;&gt;"","복습3(마스터)",IF(H1027&lt;&gt;"","복습2",IF(G1027&lt;&gt;"","복습1",IF(ISNUMBER(SEARCH("제미나이",K1027)),"복습대기(AI도움)",IF(ISNUMBER(SEARCH("간당간당",K1027)),"복습대기(간당간당)",IF(OR(ISNUMBER(SEARCH("아이디어",K1027)),ISNUMBER(SEARCH("시간초과",K1027)),ISNUMBER(SEARCH("자료구조",K1027)),ISNUMBER(SEARCH("경계값",K1027)),ISNUMBER(SEARCH("다른 풀이",K1027)),ISNUMBER(SEARCH("또풀기",K1027))),"복습대기",IF(OR(ISNUMBER(SEARCH("복습필요없음",K1027)),ISNUMBER(SEARCH("자력완벽",K1027))),"품(복습불필요)",IF(F1027&lt;&gt;"","품","미완료"))))))))))</f>
        <v/>
      </c>
      <c r="K1027" s="32" t="inlineStr">
        <is>
          <t>-</t>
        </is>
      </c>
      <c r="L1027" s="32" t="n"/>
      <c r="M1027" s="28">
        <f>IF(OR(LEFT(J1027,2)="보류", LEFT(J1027,4)="복습대기", LEFT(J1027,3)="복습1", LEFT(J1027,3)="복습2"), MAX($M$3:M1026)+1, "")</f>
        <v/>
      </c>
      <c r="N1027" s="28" t="inlineStr">
        <is>
          <t>W24</t>
        </is>
      </c>
      <c r="O1027" s="36" t="n">
        <v>46422</v>
      </c>
      <c r="P1027" s="30">
        <f>IF(F1027&lt;&gt;"","✅ 완료",IF(O1027="","-",IF(TODAY()&gt;O1027,"🚨 지연","⏳ 예정")))</f>
        <v/>
      </c>
      <c r="Q1027" s="7" t="n"/>
      <c r="R1027" s="7" t="n"/>
      <c r="S1027" s="7" t="n"/>
      <c r="T1027" s="7" t="n"/>
      <c r="U1027" s="7" t="n"/>
      <c r="V1027" s="7" t="n"/>
      <c r="W1027" s="7" t="n"/>
      <c r="X1027" s="7" t="n"/>
    </row>
    <row r="1028" ht="21.75" customHeight="1" s="209">
      <c r="A1028" s="28" t="n">
        <v>1025</v>
      </c>
      <c r="B1028" s="28" t="inlineStr">
        <is>
          <t>8903</t>
        </is>
      </c>
      <c r="C1028" s="30" t="inlineStr">
        <is>
          <t>D7</t>
        </is>
      </c>
      <c r="D1028" s="32" t="inlineStr">
        <is>
          <t>교통의 요지</t>
        </is>
      </c>
      <c r="E1028" s="132" t="inlineStr">
        <is>
          <t>최적화 / 고급 알고리즘</t>
        </is>
      </c>
      <c r="F1028" s="28" t="n"/>
      <c r="G1028" s="28" t="n"/>
      <c r="H1028" s="28" t="n"/>
      <c r="I1028" s="28" t="n"/>
      <c r="J1028" s="54">
        <f>IF(OR(ISNUMBER(SEARCH("보류",K1028)),ISNUMBER(SEARCH("미룸",K1028)),ISNUMBER(SEARCH("나중에",K1028)),ISNUMBER(SEARCH("보류",L1028)),ISNUMBER(SEARCH("미룸",L1028)),ISNUMBER(SEARCH("나중에",L1028))),"보류(나중에 풀기)",IF(AND(F1028="",G1028="",H1028="",I1028=""),"미완료",IF(I1028&lt;&gt;"","복습3(마스터)",IF(H1028&lt;&gt;"","복습2",IF(G1028&lt;&gt;"","복습1",IF(ISNUMBER(SEARCH("제미나이",K1028)),"복습대기(AI도움)",IF(ISNUMBER(SEARCH("간당간당",K1028)),"복습대기(간당간당)",IF(OR(ISNUMBER(SEARCH("아이디어",K1028)),ISNUMBER(SEARCH("시간초과",K1028)),ISNUMBER(SEARCH("자료구조",K1028)),ISNUMBER(SEARCH("경계값",K1028)),ISNUMBER(SEARCH("다른 풀이",K1028)),ISNUMBER(SEARCH("또풀기",K1028))),"복습대기",IF(OR(ISNUMBER(SEARCH("복습필요없음",K1028)),ISNUMBER(SEARCH("자력완벽",K1028))),"품(복습불필요)",IF(F1028&lt;&gt;"","품","미완료"))))))))))</f>
        <v/>
      </c>
      <c r="K1028" s="32" t="inlineStr">
        <is>
          <t>-</t>
        </is>
      </c>
      <c r="L1028" s="32" t="n"/>
      <c r="M1028" s="28">
        <f>IF(OR(LEFT(J1028,2)="보류", LEFT(J1028,4)="복습대기", LEFT(J1028,3)="복습1", LEFT(J1028,3)="복습2"), MAX($M$3:M1027)+1, "")</f>
        <v/>
      </c>
      <c r="N1028" s="28" t="inlineStr">
        <is>
          <t>W24</t>
        </is>
      </c>
      <c r="O1028" s="36" t="n">
        <v>46422</v>
      </c>
      <c r="P1028" s="30">
        <f>IF(F1028&lt;&gt;"","✅ 완료",IF(O1028="","-",IF(TODAY()&gt;O1028,"🚨 지연","⏳ 예정")))</f>
        <v/>
      </c>
      <c r="Q1028" s="7" t="n"/>
      <c r="R1028" s="7" t="n"/>
      <c r="S1028" s="7" t="n"/>
      <c r="T1028" s="7" t="n"/>
      <c r="U1028" s="7" t="n"/>
      <c r="V1028" s="7" t="n"/>
      <c r="W1028" s="7" t="n"/>
      <c r="X1028" s="7" t="n"/>
    </row>
    <row r="1029" ht="21.75" customHeight="1" s="209">
      <c r="A1029" s="28" t="n">
        <v>1026</v>
      </c>
      <c r="B1029" s="28" t="inlineStr">
        <is>
          <t>9096</t>
        </is>
      </c>
      <c r="C1029" s="30" t="inlineStr">
        <is>
          <t>D7</t>
        </is>
      </c>
      <c r="D1029" s="32" t="inlineStr">
        <is>
          <t>괄호</t>
        </is>
      </c>
      <c r="E1029" s="132" t="inlineStr">
        <is>
          <t>자료구조 (스택/큐/리스트)</t>
        </is>
      </c>
      <c r="F1029" s="28" t="n"/>
      <c r="G1029" s="28" t="n"/>
      <c r="H1029" s="28" t="n"/>
      <c r="I1029" s="28" t="n"/>
      <c r="J1029" s="54">
        <f>IF(OR(ISNUMBER(SEARCH("보류",K1029)),ISNUMBER(SEARCH("미룸",K1029)),ISNUMBER(SEARCH("나중에",K1029)),ISNUMBER(SEARCH("보류",L1029)),ISNUMBER(SEARCH("미룸",L1029)),ISNUMBER(SEARCH("나중에",L1029))),"보류(나중에 풀기)",IF(AND(F1029="",G1029="",H1029="",I1029=""),"미완료",IF(I1029&lt;&gt;"","복습3(마스터)",IF(H1029&lt;&gt;"","복습2",IF(G1029&lt;&gt;"","복습1",IF(ISNUMBER(SEARCH("제미나이",K1029)),"복습대기(AI도움)",IF(ISNUMBER(SEARCH("간당간당",K1029)),"복습대기(간당간당)",IF(OR(ISNUMBER(SEARCH("아이디어",K1029)),ISNUMBER(SEARCH("시간초과",K1029)),ISNUMBER(SEARCH("자료구조",K1029)),ISNUMBER(SEARCH("경계값",K1029)),ISNUMBER(SEARCH("다른 풀이",K1029)),ISNUMBER(SEARCH("또풀기",K1029))),"복습대기",IF(OR(ISNUMBER(SEARCH("복습필요없음",K1029)),ISNUMBER(SEARCH("자력완벽",K1029))),"품(복습불필요)",IF(F1029&lt;&gt;"","품","미완료"))))))))))</f>
        <v/>
      </c>
      <c r="K1029" s="32" t="inlineStr">
        <is>
          <t>-</t>
        </is>
      </c>
      <c r="L1029" s="32" t="n"/>
      <c r="M1029" s="28">
        <f>IF(OR(LEFT(J1029,2)="보류", LEFT(J1029,4)="복습대기", LEFT(J1029,3)="복습1", LEFT(J1029,3)="복습2"), MAX($M$3:M1028)+1, "")</f>
        <v/>
      </c>
      <c r="N1029" s="28" t="inlineStr">
        <is>
          <t>W24</t>
        </is>
      </c>
      <c r="O1029" s="36" t="n">
        <v>46422</v>
      </c>
      <c r="P1029" s="30">
        <f>IF(F1029&lt;&gt;"","✅ 완료",IF(O1029="","-",IF(TODAY()&gt;O1029,"🚨 지연","⏳ 예정")))</f>
        <v/>
      </c>
      <c r="Q1029" s="7" t="n"/>
      <c r="R1029" s="7" t="n"/>
      <c r="S1029" s="7" t="n"/>
      <c r="T1029" s="7" t="n"/>
      <c r="U1029" s="7" t="n"/>
      <c r="V1029" s="7" t="n"/>
      <c r="W1029" s="7" t="n"/>
      <c r="X1029" s="7" t="n"/>
    </row>
    <row r="1030" ht="21.75" customHeight="1" s="209">
      <c r="A1030" s="28" t="n">
        <v>1027</v>
      </c>
      <c r="B1030" s="28" t="inlineStr">
        <is>
          <t>9238</t>
        </is>
      </c>
      <c r="C1030" s="30" t="inlineStr">
        <is>
          <t>D7</t>
        </is>
      </c>
      <c r="D1030" s="32" t="inlineStr">
        <is>
          <t>마법 거미줄</t>
        </is>
      </c>
      <c r="E1030" s="132" t="inlineStr">
        <is>
          <t>최적화 / 고급 알고리즘</t>
        </is>
      </c>
      <c r="F1030" s="28" t="n"/>
      <c r="G1030" s="28" t="n"/>
      <c r="H1030" s="28" t="n"/>
      <c r="I1030" s="28" t="n"/>
      <c r="J1030" s="54">
        <f>IF(OR(ISNUMBER(SEARCH("보류",K1030)),ISNUMBER(SEARCH("미룸",K1030)),ISNUMBER(SEARCH("나중에",K1030)),ISNUMBER(SEARCH("보류",L1030)),ISNUMBER(SEARCH("미룸",L1030)),ISNUMBER(SEARCH("나중에",L1030))),"보류(나중에 풀기)",IF(AND(F1030="",G1030="",H1030="",I1030=""),"미완료",IF(I1030&lt;&gt;"","복습3(마스터)",IF(H1030&lt;&gt;"","복습2",IF(G1030&lt;&gt;"","복습1",IF(ISNUMBER(SEARCH("제미나이",K1030)),"복습대기(AI도움)",IF(ISNUMBER(SEARCH("간당간당",K1030)),"복습대기(간당간당)",IF(OR(ISNUMBER(SEARCH("아이디어",K1030)),ISNUMBER(SEARCH("시간초과",K1030)),ISNUMBER(SEARCH("자료구조",K1030)),ISNUMBER(SEARCH("경계값",K1030)),ISNUMBER(SEARCH("다른 풀이",K1030)),ISNUMBER(SEARCH("또풀기",K1030))),"복습대기",IF(OR(ISNUMBER(SEARCH("복습필요없음",K1030)),ISNUMBER(SEARCH("자력완벽",K1030))),"품(복습불필요)",IF(F1030&lt;&gt;"","품","미완료"))))))))))</f>
        <v/>
      </c>
      <c r="K1030" s="32" t="inlineStr">
        <is>
          <t>-</t>
        </is>
      </c>
      <c r="L1030" s="32" t="n"/>
      <c r="M1030" s="28">
        <f>IF(OR(LEFT(J1030,2)="보류", LEFT(J1030,4)="복습대기", LEFT(J1030,3)="복습1", LEFT(J1030,3)="복습2"), MAX($M$3:M1029)+1, "")</f>
        <v/>
      </c>
      <c r="N1030" s="28" t="inlineStr">
        <is>
          <t>W24</t>
        </is>
      </c>
      <c r="O1030" s="36" t="n">
        <v>46422</v>
      </c>
      <c r="P1030" s="30">
        <f>IF(F1030&lt;&gt;"","✅ 완료",IF(O1030="","-",IF(TODAY()&gt;O1030,"🚨 지연","⏳ 예정")))</f>
        <v/>
      </c>
      <c r="Q1030" s="7" t="n"/>
      <c r="R1030" s="7" t="n"/>
      <c r="S1030" s="7" t="n"/>
      <c r="T1030" s="7" t="n"/>
      <c r="U1030" s="7" t="n"/>
      <c r="V1030" s="7" t="n"/>
      <c r="W1030" s="7" t="n"/>
      <c r="X1030" s="7" t="n"/>
    </row>
    <row r="1031" ht="21.75" customHeight="1" s="209">
      <c r="A1031" s="28" t="n">
        <v>1028</v>
      </c>
      <c r="B1031" s="28" t="inlineStr">
        <is>
          <t>9293</t>
        </is>
      </c>
      <c r="C1031" s="30" t="inlineStr">
        <is>
          <t>D7</t>
        </is>
      </c>
      <c r="D1031" s="32" t="inlineStr">
        <is>
          <t>대칭 축의 개수</t>
        </is>
      </c>
      <c r="E1031" s="132" t="inlineStr">
        <is>
          <t>최적화 / 고급 알고리즘</t>
        </is>
      </c>
      <c r="F1031" s="28" t="n"/>
      <c r="G1031" s="28" t="n"/>
      <c r="H1031" s="28" t="n"/>
      <c r="I1031" s="28" t="n"/>
      <c r="J1031" s="54">
        <f>IF(OR(ISNUMBER(SEARCH("보류",K1031)),ISNUMBER(SEARCH("미룸",K1031)),ISNUMBER(SEARCH("나중에",K1031)),ISNUMBER(SEARCH("보류",L1031)),ISNUMBER(SEARCH("미룸",L1031)),ISNUMBER(SEARCH("나중에",L1031))),"보류(나중에 풀기)",IF(AND(F1031="",G1031="",H1031="",I1031=""),"미완료",IF(I1031&lt;&gt;"","복습3(마스터)",IF(H1031&lt;&gt;"","복습2",IF(G1031&lt;&gt;"","복습1",IF(ISNUMBER(SEARCH("제미나이",K1031)),"복습대기(AI도움)",IF(ISNUMBER(SEARCH("간당간당",K1031)),"복습대기(간당간당)",IF(OR(ISNUMBER(SEARCH("아이디어",K1031)),ISNUMBER(SEARCH("시간초과",K1031)),ISNUMBER(SEARCH("자료구조",K1031)),ISNUMBER(SEARCH("경계값",K1031)),ISNUMBER(SEARCH("다른 풀이",K1031)),ISNUMBER(SEARCH("또풀기",K1031))),"복습대기",IF(OR(ISNUMBER(SEARCH("복습필요없음",K1031)),ISNUMBER(SEARCH("자력완벽",K1031))),"품(복습불필요)",IF(F1031&lt;&gt;"","품","미완료"))))))))))</f>
        <v/>
      </c>
      <c r="K1031" s="32" t="inlineStr">
        <is>
          <t>-</t>
        </is>
      </c>
      <c r="L1031" s="32" t="n"/>
      <c r="M1031" s="28">
        <f>IF(OR(LEFT(J1031,2)="보류", LEFT(J1031,4)="복습대기", LEFT(J1031,3)="복습1", LEFT(J1031,3)="복습2"), MAX($M$3:M1030)+1, "")</f>
        <v/>
      </c>
      <c r="N1031" s="28" t="inlineStr">
        <is>
          <t>W24</t>
        </is>
      </c>
      <c r="O1031" s="36" t="n">
        <v>46423</v>
      </c>
      <c r="P1031" s="30">
        <f>IF(F1031&lt;&gt;"","✅ 완료",IF(O1031="","-",IF(TODAY()&gt;O1031,"🚨 지연","⏳ 예정")))</f>
        <v/>
      </c>
      <c r="Q1031" s="7" t="n"/>
      <c r="R1031" s="7" t="n"/>
      <c r="S1031" s="7" t="n"/>
      <c r="T1031" s="7" t="n"/>
      <c r="U1031" s="7" t="n"/>
      <c r="V1031" s="7" t="n"/>
      <c r="W1031" s="7" t="n"/>
      <c r="X1031" s="7" t="n"/>
    </row>
    <row r="1032" ht="21.75" customHeight="1" s="209">
      <c r="A1032" s="28" t="n">
        <v>1029</v>
      </c>
      <c r="B1032" s="28" t="inlineStr">
        <is>
          <t>9327</t>
        </is>
      </c>
      <c r="C1032" s="30" t="inlineStr">
        <is>
          <t>D7</t>
        </is>
      </c>
      <c r="D1032" s="32" t="inlineStr">
        <is>
          <t>현지의 기지국 설치</t>
        </is>
      </c>
      <c r="E1032" s="132" t="inlineStr">
        <is>
          <t>최적화 / 고급 알고리즘</t>
        </is>
      </c>
      <c r="F1032" s="28" t="n"/>
      <c r="G1032" s="28" t="n"/>
      <c r="H1032" s="28" t="n"/>
      <c r="I1032" s="28" t="n"/>
      <c r="J1032" s="54">
        <f>IF(OR(ISNUMBER(SEARCH("보류",K1032)),ISNUMBER(SEARCH("미룸",K1032)),ISNUMBER(SEARCH("나중에",K1032)),ISNUMBER(SEARCH("보류",L1032)),ISNUMBER(SEARCH("미룸",L1032)),ISNUMBER(SEARCH("나중에",L1032))),"보류(나중에 풀기)",IF(AND(F1032="",G1032="",H1032="",I1032=""),"미완료",IF(I1032&lt;&gt;"","복습3(마스터)",IF(H1032&lt;&gt;"","복습2",IF(G1032&lt;&gt;"","복습1",IF(ISNUMBER(SEARCH("제미나이",K1032)),"복습대기(AI도움)",IF(ISNUMBER(SEARCH("간당간당",K1032)),"복습대기(간당간당)",IF(OR(ISNUMBER(SEARCH("아이디어",K1032)),ISNUMBER(SEARCH("시간초과",K1032)),ISNUMBER(SEARCH("자료구조",K1032)),ISNUMBER(SEARCH("경계값",K1032)),ISNUMBER(SEARCH("다른 풀이",K1032)),ISNUMBER(SEARCH("또풀기",K1032))),"복습대기",IF(OR(ISNUMBER(SEARCH("복습필요없음",K1032)),ISNUMBER(SEARCH("자력완벽",K1032))),"품(복습불필요)",IF(F1032&lt;&gt;"","품","미완료"))))))))))</f>
        <v/>
      </c>
      <c r="K1032" s="32" t="inlineStr">
        <is>
          <t>-</t>
        </is>
      </c>
      <c r="L1032" s="32" t="n"/>
      <c r="M1032" s="28">
        <f>IF(OR(LEFT(J1032,2)="보류", LEFT(J1032,4)="복습대기", LEFT(J1032,3)="복습1", LEFT(J1032,3)="복습2"), MAX($M$3:M1031)+1, "")</f>
        <v/>
      </c>
      <c r="N1032" s="28" t="inlineStr">
        <is>
          <t>W24</t>
        </is>
      </c>
      <c r="O1032" s="36" t="n">
        <v>46423</v>
      </c>
      <c r="P1032" s="30">
        <f>IF(F1032&lt;&gt;"","✅ 완료",IF(O1032="","-",IF(TODAY()&gt;O1032,"🚨 지연","⏳ 예정")))</f>
        <v/>
      </c>
      <c r="Q1032" s="7" t="n"/>
      <c r="R1032" s="7" t="n"/>
      <c r="S1032" s="7" t="n"/>
      <c r="T1032" s="7" t="n"/>
      <c r="U1032" s="7" t="n"/>
      <c r="V1032" s="7" t="n"/>
      <c r="W1032" s="7" t="n"/>
      <c r="X1032" s="7" t="n"/>
    </row>
    <row r="1033" ht="21.75" customHeight="1" s="209">
      <c r="A1033" s="28" t="n">
        <v>1030</v>
      </c>
      <c r="B1033" s="28" t="inlineStr">
        <is>
          <t>9487</t>
        </is>
      </c>
      <c r="C1033" s="30" t="inlineStr">
        <is>
          <t>D7</t>
        </is>
      </c>
      <c r="D1033" s="32" t="inlineStr">
        <is>
          <t>포교</t>
        </is>
      </c>
      <c r="E1033" s="132" t="inlineStr">
        <is>
          <t>최적화 / 고급 알고리즘</t>
        </is>
      </c>
      <c r="F1033" s="28" t="n"/>
      <c r="G1033" s="28" t="n"/>
      <c r="H1033" s="28" t="n"/>
      <c r="I1033" s="28" t="n"/>
      <c r="J1033" s="54">
        <f>IF(OR(ISNUMBER(SEARCH("보류",K1033)),ISNUMBER(SEARCH("미룸",K1033)),ISNUMBER(SEARCH("나중에",K1033)),ISNUMBER(SEARCH("보류",L1033)),ISNUMBER(SEARCH("미룸",L1033)),ISNUMBER(SEARCH("나중에",L1033))),"보류(나중에 풀기)",IF(AND(F1033="",G1033="",H1033="",I1033=""),"미완료",IF(I1033&lt;&gt;"","복습3(마스터)",IF(H1033&lt;&gt;"","복습2",IF(G1033&lt;&gt;"","복습1",IF(ISNUMBER(SEARCH("제미나이",K1033)),"복습대기(AI도움)",IF(ISNUMBER(SEARCH("간당간당",K1033)),"복습대기(간당간당)",IF(OR(ISNUMBER(SEARCH("아이디어",K1033)),ISNUMBER(SEARCH("시간초과",K1033)),ISNUMBER(SEARCH("자료구조",K1033)),ISNUMBER(SEARCH("경계값",K1033)),ISNUMBER(SEARCH("다른 풀이",K1033)),ISNUMBER(SEARCH("또풀기",K1033))),"복습대기",IF(OR(ISNUMBER(SEARCH("복습필요없음",K1033)),ISNUMBER(SEARCH("자력완벽",K1033))),"품(복습불필요)",IF(F1033&lt;&gt;"","품","미완료"))))))))))</f>
        <v/>
      </c>
      <c r="K1033" s="32" t="inlineStr">
        <is>
          <t>-</t>
        </is>
      </c>
      <c r="L1033" s="32" t="n"/>
      <c r="M1033" s="28">
        <f>IF(OR(LEFT(J1033,2)="보류", LEFT(J1033,4)="복습대기", LEFT(J1033,3)="복습1", LEFT(J1033,3)="복습2"), MAX($M$3:M1032)+1, "")</f>
        <v/>
      </c>
      <c r="N1033" s="28" t="inlineStr">
        <is>
          <t>W24</t>
        </is>
      </c>
      <c r="O1033" s="36" t="n">
        <v>46423</v>
      </c>
      <c r="P1033" s="30">
        <f>IF(F1033&lt;&gt;"","✅ 완료",IF(O1033="","-",IF(TODAY()&gt;O1033,"🚨 지연","⏳ 예정")))</f>
        <v/>
      </c>
      <c r="Q1033" s="7" t="n"/>
      <c r="R1033" s="7" t="n"/>
      <c r="S1033" s="7" t="n"/>
      <c r="T1033" s="7" t="n"/>
      <c r="U1033" s="7" t="n"/>
      <c r="V1033" s="7" t="n"/>
      <c r="W1033" s="7" t="n"/>
      <c r="X1033" s="7" t="n"/>
    </row>
    <row r="1034" ht="21.75" customHeight="1" s="209">
      <c r="A1034" s="28" t="n">
        <v>1031</v>
      </c>
      <c r="B1034" s="28" t="inlineStr">
        <is>
          <t>9616</t>
        </is>
      </c>
      <c r="C1034" s="30" t="inlineStr">
        <is>
          <t>D7</t>
        </is>
      </c>
      <c r="D1034" s="32" t="inlineStr">
        <is>
          <t>더 이상한 수열</t>
        </is>
      </c>
      <c r="E1034" s="132" t="inlineStr">
        <is>
          <t>동적계획법 (DP)</t>
        </is>
      </c>
      <c r="F1034" s="28" t="n"/>
      <c r="G1034" s="28" t="n"/>
      <c r="H1034" s="28" t="n"/>
      <c r="I1034" s="28" t="n"/>
      <c r="J1034" s="54">
        <f>IF(OR(ISNUMBER(SEARCH("보류",K1034)),ISNUMBER(SEARCH("미룸",K1034)),ISNUMBER(SEARCH("나중에",K1034)),ISNUMBER(SEARCH("보류",L1034)),ISNUMBER(SEARCH("미룸",L1034)),ISNUMBER(SEARCH("나중에",L1034))),"보류(나중에 풀기)",IF(AND(F1034="",G1034="",H1034="",I1034=""),"미완료",IF(I1034&lt;&gt;"","복습3(마스터)",IF(H1034&lt;&gt;"","복습2",IF(G1034&lt;&gt;"","복습1",IF(ISNUMBER(SEARCH("제미나이",K1034)),"복습대기(AI도움)",IF(ISNUMBER(SEARCH("간당간당",K1034)),"복습대기(간당간당)",IF(OR(ISNUMBER(SEARCH("아이디어",K1034)),ISNUMBER(SEARCH("시간초과",K1034)),ISNUMBER(SEARCH("자료구조",K1034)),ISNUMBER(SEARCH("경계값",K1034)),ISNUMBER(SEARCH("다른 풀이",K1034)),ISNUMBER(SEARCH("또풀기",K1034))),"복습대기",IF(OR(ISNUMBER(SEARCH("복습필요없음",K1034)),ISNUMBER(SEARCH("자력완벽",K1034))),"품(복습불필요)",IF(F1034&lt;&gt;"","품","미완료"))))))))))</f>
        <v/>
      </c>
      <c r="K1034" s="32" t="inlineStr">
        <is>
          <t>-</t>
        </is>
      </c>
      <c r="L1034" s="32" t="n"/>
      <c r="M1034" s="28">
        <f>IF(OR(LEFT(J1034,2)="보류", LEFT(J1034,4)="복습대기", LEFT(J1034,3)="복습1", LEFT(J1034,3)="복습2"), MAX($M$3:M1033)+1, "")</f>
        <v/>
      </c>
      <c r="N1034" s="28" t="inlineStr">
        <is>
          <t>W24</t>
        </is>
      </c>
      <c r="O1034" s="36" t="n">
        <v>46423</v>
      </c>
      <c r="P1034" s="30">
        <f>IF(F1034&lt;&gt;"","✅ 완료",IF(O1034="","-",IF(TODAY()&gt;O1034,"🚨 지연","⏳ 예정")))</f>
        <v/>
      </c>
      <c r="Q1034" s="7" t="n"/>
      <c r="R1034" s="7" t="n"/>
      <c r="S1034" s="7" t="n"/>
      <c r="T1034" s="7" t="n"/>
      <c r="U1034" s="7" t="n"/>
      <c r="V1034" s="7" t="n"/>
      <c r="W1034" s="7" t="n"/>
      <c r="X1034" s="7" t="n"/>
    </row>
    <row r="1035" ht="21.75" customHeight="1" s="209">
      <c r="A1035" s="28" t="n">
        <v>1032</v>
      </c>
      <c r="B1035" s="28" t="inlineStr">
        <is>
          <t>9667</t>
        </is>
      </c>
      <c r="C1035" s="30" t="inlineStr">
        <is>
          <t>D7</t>
        </is>
      </c>
      <c r="D1035" s="32" t="inlineStr">
        <is>
          <t>승균이와 성호의 난수 생성기</t>
        </is>
      </c>
      <c r="E1035" s="132" t="inlineStr">
        <is>
          <t>최적화 / 고급 알고리즘</t>
        </is>
      </c>
      <c r="F1035" s="28" t="n"/>
      <c r="G1035" s="28" t="n"/>
      <c r="H1035" s="28" t="n"/>
      <c r="I1035" s="28" t="n"/>
      <c r="J1035" s="54">
        <f>IF(OR(ISNUMBER(SEARCH("보류",K1035)),ISNUMBER(SEARCH("미룸",K1035)),ISNUMBER(SEARCH("나중에",K1035)),ISNUMBER(SEARCH("보류",L1035)),ISNUMBER(SEARCH("미룸",L1035)),ISNUMBER(SEARCH("나중에",L1035))),"보류(나중에 풀기)",IF(AND(F1035="",G1035="",H1035="",I1035=""),"미완료",IF(I1035&lt;&gt;"","복습3(마스터)",IF(H1035&lt;&gt;"","복습2",IF(G1035&lt;&gt;"","복습1",IF(ISNUMBER(SEARCH("제미나이",K1035)),"복습대기(AI도움)",IF(ISNUMBER(SEARCH("간당간당",K1035)),"복습대기(간당간당)",IF(OR(ISNUMBER(SEARCH("아이디어",K1035)),ISNUMBER(SEARCH("시간초과",K1035)),ISNUMBER(SEARCH("자료구조",K1035)),ISNUMBER(SEARCH("경계값",K1035)),ISNUMBER(SEARCH("다른 풀이",K1035)),ISNUMBER(SEARCH("또풀기",K1035))),"복습대기",IF(OR(ISNUMBER(SEARCH("복습필요없음",K1035)),ISNUMBER(SEARCH("자력완벽",K1035))),"품(복습불필요)",IF(F1035&lt;&gt;"","품","미완료"))))))))))</f>
        <v/>
      </c>
      <c r="K1035" s="32" t="inlineStr">
        <is>
          <t>-</t>
        </is>
      </c>
      <c r="L1035" s="32" t="n"/>
      <c r="M1035" s="28">
        <f>IF(OR(LEFT(J1035,2)="보류", LEFT(J1035,4)="복습대기", LEFT(J1035,3)="복습1", LEFT(J1035,3)="복습2"), MAX($M$3:M1034)+1, "")</f>
        <v/>
      </c>
      <c r="N1035" s="28" t="inlineStr">
        <is>
          <t>W24</t>
        </is>
      </c>
      <c r="O1035" s="36" t="n">
        <v>46423</v>
      </c>
      <c r="P1035" s="30">
        <f>IF(F1035&lt;&gt;"","✅ 완료",IF(O1035="","-",IF(TODAY()&gt;O1035,"🚨 지연","⏳ 예정")))</f>
        <v/>
      </c>
      <c r="Q1035" s="7" t="n"/>
      <c r="R1035" s="7" t="n"/>
      <c r="S1035" s="7" t="n"/>
      <c r="T1035" s="7" t="n"/>
      <c r="U1035" s="7" t="n"/>
      <c r="V1035" s="7" t="n"/>
      <c r="W1035" s="7" t="n"/>
      <c r="X1035" s="7" t="n"/>
    </row>
    <row r="1036" ht="21.75" customHeight="1" s="209">
      <c r="A1036" s="28" t="n">
        <v>1033</v>
      </c>
      <c r="B1036" s="28" t="inlineStr">
        <is>
          <t>9944</t>
        </is>
      </c>
      <c r="C1036" s="30" t="inlineStr">
        <is>
          <t>D7</t>
        </is>
      </c>
      <c r="D1036" s="32" t="inlineStr">
        <is>
          <t>순열4</t>
        </is>
      </c>
      <c r="E1036" s="132" t="inlineStr">
        <is>
          <t>DFS / 백트래킹</t>
        </is>
      </c>
      <c r="F1036" s="28" t="n"/>
      <c r="G1036" s="28" t="n"/>
      <c r="H1036" s="28" t="n"/>
      <c r="I1036" s="28" t="n"/>
      <c r="J1036" s="54">
        <f>IF(OR(ISNUMBER(SEARCH("보류",K1036)),ISNUMBER(SEARCH("미룸",K1036)),ISNUMBER(SEARCH("나중에",K1036)),ISNUMBER(SEARCH("보류",L1036)),ISNUMBER(SEARCH("미룸",L1036)),ISNUMBER(SEARCH("나중에",L1036))),"보류(나중에 풀기)",IF(AND(F1036="",G1036="",H1036="",I1036=""),"미완료",IF(I1036&lt;&gt;"","복습3(마스터)",IF(H1036&lt;&gt;"","복습2",IF(G1036&lt;&gt;"","복습1",IF(ISNUMBER(SEARCH("제미나이",K1036)),"복습대기(AI도움)",IF(ISNUMBER(SEARCH("간당간당",K1036)),"복습대기(간당간당)",IF(OR(ISNUMBER(SEARCH("아이디어",K1036)),ISNUMBER(SEARCH("시간초과",K1036)),ISNUMBER(SEARCH("자료구조",K1036)),ISNUMBER(SEARCH("경계값",K1036)),ISNUMBER(SEARCH("다른 풀이",K1036)),ISNUMBER(SEARCH("또풀기",K1036))),"복습대기",IF(OR(ISNUMBER(SEARCH("복습필요없음",K1036)),ISNUMBER(SEARCH("자력완벽",K1036))),"품(복습불필요)",IF(F1036&lt;&gt;"","품","미완료"))))))))))</f>
        <v/>
      </c>
      <c r="K1036" s="32" t="inlineStr">
        <is>
          <t>-</t>
        </is>
      </c>
      <c r="L1036" s="32" t="n"/>
      <c r="M1036" s="28">
        <f>IF(OR(LEFT(J1036,2)="보류", LEFT(J1036,4)="복습대기", LEFT(J1036,3)="복습1", LEFT(J1036,3)="복습2"), MAX($M$3:M1035)+1, "")</f>
        <v/>
      </c>
      <c r="N1036" s="28" t="inlineStr">
        <is>
          <t>W24</t>
        </is>
      </c>
      <c r="O1036" s="36" t="n">
        <v>46423</v>
      </c>
      <c r="P1036" s="30">
        <f>IF(F1036&lt;&gt;"","✅ 완료",IF(O1036="","-",IF(TODAY()&gt;O1036,"🚨 지연","⏳ 예정")))</f>
        <v/>
      </c>
      <c r="Q1036" s="7" t="n"/>
      <c r="R1036" s="7" t="n"/>
      <c r="S1036" s="7" t="n"/>
      <c r="T1036" s="7" t="n"/>
      <c r="U1036" s="7" t="n"/>
      <c r="V1036" s="7" t="n"/>
      <c r="W1036" s="7" t="n"/>
      <c r="X1036" s="7" t="n"/>
    </row>
    <row r="1037" ht="21.75" customHeight="1" s="209">
      <c r="A1037" s="28" t="n">
        <v>1034</v>
      </c>
      <c r="B1037" s="28" t="inlineStr">
        <is>
          <t>10005</t>
        </is>
      </c>
      <c r="C1037" s="30" t="inlineStr">
        <is>
          <t>D7</t>
        </is>
      </c>
      <c r="D1037" s="32" t="inlineStr">
        <is>
          <t>서윤이의 십자그림</t>
        </is>
      </c>
      <c r="E1037" s="132" t="inlineStr">
        <is>
          <t>최적화 / 고급 알고리즘</t>
        </is>
      </c>
      <c r="F1037" s="28" t="n"/>
      <c r="G1037" s="28" t="n"/>
      <c r="H1037" s="28" t="n"/>
      <c r="I1037" s="28" t="n"/>
      <c r="J1037" s="54">
        <f>IF(OR(ISNUMBER(SEARCH("보류",K1037)),ISNUMBER(SEARCH("미룸",K1037)),ISNUMBER(SEARCH("나중에",K1037)),ISNUMBER(SEARCH("보류",L1037)),ISNUMBER(SEARCH("미룸",L1037)),ISNUMBER(SEARCH("나중에",L1037))),"보류(나중에 풀기)",IF(AND(F1037="",G1037="",H1037="",I1037=""),"미완료",IF(I1037&lt;&gt;"","복습3(마스터)",IF(H1037&lt;&gt;"","복습2",IF(G1037&lt;&gt;"","복습1",IF(ISNUMBER(SEARCH("제미나이",K1037)),"복습대기(AI도움)",IF(ISNUMBER(SEARCH("간당간당",K1037)),"복습대기(간당간당)",IF(OR(ISNUMBER(SEARCH("아이디어",K1037)),ISNUMBER(SEARCH("시간초과",K1037)),ISNUMBER(SEARCH("자료구조",K1037)),ISNUMBER(SEARCH("경계값",K1037)),ISNUMBER(SEARCH("다른 풀이",K1037)),ISNUMBER(SEARCH("또풀기",K1037))),"복습대기",IF(OR(ISNUMBER(SEARCH("복습필요없음",K1037)),ISNUMBER(SEARCH("자력완벽",K1037))),"품(복습불필요)",IF(F1037&lt;&gt;"","품","미완료"))))))))))</f>
        <v/>
      </c>
      <c r="K1037" s="32" t="inlineStr">
        <is>
          <t>-</t>
        </is>
      </c>
      <c r="L1037" s="32" t="n"/>
      <c r="M1037" s="28">
        <f>IF(OR(LEFT(J1037,2)="보류", LEFT(J1037,4)="복습대기", LEFT(J1037,3)="복습1", LEFT(J1037,3)="복습2"), MAX($M$3:M1036)+1, "")</f>
        <v/>
      </c>
      <c r="N1037" s="28" t="inlineStr">
        <is>
          <t>W24</t>
        </is>
      </c>
      <c r="O1037" s="36" t="n">
        <v>46423</v>
      </c>
      <c r="P1037" s="30">
        <f>IF(F1037&lt;&gt;"","✅ 완료",IF(O1037="","-",IF(TODAY()&gt;O1037,"🚨 지연","⏳ 예정")))</f>
        <v/>
      </c>
      <c r="Q1037" s="7" t="n"/>
      <c r="R1037" s="7" t="n"/>
      <c r="S1037" s="7" t="n"/>
      <c r="T1037" s="7" t="n"/>
      <c r="U1037" s="7" t="n"/>
      <c r="V1037" s="7" t="n"/>
      <c r="W1037" s="7" t="n"/>
      <c r="X1037" s="7" t="n"/>
    </row>
    <row r="1038" ht="21.75" customHeight="1" s="209">
      <c r="A1038" s="28" t="n">
        <v>1035</v>
      </c>
      <c r="B1038" s="28" t="inlineStr">
        <is>
          <t>10038</t>
        </is>
      </c>
      <c r="C1038" s="30" t="inlineStr">
        <is>
          <t>D7</t>
        </is>
      </c>
      <c r="D1038" s="32" t="inlineStr">
        <is>
          <t>간선 제거</t>
        </is>
      </c>
      <c r="E1038" s="132" t="inlineStr">
        <is>
          <t>최적화 / 고급 알고리즘</t>
        </is>
      </c>
      <c r="F1038" s="28" t="n"/>
      <c r="G1038" s="28" t="n"/>
      <c r="H1038" s="28" t="n"/>
      <c r="I1038" s="28" t="n"/>
      <c r="J1038" s="54">
        <f>IF(OR(ISNUMBER(SEARCH("보류",K1038)),ISNUMBER(SEARCH("미룸",K1038)),ISNUMBER(SEARCH("나중에",K1038)),ISNUMBER(SEARCH("보류",L1038)),ISNUMBER(SEARCH("미룸",L1038)),ISNUMBER(SEARCH("나중에",L1038))),"보류(나중에 풀기)",IF(AND(F1038="",G1038="",H1038="",I1038=""),"미완료",IF(I1038&lt;&gt;"","복습3(마스터)",IF(H1038&lt;&gt;"","복습2",IF(G1038&lt;&gt;"","복습1",IF(ISNUMBER(SEARCH("제미나이",K1038)),"복습대기(AI도움)",IF(ISNUMBER(SEARCH("간당간당",K1038)),"복습대기(간당간당)",IF(OR(ISNUMBER(SEARCH("아이디어",K1038)),ISNUMBER(SEARCH("시간초과",K1038)),ISNUMBER(SEARCH("자료구조",K1038)),ISNUMBER(SEARCH("경계값",K1038)),ISNUMBER(SEARCH("다른 풀이",K1038)),ISNUMBER(SEARCH("또풀기",K1038))),"복습대기",IF(OR(ISNUMBER(SEARCH("복습필요없음",K1038)),ISNUMBER(SEARCH("자력완벽",K1038))),"품(복습불필요)",IF(F1038&lt;&gt;"","품","미완료"))))))))))</f>
        <v/>
      </c>
      <c r="K1038" s="32" t="inlineStr">
        <is>
          <t>-</t>
        </is>
      </c>
      <c r="L1038" s="32" t="n"/>
      <c r="M1038" s="28">
        <f>IF(OR(LEFT(J1038,2)="보류", LEFT(J1038,4)="복습대기", LEFT(J1038,3)="복습1", LEFT(J1038,3)="복습2"), MAX($M$3:M1037)+1, "")</f>
        <v/>
      </c>
      <c r="N1038" s="28" t="inlineStr">
        <is>
          <t>W24</t>
        </is>
      </c>
      <c r="O1038" s="36" t="n">
        <v>46424</v>
      </c>
      <c r="P1038" s="30">
        <f>IF(F1038&lt;&gt;"","✅ 완료",IF(O1038="","-",IF(TODAY()&gt;O1038,"🚨 지연","⏳ 예정")))</f>
        <v/>
      </c>
      <c r="Q1038" s="7" t="n"/>
      <c r="R1038" s="7" t="n"/>
      <c r="S1038" s="7" t="n"/>
      <c r="T1038" s="7" t="n"/>
      <c r="U1038" s="7" t="n"/>
      <c r="V1038" s="7" t="n"/>
      <c r="W1038" s="7" t="n"/>
      <c r="X1038" s="7" t="n"/>
    </row>
    <row r="1039" ht="21.75" customHeight="1" s="209">
      <c r="A1039" s="28" t="n">
        <v>1036</v>
      </c>
      <c r="B1039" s="28" t="inlineStr">
        <is>
          <t>10073</t>
        </is>
      </c>
      <c r="C1039" s="30" t="inlineStr">
        <is>
          <t>D7</t>
        </is>
      </c>
      <c r="D1039" s="32" t="inlineStr">
        <is>
          <t>정해지지 않은 순열의 인버전</t>
        </is>
      </c>
      <c r="E1039" s="132" t="inlineStr">
        <is>
          <t>DFS / 백트래킹</t>
        </is>
      </c>
      <c r="F1039" s="28" t="n"/>
      <c r="G1039" s="28" t="n"/>
      <c r="H1039" s="28" t="n"/>
      <c r="I1039" s="28" t="n"/>
      <c r="J1039" s="54">
        <f>IF(OR(ISNUMBER(SEARCH("보류",K1039)),ISNUMBER(SEARCH("미룸",K1039)),ISNUMBER(SEARCH("나중에",K1039)),ISNUMBER(SEARCH("보류",L1039)),ISNUMBER(SEARCH("미룸",L1039)),ISNUMBER(SEARCH("나중에",L1039))),"보류(나중에 풀기)",IF(AND(F1039="",G1039="",H1039="",I1039=""),"미완료",IF(I1039&lt;&gt;"","복습3(마스터)",IF(H1039&lt;&gt;"","복습2",IF(G1039&lt;&gt;"","복습1",IF(ISNUMBER(SEARCH("제미나이",K1039)),"복습대기(AI도움)",IF(ISNUMBER(SEARCH("간당간당",K1039)),"복습대기(간당간당)",IF(OR(ISNUMBER(SEARCH("아이디어",K1039)),ISNUMBER(SEARCH("시간초과",K1039)),ISNUMBER(SEARCH("자료구조",K1039)),ISNUMBER(SEARCH("경계값",K1039)),ISNUMBER(SEARCH("다른 풀이",K1039)),ISNUMBER(SEARCH("또풀기",K1039))),"복습대기",IF(OR(ISNUMBER(SEARCH("복습필요없음",K1039)),ISNUMBER(SEARCH("자력완벽",K1039))),"품(복습불필요)",IF(F1039&lt;&gt;"","품","미완료"))))))))))</f>
        <v/>
      </c>
      <c r="K1039" s="32" t="inlineStr">
        <is>
          <t>-</t>
        </is>
      </c>
      <c r="L1039" s="32" t="n"/>
      <c r="M1039" s="28">
        <f>IF(OR(LEFT(J1039,2)="보류", LEFT(J1039,4)="복습대기", LEFT(J1039,3)="복습1", LEFT(J1039,3)="복습2"), MAX($M$3:M1038)+1, "")</f>
        <v/>
      </c>
      <c r="N1039" s="28" t="inlineStr">
        <is>
          <t>W24</t>
        </is>
      </c>
      <c r="O1039" s="36" t="n">
        <v>46424</v>
      </c>
      <c r="P1039" s="30">
        <f>IF(F1039&lt;&gt;"","✅ 완료",IF(O1039="","-",IF(TODAY()&gt;O1039,"🚨 지연","⏳ 예정")))</f>
        <v/>
      </c>
      <c r="Q1039" s="7" t="n"/>
      <c r="R1039" s="7" t="n"/>
      <c r="S1039" s="7" t="n"/>
      <c r="T1039" s="7" t="n"/>
      <c r="U1039" s="7" t="n"/>
      <c r="V1039" s="7" t="n"/>
      <c r="W1039" s="7" t="n"/>
      <c r="X1039" s="7" t="n"/>
    </row>
    <row r="1040" ht="21.75" customHeight="1" s="209">
      <c r="A1040" s="28" t="n">
        <v>1037</v>
      </c>
      <c r="B1040" s="28" t="inlineStr">
        <is>
          <t>10205</t>
        </is>
      </c>
      <c r="C1040" s="30" t="inlineStr">
        <is>
          <t>D7</t>
        </is>
      </c>
      <c r="D1040" s="32" t="inlineStr">
        <is>
          <t>보석 전시</t>
        </is>
      </c>
      <c r="E1040" s="132" t="inlineStr">
        <is>
          <t>최적화 / 고급 알고리즘</t>
        </is>
      </c>
      <c r="F1040" s="28" t="n"/>
      <c r="G1040" s="28" t="n"/>
      <c r="H1040" s="28" t="n"/>
      <c r="I1040" s="28" t="n"/>
      <c r="J1040" s="54">
        <f>IF(OR(ISNUMBER(SEARCH("보류",K1040)),ISNUMBER(SEARCH("미룸",K1040)),ISNUMBER(SEARCH("나중에",K1040)),ISNUMBER(SEARCH("보류",L1040)),ISNUMBER(SEARCH("미룸",L1040)),ISNUMBER(SEARCH("나중에",L1040))),"보류(나중에 풀기)",IF(AND(F1040="",G1040="",H1040="",I1040=""),"미완료",IF(I1040&lt;&gt;"","복습3(마스터)",IF(H1040&lt;&gt;"","복습2",IF(G1040&lt;&gt;"","복습1",IF(ISNUMBER(SEARCH("제미나이",K1040)),"복습대기(AI도움)",IF(ISNUMBER(SEARCH("간당간당",K1040)),"복습대기(간당간당)",IF(OR(ISNUMBER(SEARCH("아이디어",K1040)),ISNUMBER(SEARCH("시간초과",K1040)),ISNUMBER(SEARCH("자료구조",K1040)),ISNUMBER(SEARCH("경계값",K1040)),ISNUMBER(SEARCH("다른 풀이",K1040)),ISNUMBER(SEARCH("또풀기",K1040))),"복습대기",IF(OR(ISNUMBER(SEARCH("복습필요없음",K1040)),ISNUMBER(SEARCH("자력완벽",K1040))),"품(복습불필요)",IF(F1040&lt;&gt;"","품","미완료"))))))))))</f>
        <v/>
      </c>
      <c r="K1040" s="32" t="inlineStr">
        <is>
          <t>-</t>
        </is>
      </c>
      <c r="L1040" s="32" t="n"/>
      <c r="M1040" s="28">
        <f>IF(OR(LEFT(J1040,2)="보류", LEFT(J1040,4)="복습대기", LEFT(J1040,3)="복습1", LEFT(J1040,3)="복습2"), MAX($M$3:M1039)+1, "")</f>
        <v/>
      </c>
      <c r="N1040" s="28" t="inlineStr">
        <is>
          <t>W24</t>
        </is>
      </c>
      <c r="O1040" s="36" t="n">
        <v>46424</v>
      </c>
      <c r="P1040" s="30">
        <f>IF(F1040&lt;&gt;"","✅ 완료",IF(O1040="","-",IF(TODAY()&gt;O1040,"🚨 지연","⏳ 예정")))</f>
        <v/>
      </c>
      <c r="Q1040" s="7" t="n"/>
      <c r="R1040" s="7" t="n"/>
      <c r="S1040" s="7" t="n"/>
      <c r="T1040" s="7" t="n"/>
      <c r="U1040" s="7" t="n"/>
      <c r="V1040" s="7" t="n"/>
      <c r="W1040" s="7" t="n"/>
      <c r="X1040" s="7" t="n"/>
    </row>
    <row r="1041" ht="21.75" customHeight="1" s="209">
      <c r="A1041" s="28" t="n">
        <v>1038</v>
      </c>
      <c r="B1041" s="28" t="inlineStr">
        <is>
          <t>10512</t>
        </is>
      </c>
      <c r="C1041" s="30" t="inlineStr">
        <is>
          <t>D7</t>
        </is>
      </c>
      <c r="D1041" s="32" t="inlineStr">
        <is>
          <t>염주 동형 부분문자열</t>
        </is>
      </c>
      <c r="E1041" s="132" t="inlineStr">
        <is>
          <t>문자열 / 파싱</t>
        </is>
      </c>
      <c r="F1041" s="28" t="n"/>
      <c r="G1041" s="28" t="n"/>
      <c r="H1041" s="28" t="n"/>
      <c r="I1041" s="28" t="n"/>
      <c r="J1041" s="54">
        <f>IF(OR(ISNUMBER(SEARCH("보류",K1041)),ISNUMBER(SEARCH("미룸",K1041)),ISNUMBER(SEARCH("나중에",K1041)),ISNUMBER(SEARCH("보류",L1041)),ISNUMBER(SEARCH("미룸",L1041)),ISNUMBER(SEARCH("나중에",L1041))),"보류(나중에 풀기)",IF(AND(F1041="",G1041="",H1041="",I1041=""),"미완료",IF(I1041&lt;&gt;"","복습3(마스터)",IF(H1041&lt;&gt;"","복습2",IF(G1041&lt;&gt;"","복습1",IF(ISNUMBER(SEARCH("제미나이",K1041)),"복습대기(AI도움)",IF(ISNUMBER(SEARCH("간당간당",K1041)),"복습대기(간당간당)",IF(OR(ISNUMBER(SEARCH("아이디어",K1041)),ISNUMBER(SEARCH("시간초과",K1041)),ISNUMBER(SEARCH("자료구조",K1041)),ISNUMBER(SEARCH("경계값",K1041)),ISNUMBER(SEARCH("다른 풀이",K1041)),ISNUMBER(SEARCH("또풀기",K1041))),"복습대기",IF(OR(ISNUMBER(SEARCH("복습필요없음",K1041)),ISNUMBER(SEARCH("자력완벽",K1041))),"품(복습불필요)",IF(F1041&lt;&gt;"","품","미완료"))))))))))</f>
        <v/>
      </c>
      <c r="K1041" s="32" t="inlineStr">
        <is>
          <t>-</t>
        </is>
      </c>
      <c r="L1041" s="32" t="n"/>
      <c r="M1041" s="28">
        <f>IF(OR(LEFT(J1041,2)="보류", LEFT(J1041,4)="복습대기", LEFT(J1041,3)="복습1", LEFT(J1041,3)="복습2"), MAX($M$3:M1040)+1, "")</f>
        <v/>
      </c>
      <c r="N1041" s="28" t="inlineStr">
        <is>
          <t>W24</t>
        </is>
      </c>
      <c r="O1041" s="36" t="n">
        <v>46424</v>
      </c>
      <c r="P1041" s="30">
        <f>IF(F1041&lt;&gt;"","✅ 완료",IF(O1041="","-",IF(TODAY()&gt;O1041,"🚨 지연","⏳ 예정")))</f>
        <v/>
      </c>
      <c r="Q1041" s="7" t="n"/>
      <c r="R1041" s="7" t="n"/>
      <c r="S1041" s="7" t="n"/>
      <c r="T1041" s="7" t="n"/>
      <c r="U1041" s="7" t="n"/>
      <c r="V1041" s="7" t="n"/>
      <c r="W1041" s="7" t="n"/>
      <c r="X1041" s="7" t="n"/>
    </row>
    <row r="1042" ht="21.75" customHeight="1" s="209">
      <c r="A1042" s="28" t="n">
        <v>1039</v>
      </c>
      <c r="B1042" s="28" t="inlineStr">
        <is>
          <t>10575</t>
        </is>
      </c>
      <c r="C1042" s="30" t="inlineStr">
        <is>
          <t>D7</t>
        </is>
      </c>
      <c r="D1042" s="32" t="inlineStr">
        <is>
          <t>철도 매니아</t>
        </is>
      </c>
      <c r="E1042" s="28" t="inlineStr">
        <is>
          <t>최적화 / 고급 알고리즘</t>
        </is>
      </c>
      <c r="F1042" s="28" t="n"/>
      <c r="G1042" s="28" t="n"/>
      <c r="H1042" s="28" t="n"/>
      <c r="I1042" s="28" t="n"/>
      <c r="J1042" s="54">
        <f>IF(OR(ISNUMBER(SEARCH("보류",K1042)),ISNUMBER(SEARCH("미룸",K1042)),ISNUMBER(SEARCH("나중에",K1042)),ISNUMBER(SEARCH("보류",L1042)),ISNUMBER(SEARCH("미룸",L1042)),ISNUMBER(SEARCH("나중에",L1042))),"보류(나중에 풀기)",IF(AND(F1042="",G1042="",H1042="",I1042=""),"미완료",IF(I1042&lt;&gt;"","복습3(마스터)",IF(H1042&lt;&gt;"","복습2",IF(G1042&lt;&gt;"","복습1",IF(ISNUMBER(SEARCH("제미나이",K1042)),"복습대기(AI도움)",IF(ISNUMBER(SEARCH("간당간당",K1042)),"복습대기(간당간당)",IF(OR(ISNUMBER(SEARCH("아이디어",K1042)),ISNUMBER(SEARCH("시간초과",K1042)),ISNUMBER(SEARCH("자료구조",K1042)),ISNUMBER(SEARCH("경계값",K1042)),ISNUMBER(SEARCH("다른 풀이",K1042)),ISNUMBER(SEARCH("또풀기",K1042))),"복습대기",IF(OR(ISNUMBER(SEARCH("복습필요없음",K1042)),ISNUMBER(SEARCH("자력완벽",K1042))),"품(복습불필요)",IF(F1042&lt;&gt;"","품","미완료"))))))))))</f>
        <v/>
      </c>
      <c r="K1042" s="32" t="inlineStr">
        <is>
          <t>-</t>
        </is>
      </c>
      <c r="L1042" s="32" t="n"/>
      <c r="M1042" s="28">
        <f>IF(OR(LEFT(J1042,2)="보류", LEFT(J1042,4)="복습대기", LEFT(J1042,3)="복습1", LEFT(J1042,3)="복습2"), MAX($M$3:M1041)+1, "")</f>
        <v/>
      </c>
      <c r="N1042" s="28" t="inlineStr">
        <is>
          <t>W24</t>
        </is>
      </c>
      <c r="O1042" s="36" t="n">
        <v>46424</v>
      </c>
      <c r="P1042" s="30">
        <f>IF(F1042&lt;&gt;"","✅ 완료",IF(O1042="","-",IF(TODAY()&gt;O1042,"🚨 지연","⏳ 예정")))</f>
        <v/>
      </c>
      <c r="Q1042" s="7" t="n"/>
      <c r="R1042" s="7" t="n"/>
      <c r="S1042" s="7" t="n"/>
      <c r="T1042" s="7" t="n"/>
      <c r="U1042" s="7" t="n"/>
      <c r="V1042" s="7" t="n"/>
      <c r="W1042" s="7" t="n"/>
      <c r="X1042" s="7" t="n"/>
    </row>
    <row r="1043" ht="21.75" customHeight="1" s="209">
      <c r="A1043" s="28" t="n">
        <v>1040</v>
      </c>
      <c r="B1043" s="28" t="inlineStr">
        <is>
          <t>10585</t>
        </is>
      </c>
      <c r="C1043" s="30" t="inlineStr">
        <is>
          <t>D7</t>
        </is>
      </c>
      <c r="D1043" s="32" t="inlineStr">
        <is>
          <t>프로그래밍 대회의 해</t>
        </is>
      </c>
      <c r="E1043" s="28" t="inlineStr">
        <is>
          <t>최적화 / 고급 알고리즘</t>
        </is>
      </c>
      <c r="F1043" s="28" t="n"/>
      <c r="G1043" s="28" t="n"/>
      <c r="H1043" s="28" t="n"/>
      <c r="I1043" s="28" t="n"/>
      <c r="J1043" s="54">
        <f>IF(OR(ISNUMBER(SEARCH("보류",K1043)),ISNUMBER(SEARCH("미룸",K1043)),ISNUMBER(SEARCH("나중에",K1043)),ISNUMBER(SEARCH("보류",L1043)),ISNUMBER(SEARCH("미룸",L1043)),ISNUMBER(SEARCH("나중에",L1043))),"보류(나중에 풀기)",IF(AND(F1043="",G1043="",H1043="",I1043=""),"미완료",IF(I1043&lt;&gt;"","복습3(마스터)",IF(H1043&lt;&gt;"","복습2",IF(G1043&lt;&gt;"","복습1",IF(ISNUMBER(SEARCH("제미나이",K1043)),"복습대기(AI도움)",IF(ISNUMBER(SEARCH("간당간당",K1043)),"복습대기(간당간당)",IF(OR(ISNUMBER(SEARCH("아이디어",K1043)),ISNUMBER(SEARCH("시간초과",K1043)),ISNUMBER(SEARCH("자료구조",K1043)),ISNUMBER(SEARCH("경계값",K1043)),ISNUMBER(SEARCH("다른 풀이",K1043)),ISNUMBER(SEARCH("또풀기",K1043))),"복습대기",IF(OR(ISNUMBER(SEARCH("복습필요없음",K1043)),ISNUMBER(SEARCH("자력완벽",K1043))),"품(복습불필요)",IF(F1043&lt;&gt;"","품","미완료"))))))))))</f>
        <v/>
      </c>
      <c r="K1043" s="32" t="inlineStr">
        <is>
          <t>-</t>
        </is>
      </c>
      <c r="L1043" s="32" t="n"/>
      <c r="M1043" s="28">
        <f>IF(OR(LEFT(J1043,2)="보류", LEFT(J1043,4)="복습대기", LEFT(J1043,3)="복습1", LEFT(J1043,3)="복습2"), MAX($M$3:M1042)+1, "")</f>
        <v/>
      </c>
      <c r="N1043" s="28" t="inlineStr">
        <is>
          <t>W24</t>
        </is>
      </c>
      <c r="O1043" s="36" t="n">
        <v>46424</v>
      </c>
      <c r="P1043" s="30">
        <f>IF(F1043&lt;&gt;"","✅ 완료",IF(O1043="","-",IF(TODAY()&gt;O1043,"🚨 지연","⏳ 예정")))</f>
        <v/>
      </c>
      <c r="Q1043" s="7" t="n"/>
      <c r="R1043" s="7" t="n"/>
      <c r="S1043" s="7" t="n"/>
      <c r="T1043" s="7" t="n"/>
      <c r="U1043" s="7" t="n"/>
      <c r="V1043" s="7" t="n"/>
      <c r="W1043" s="7" t="n"/>
      <c r="X1043" s="7" t="n"/>
    </row>
    <row r="1044" ht="21.75" customHeight="1" s="209">
      <c r="A1044" s="28" t="n">
        <v>1041</v>
      </c>
      <c r="B1044" s="28" t="inlineStr">
        <is>
          <t>10729</t>
        </is>
      </c>
      <c r="C1044" s="30" t="inlineStr">
        <is>
          <t>D7</t>
        </is>
      </c>
      <c r="D1044" s="32" t="inlineStr">
        <is>
          <t>구간 옮기기</t>
        </is>
      </c>
      <c r="E1044" s="28" t="inlineStr">
        <is>
          <t>최적화 / 고급 알고리즘</t>
        </is>
      </c>
      <c r="F1044" s="28" t="n"/>
      <c r="G1044" s="28" t="n"/>
      <c r="H1044" s="28" t="n"/>
      <c r="I1044" s="28" t="n"/>
      <c r="J1044" s="54">
        <f>IF(OR(ISNUMBER(SEARCH("보류",K1044)),ISNUMBER(SEARCH("미룸",K1044)),ISNUMBER(SEARCH("나중에",K1044)),ISNUMBER(SEARCH("보류",L1044)),ISNUMBER(SEARCH("미룸",L1044)),ISNUMBER(SEARCH("나중에",L1044))),"보류(나중에 풀기)",IF(AND(F1044="",G1044="",H1044="",I1044=""),"미완료",IF(I1044&lt;&gt;"","복습3(마스터)",IF(H1044&lt;&gt;"","복습2",IF(G1044&lt;&gt;"","복습1",IF(ISNUMBER(SEARCH("제미나이",K1044)),"복습대기(AI도움)",IF(ISNUMBER(SEARCH("간당간당",K1044)),"복습대기(간당간당)",IF(OR(ISNUMBER(SEARCH("아이디어",K1044)),ISNUMBER(SEARCH("시간초과",K1044)),ISNUMBER(SEARCH("자료구조",K1044)),ISNUMBER(SEARCH("경계값",K1044)),ISNUMBER(SEARCH("다른 풀이",K1044)),ISNUMBER(SEARCH("또풀기",K1044))),"복습대기",IF(OR(ISNUMBER(SEARCH("복습필요없음",K1044)),ISNUMBER(SEARCH("자력완벽",K1044))),"품(복습불필요)",IF(F1044&lt;&gt;"","품","미완료"))))))))))</f>
        <v/>
      </c>
      <c r="K1044" s="32" t="inlineStr">
        <is>
          <t>-</t>
        </is>
      </c>
      <c r="L1044" s="32" t="n"/>
      <c r="M1044" s="28">
        <f>IF(OR(LEFT(J1044,2)="보류", LEFT(J1044,4)="복습대기", LEFT(J1044,3)="복습1", LEFT(J1044,3)="복습2"), MAX($M$3:M1043)+1, "")</f>
        <v/>
      </c>
      <c r="N1044" s="28" t="inlineStr">
        <is>
          <t>W24</t>
        </is>
      </c>
      <c r="O1044" s="36" t="n">
        <v>46424</v>
      </c>
      <c r="P1044" s="30">
        <f>IF(F1044&lt;&gt;"","✅ 완료",IF(O1044="","-",IF(TODAY()&gt;O1044,"🚨 지연","⏳ 예정")))</f>
        <v/>
      </c>
      <c r="Q1044" s="7" t="n"/>
      <c r="R1044" s="7" t="n"/>
      <c r="S1044" s="7" t="n"/>
      <c r="T1044" s="7" t="n"/>
      <c r="U1044" s="7" t="n"/>
      <c r="V1044" s="7" t="n"/>
      <c r="W1044" s="7" t="n"/>
      <c r="X1044" s="7" t="n"/>
    </row>
    <row r="1045" ht="21.75" customHeight="1" s="209">
      <c r="A1045" s="28" t="n">
        <v>1042</v>
      </c>
      <c r="B1045" s="28" t="inlineStr">
        <is>
          <t>10764</t>
        </is>
      </c>
      <c r="C1045" s="30" t="inlineStr">
        <is>
          <t>D7</t>
        </is>
      </c>
      <c r="D1045" s="32" t="inlineStr">
        <is>
          <t>사과</t>
        </is>
      </c>
      <c r="E1045" s="28" t="inlineStr">
        <is>
          <t>최적화 / 고급 알고리즘</t>
        </is>
      </c>
      <c r="F1045" s="28" t="n"/>
      <c r="G1045" s="28" t="n"/>
      <c r="H1045" s="28" t="n"/>
      <c r="I1045" s="28" t="n"/>
      <c r="J1045" s="54">
        <f>IF(OR(ISNUMBER(SEARCH("보류",K1045)),ISNUMBER(SEARCH("미룸",K1045)),ISNUMBER(SEARCH("나중에",K1045)),ISNUMBER(SEARCH("보류",L1045)),ISNUMBER(SEARCH("미룸",L1045)),ISNUMBER(SEARCH("나중에",L1045))),"보류(나중에 풀기)",IF(AND(F1045="",G1045="",H1045="",I1045=""),"미완료",IF(I1045&lt;&gt;"","복습3(마스터)",IF(H1045&lt;&gt;"","복습2",IF(G1045&lt;&gt;"","복습1",IF(ISNUMBER(SEARCH("제미나이",K1045)),"복습대기(AI도움)",IF(ISNUMBER(SEARCH("간당간당",K1045)),"복습대기(간당간당)",IF(OR(ISNUMBER(SEARCH("아이디어",K1045)),ISNUMBER(SEARCH("시간초과",K1045)),ISNUMBER(SEARCH("자료구조",K1045)),ISNUMBER(SEARCH("경계값",K1045)),ISNUMBER(SEARCH("다른 풀이",K1045)),ISNUMBER(SEARCH("또풀기",K1045))),"복습대기",IF(OR(ISNUMBER(SEARCH("복습필요없음",K1045)),ISNUMBER(SEARCH("자력완벽",K1045))),"품(복습불필요)",IF(F1045&lt;&gt;"","품","미완료"))))))))))</f>
        <v/>
      </c>
      <c r="K1045" s="32" t="inlineStr">
        <is>
          <t>-</t>
        </is>
      </c>
      <c r="L1045" s="32" t="n"/>
      <c r="M1045" s="28">
        <f>IF(OR(LEFT(J1045,2)="보류", LEFT(J1045,4)="복습대기", LEFT(J1045,3)="복습1", LEFT(J1045,3)="복습2"), MAX($M$3:M1044)+1, "")</f>
        <v/>
      </c>
      <c r="N1045" s="28" t="inlineStr">
        <is>
          <t>W24</t>
        </is>
      </c>
      <c r="O1045" s="36" t="n">
        <v>46424</v>
      </c>
      <c r="P1045" s="30">
        <f>IF(F1045&lt;&gt;"","✅ 완료",IF(O1045="","-",IF(TODAY()&gt;O1045,"🚨 지연","⏳ 예정")))</f>
        <v/>
      </c>
      <c r="Q1045" s="7" t="n"/>
      <c r="R1045" s="7" t="n"/>
      <c r="S1045" s="7" t="n"/>
      <c r="T1045" s="7" t="n"/>
      <c r="U1045" s="7" t="n"/>
      <c r="V1045" s="7" t="n"/>
      <c r="W1045" s="7" t="n"/>
      <c r="X1045" s="7" t="n"/>
    </row>
    <row r="1046" ht="21.75" customHeight="1" s="209">
      <c r="A1046" s="28" t="n">
        <v>1043</v>
      </c>
      <c r="B1046" s="28" t="inlineStr">
        <is>
          <t>10808</t>
        </is>
      </c>
      <c r="C1046" s="30" t="inlineStr">
        <is>
          <t>D7</t>
        </is>
      </c>
      <c r="D1046" s="32" t="inlineStr">
        <is>
          <t>갤럭시</t>
        </is>
      </c>
      <c r="E1046" s="28" t="inlineStr">
        <is>
          <t>최적화 / 고급 알고리즘</t>
        </is>
      </c>
      <c r="F1046" s="28" t="n"/>
      <c r="G1046" s="28" t="n"/>
      <c r="H1046" s="28" t="n"/>
      <c r="I1046" s="28" t="n"/>
      <c r="J1046" s="54">
        <f>IF(OR(ISNUMBER(SEARCH("보류",K1046)),ISNUMBER(SEARCH("미룸",K1046)),ISNUMBER(SEARCH("나중에",K1046)),ISNUMBER(SEARCH("보류",L1046)),ISNUMBER(SEARCH("미룸",L1046)),ISNUMBER(SEARCH("나중에",L1046))),"보류(나중에 풀기)",IF(AND(F1046="",G1046="",H1046="",I1046=""),"미완료",IF(I1046&lt;&gt;"","복습3(마스터)",IF(H1046&lt;&gt;"","복습2",IF(G1046&lt;&gt;"","복습1",IF(ISNUMBER(SEARCH("제미나이",K1046)),"복습대기(AI도움)",IF(ISNUMBER(SEARCH("간당간당",K1046)),"복습대기(간당간당)",IF(OR(ISNUMBER(SEARCH("아이디어",K1046)),ISNUMBER(SEARCH("시간초과",K1046)),ISNUMBER(SEARCH("자료구조",K1046)),ISNUMBER(SEARCH("경계값",K1046)),ISNUMBER(SEARCH("다른 풀이",K1046)),ISNUMBER(SEARCH("또풀기",K1046))),"복습대기",IF(OR(ISNUMBER(SEARCH("복습필요없음",K1046)),ISNUMBER(SEARCH("자력완벽",K1046))),"품(복습불필요)",IF(F1046&lt;&gt;"","품","미완료"))))))))))</f>
        <v/>
      </c>
      <c r="K1046" s="32" t="inlineStr">
        <is>
          <t>-</t>
        </is>
      </c>
      <c r="L1046" s="32" t="n"/>
      <c r="M1046" s="28">
        <f>IF(OR(LEFT(J1046,2)="보류", LEFT(J1046,4)="복습대기", LEFT(J1046,3)="복습1", LEFT(J1046,3)="복습2"), MAX($M$3:M1045)+1, "")</f>
        <v/>
      </c>
      <c r="N1046" s="28" t="inlineStr">
        <is>
          <t>W24</t>
        </is>
      </c>
      <c r="O1046" s="36" t="n">
        <v>46425</v>
      </c>
      <c r="P1046" s="30">
        <f>IF(F1046&lt;&gt;"","✅ 완료",IF(O1046="","-",IF(TODAY()&gt;O1046,"🚨 지연","⏳ 예정")))</f>
        <v/>
      </c>
      <c r="Q1046" s="7" t="n"/>
      <c r="R1046" s="7" t="n"/>
      <c r="S1046" s="7" t="n"/>
      <c r="T1046" s="7" t="n"/>
      <c r="U1046" s="7" t="n"/>
      <c r="V1046" s="7" t="n"/>
      <c r="W1046" s="7" t="n"/>
      <c r="X1046" s="7" t="n"/>
    </row>
    <row r="1047" ht="21.75" customHeight="1" s="209">
      <c r="A1047" s="28" t="n">
        <v>1044</v>
      </c>
      <c r="B1047" s="28" t="inlineStr">
        <is>
          <t>10913</t>
        </is>
      </c>
      <c r="C1047" s="30" t="inlineStr">
        <is>
          <t>D7</t>
        </is>
      </c>
      <c r="D1047" s="32" t="inlineStr">
        <is>
          <t>공통 팰린드롬</t>
        </is>
      </c>
      <c r="E1047" s="28" t="inlineStr">
        <is>
          <t>문자열 / 파싱</t>
        </is>
      </c>
      <c r="F1047" s="28" t="n"/>
      <c r="G1047" s="28" t="n"/>
      <c r="H1047" s="28" t="n"/>
      <c r="I1047" s="28" t="n"/>
      <c r="J1047" s="54">
        <f>IF(OR(ISNUMBER(SEARCH("보류",K1047)),ISNUMBER(SEARCH("미룸",K1047)),ISNUMBER(SEARCH("나중에",K1047)),ISNUMBER(SEARCH("보류",L1047)),ISNUMBER(SEARCH("미룸",L1047)),ISNUMBER(SEARCH("나중에",L1047))),"보류(나중에 풀기)",IF(AND(F1047="",G1047="",H1047="",I1047=""),"미완료",IF(I1047&lt;&gt;"","복습3(마스터)",IF(H1047&lt;&gt;"","복습2",IF(G1047&lt;&gt;"","복습1",IF(ISNUMBER(SEARCH("제미나이",K1047)),"복습대기(AI도움)",IF(ISNUMBER(SEARCH("간당간당",K1047)),"복습대기(간당간당)",IF(OR(ISNUMBER(SEARCH("아이디어",K1047)),ISNUMBER(SEARCH("시간초과",K1047)),ISNUMBER(SEARCH("자료구조",K1047)),ISNUMBER(SEARCH("경계값",K1047)),ISNUMBER(SEARCH("다른 풀이",K1047)),ISNUMBER(SEARCH("또풀기",K1047))),"복습대기",IF(OR(ISNUMBER(SEARCH("복습필요없음",K1047)),ISNUMBER(SEARCH("자력완벽",K1047))),"품(복습불필요)",IF(F1047&lt;&gt;"","품","미완료"))))))))))</f>
        <v/>
      </c>
      <c r="K1047" s="32" t="inlineStr">
        <is>
          <t>-</t>
        </is>
      </c>
      <c r="L1047" s="32" t="n"/>
      <c r="M1047" s="28">
        <f>IF(OR(LEFT(J1047,2)="보류", LEFT(J1047,4)="복습대기", LEFT(J1047,3)="복습1", LEFT(J1047,3)="복습2"), MAX($M$3:M1046)+1, "")</f>
        <v/>
      </c>
      <c r="N1047" s="28" t="inlineStr">
        <is>
          <t>W24</t>
        </is>
      </c>
      <c r="O1047" s="36" t="n">
        <v>46425</v>
      </c>
      <c r="P1047" s="30">
        <f>IF(F1047&lt;&gt;"","✅ 완료",IF(O1047="","-",IF(TODAY()&gt;O1047,"🚨 지연","⏳ 예정")))</f>
        <v/>
      </c>
      <c r="Q1047" s="7" t="n"/>
      <c r="R1047" s="7" t="n"/>
      <c r="S1047" s="7" t="n"/>
      <c r="T1047" s="7" t="n"/>
      <c r="U1047" s="7" t="n"/>
      <c r="V1047" s="7" t="n"/>
      <c r="W1047" s="7" t="n"/>
      <c r="X1047" s="7" t="n"/>
    </row>
    <row r="1048" ht="21.75" customHeight="1" s="209">
      <c r="A1048" s="28" t="n">
        <v>1045</v>
      </c>
      <c r="B1048" s="28" t="inlineStr">
        <is>
          <t>10998</t>
        </is>
      </c>
      <c r="C1048" s="30" t="inlineStr">
        <is>
          <t>D7</t>
        </is>
      </c>
      <c r="D1048" s="32" t="inlineStr">
        <is>
          <t>비행기</t>
        </is>
      </c>
      <c r="E1048" s="28" t="inlineStr">
        <is>
          <t>최적화 / 고급 알고리즘</t>
        </is>
      </c>
      <c r="F1048" s="28" t="n"/>
      <c r="G1048" s="28" t="n"/>
      <c r="H1048" s="28" t="n"/>
      <c r="I1048" s="28" t="n"/>
      <c r="J1048" s="54">
        <f>IF(OR(ISNUMBER(SEARCH("보류",K1048)),ISNUMBER(SEARCH("미룸",K1048)),ISNUMBER(SEARCH("나중에",K1048)),ISNUMBER(SEARCH("보류",L1048)),ISNUMBER(SEARCH("미룸",L1048)),ISNUMBER(SEARCH("나중에",L1048))),"보류(나중에 풀기)",IF(AND(F1048="",G1048="",H1048="",I1048=""),"미완료",IF(I1048&lt;&gt;"","복습3(마스터)",IF(H1048&lt;&gt;"","복습2",IF(G1048&lt;&gt;"","복습1",IF(ISNUMBER(SEARCH("제미나이",K1048)),"복습대기(AI도움)",IF(ISNUMBER(SEARCH("간당간당",K1048)),"복습대기(간당간당)",IF(OR(ISNUMBER(SEARCH("아이디어",K1048)),ISNUMBER(SEARCH("시간초과",K1048)),ISNUMBER(SEARCH("자료구조",K1048)),ISNUMBER(SEARCH("경계값",K1048)),ISNUMBER(SEARCH("다른 풀이",K1048)),ISNUMBER(SEARCH("또풀기",K1048))),"복습대기",IF(OR(ISNUMBER(SEARCH("복습필요없음",K1048)),ISNUMBER(SEARCH("자력완벽",K1048))),"품(복습불필요)",IF(F1048&lt;&gt;"","품","미완료"))))))))))</f>
        <v/>
      </c>
      <c r="K1048" s="32" t="inlineStr">
        <is>
          <t>-</t>
        </is>
      </c>
      <c r="L1048" s="32" t="n"/>
      <c r="M1048" s="28">
        <f>IF(OR(LEFT(J1048,2)="보류", LEFT(J1048,4)="복습대기", LEFT(J1048,3)="복습1", LEFT(J1048,3)="복습2"), MAX($M$3:M1047)+1, "")</f>
        <v/>
      </c>
      <c r="N1048" s="28" t="inlineStr">
        <is>
          <t>W24</t>
        </is>
      </c>
      <c r="O1048" s="36" t="n">
        <v>46425</v>
      </c>
      <c r="P1048" s="30">
        <f>IF(F1048&lt;&gt;"","✅ 완료",IF(O1048="","-",IF(TODAY()&gt;O1048,"🚨 지연","⏳ 예정")))</f>
        <v/>
      </c>
      <c r="Q1048" s="7" t="n"/>
      <c r="R1048" s="7" t="n"/>
      <c r="S1048" s="7" t="n"/>
      <c r="T1048" s="7" t="n"/>
      <c r="U1048" s="7" t="n"/>
      <c r="V1048" s="7" t="n"/>
      <c r="W1048" s="7" t="n"/>
      <c r="X1048" s="7" t="n"/>
    </row>
    <row r="1049" ht="21.75" customHeight="1" s="209">
      <c r="A1049" s="28" t="n">
        <v>1046</v>
      </c>
      <c r="B1049" s="28" t="inlineStr">
        <is>
          <t>11291</t>
        </is>
      </c>
      <c r="C1049" s="30" t="inlineStr">
        <is>
          <t>D7</t>
        </is>
      </c>
      <c r="D1049" s="32" t="inlineStr">
        <is>
          <t>공장과 농장</t>
        </is>
      </c>
      <c r="E1049" s="28" t="inlineStr">
        <is>
          <t>최적화 / 고급 알고리즘</t>
        </is>
      </c>
      <c r="F1049" s="28" t="n"/>
      <c r="G1049" s="28" t="n"/>
      <c r="H1049" s="28" t="n"/>
      <c r="I1049" s="28" t="n"/>
      <c r="J1049" s="54">
        <f>IF(OR(ISNUMBER(SEARCH("보류",K1049)),ISNUMBER(SEARCH("미룸",K1049)),ISNUMBER(SEARCH("나중에",K1049)),ISNUMBER(SEARCH("보류",L1049)),ISNUMBER(SEARCH("미룸",L1049)),ISNUMBER(SEARCH("나중에",L1049))),"보류(나중에 풀기)",IF(AND(F1049="",G1049="",H1049="",I1049=""),"미완료",IF(I1049&lt;&gt;"","복습3(마스터)",IF(H1049&lt;&gt;"","복습2",IF(G1049&lt;&gt;"","복습1",IF(ISNUMBER(SEARCH("제미나이",K1049)),"복습대기(AI도움)",IF(ISNUMBER(SEARCH("간당간당",K1049)),"복습대기(간당간당)",IF(OR(ISNUMBER(SEARCH("아이디어",K1049)),ISNUMBER(SEARCH("시간초과",K1049)),ISNUMBER(SEARCH("자료구조",K1049)),ISNUMBER(SEARCH("경계값",K1049)),ISNUMBER(SEARCH("다른 풀이",K1049)),ISNUMBER(SEARCH("또풀기",K1049))),"복습대기",IF(OR(ISNUMBER(SEARCH("복습필요없음",K1049)),ISNUMBER(SEARCH("자력완벽",K1049))),"품(복습불필요)",IF(F1049&lt;&gt;"","품","미완료"))))))))))</f>
        <v/>
      </c>
      <c r="K1049" s="32" t="inlineStr">
        <is>
          <t>-</t>
        </is>
      </c>
      <c r="L1049" s="32" t="n"/>
      <c r="M1049" s="28">
        <f>IF(OR(LEFT(J1049,2)="보류", LEFT(J1049,4)="복습대기", LEFT(J1049,3)="복습1", LEFT(J1049,3)="복습2"), MAX($M$3:M1048)+1, "")</f>
        <v/>
      </c>
      <c r="N1049" s="28" t="inlineStr">
        <is>
          <t>W24</t>
        </is>
      </c>
      <c r="O1049" s="36" t="n">
        <v>46425</v>
      </c>
      <c r="P1049" s="30">
        <f>IF(F1049&lt;&gt;"","✅ 완료",IF(O1049="","-",IF(TODAY()&gt;O1049,"🚨 지연","⏳ 예정")))</f>
        <v/>
      </c>
      <c r="Q1049" s="7" t="n"/>
      <c r="R1049" s="7" t="n"/>
      <c r="S1049" s="7" t="n"/>
      <c r="T1049" s="7" t="n"/>
      <c r="U1049" s="7" t="n"/>
      <c r="V1049" s="7" t="n"/>
      <c r="W1049" s="7" t="n"/>
      <c r="X1049" s="7" t="n"/>
    </row>
    <row r="1050" ht="21.75" customHeight="1" s="209">
      <c r="A1050" s="28" t="n">
        <v>1047</v>
      </c>
      <c r="B1050" s="28" t="inlineStr">
        <is>
          <t>11318</t>
        </is>
      </c>
      <c r="C1050" s="30" t="inlineStr">
        <is>
          <t>D7</t>
        </is>
      </c>
      <c r="D1050" s="32" t="inlineStr">
        <is>
          <t>수열 접기</t>
        </is>
      </c>
      <c r="E1050" s="28" t="inlineStr">
        <is>
          <t>동적계획법 (DP)</t>
        </is>
      </c>
      <c r="F1050" s="28" t="n"/>
      <c r="G1050" s="28" t="n"/>
      <c r="H1050" s="28" t="n"/>
      <c r="I1050" s="28" t="n"/>
      <c r="J1050" s="54">
        <f>IF(OR(ISNUMBER(SEARCH("보류",K1050)),ISNUMBER(SEARCH("미룸",K1050)),ISNUMBER(SEARCH("나중에",K1050)),ISNUMBER(SEARCH("보류",L1050)),ISNUMBER(SEARCH("미룸",L1050)),ISNUMBER(SEARCH("나중에",L1050))),"보류(나중에 풀기)",IF(AND(F1050="",G1050="",H1050="",I1050=""),"미완료",IF(I1050&lt;&gt;"","복습3(마스터)",IF(H1050&lt;&gt;"","복습2",IF(G1050&lt;&gt;"","복습1",IF(ISNUMBER(SEARCH("제미나이",K1050)),"복습대기(AI도움)",IF(ISNUMBER(SEARCH("간당간당",K1050)),"복습대기(간당간당)",IF(OR(ISNUMBER(SEARCH("아이디어",K1050)),ISNUMBER(SEARCH("시간초과",K1050)),ISNUMBER(SEARCH("자료구조",K1050)),ISNUMBER(SEARCH("경계값",K1050)),ISNUMBER(SEARCH("다른 풀이",K1050)),ISNUMBER(SEARCH("또풀기",K1050))),"복습대기",IF(OR(ISNUMBER(SEARCH("복습필요없음",K1050)),ISNUMBER(SEARCH("자력완벽",K1050))),"품(복습불필요)",IF(F1050&lt;&gt;"","품","미완료"))))))))))</f>
        <v/>
      </c>
      <c r="K1050" s="32" t="inlineStr">
        <is>
          <t>-</t>
        </is>
      </c>
      <c r="L1050" s="32" t="n"/>
      <c r="M1050" s="28">
        <f>IF(OR(LEFT(J1050,2)="보류", LEFT(J1050,4)="복습대기", LEFT(J1050,3)="복습1", LEFT(J1050,3)="복습2"), MAX($M$3:M1049)+1, "")</f>
        <v/>
      </c>
      <c r="N1050" s="28" t="inlineStr">
        <is>
          <t>W24</t>
        </is>
      </c>
      <c r="O1050" s="36" t="n">
        <v>46425</v>
      </c>
      <c r="P1050" s="30">
        <f>IF(F1050&lt;&gt;"","✅ 완료",IF(O1050="","-",IF(TODAY()&gt;O1050,"🚨 지연","⏳ 예정")))</f>
        <v/>
      </c>
      <c r="Q1050" s="7" t="n"/>
      <c r="R1050" s="7" t="n"/>
      <c r="S1050" s="7" t="n"/>
      <c r="T1050" s="7" t="n"/>
      <c r="U1050" s="7" t="n"/>
      <c r="V1050" s="7" t="n"/>
      <c r="W1050" s="7" t="n"/>
      <c r="X1050" s="7" t="n"/>
    </row>
    <row r="1051" ht="21.75" customHeight="1" s="209">
      <c r="A1051" s="28" t="n">
        <v>1048</v>
      </c>
      <c r="B1051" s="28" t="inlineStr">
        <is>
          <t>11390</t>
        </is>
      </c>
      <c r="C1051" s="30" t="inlineStr">
        <is>
          <t>D7</t>
        </is>
      </c>
      <c r="D1051" s="32" t="inlineStr">
        <is>
          <t>불 끄기</t>
        </is>
      </c>
      <c r="E1051" s="66" t="inlineStr">
        <is>
          <t>최적화 / 고급 알고리즘</t>
        </is>
      </c>
      <c r="F1051" s="28" t="n"/>
      <c r="G1051" s="28" t="n"/>
      <c r="H1051" s="28" t="n"/>
      <c r="I1051" s="28" t="n"/>
      <c r="J1051" s="54">
        <f>IF(OR(ISNUMBER(SEARCH("보류",K1051)),ISNUMBER(SEARCH("미룸",K1051)),ISNUMBER(SEARCH("나중에",K1051)),ISNUMBER(SEARCH("보류",L1051)),ISNUMBER(SEARCH("미룸",L1051)),ISNUMBER(SEARCH("나중에",L1051))),"보류(나중에 풀기)",IF(AND(F1051="",G1051="",H1051="",I1051=""),"미완료",IF(I1051&lt;&gt;"","복습3(마스터)",IF(H1051&lt;&gt;"","복습2",IF(G1051&lt;&gt;"","복습1",IF(ISNUMBER(SEARCH("제미나이",K1051)),"복습대기(AI도움)",IF(ISNUMBER(SEARCH("간당간당",K1051)),"복습대기(간당간당)",IF(OR(ISNUMBER(SEARCH("아이디어",K1051)),ISNUMBER(SEARCH("시간초과",K1051)),ISNUMBER(SEARCH("자료구조",K1051)),ISNUMBER(SEARCH("경계값",K1051)),ISNUMBER(SEARCH("다른 풀이",K1051)),ISNUMBER(SEARCH("또풀기",K1051))),"복습대기",IF(OR(ISNUMBER(SEARCH("복습필요없음",K1051)),ISNUMBER(SEARCH("자력완벽",K1051))),"품(복습불필요)",IF(F1051&lt;&gt;"","품","미완료"))))))))))</f>
        <v/>
      </c>
      <c r="K1051" s="32" t="inlineStr">
        <is>
          <t>-</t>
        </is>
      </c>
      <c r="L1051" s="32" t="n"/>
      <c r="M1051" s="28">
        <f>IF(OR(LEFT(J1051,2)="보류", LEFT(J1051,4)="복습대기", LEFT(J1051,3)="복습1", LEFT(J1051,3)="복습2"), MAX($M$3:M1050)+1, "")</f>
        <v/>
      </c>
      <c r="N1051" s="28" t="inlineStr">
        <is>
          <t>W24</t>
        </is>
      </c>
      <c r="O1051" s="36" t="n">
        <v>46425</v>
      </c>
      <c r="P1051" s="30">
        <f>IF(F1051&lt;&gt;"","✅ 완료",IF(O1051="","-",IF(TODAY()&gt;O1051,"🚨 지연","⏳ 예정")))</f>
        <v/>
      </c>
      <c r="Q1051" s="7" t="n"/>
      <c r="R1051" s="7" t="n"/>
      <c r="S1051" s="7" t="n"/>
      <c r="T1051" s="7" t="n"/>
      <c r="U1051" s="7" t="n"/>
      <c r="V1051" s="7" t="n"/>
      <c r="W1051" s="7" t="n"/>
      <c r="X1051" s="7" t="n"/>
    </row>
    <row r="1052" ht="21.75" customHeight="1" s="209">
      <c r="A1052" s="28" t="n">
        <v>1049</v>
      </c>
      <c r="B1052" s="28" t="inlineStr">
        <is>
          <t>11448</t>
        </is>
      </c>
      <c r="C1052" s="30" t="inlineStr">
        <is>
          <t>D7</t>
        </is>
      </c>
      <c r="D1052" s="32" t="inlineStr">
        <is>
          <t>모두 포함하는 문자열</t>
        </is>
      </c>
      <c r="E1052" s="28" t="inlineStr">
        <is>
          <t>문자열 / 파싱</t>
        </is>
      </c>
      <c r="F1052" s="28" t="n"/>
      <c r="G1052" s="28" t="n"/>
      <c r="H1052" s="28" t="n"/>
      <c r="I1052" s="28" t="n"/>
      <c r="J1052" s="54">
        <f>IF(OR(ISNUMBER(SEARCH("보류",K1052)),ISNUMBER(SEARCH("미룸",K1052)),ISNUMBER(SEARCH("나중에",K1052)),ISNUMBER(SEARCH("보류",L1052)),ISNUMBER(SEARCH("미룸",L1052)),ISNUMBER(SEARCH("나중에",L1052))),"보류(나중에 풀기)",IF(AND(F1052="",G1052="",H1052="",I1052=""),"미완료",IF(I1052&lt;&gt;"","복습3(마스터)",IF(H1052&lt;&gt;"","복습2",IF(G1052&lt;&gt;"","복습1",IF(ISNUMBER(SEARCH("제미나이",K1052)),"복습대기(AI도움)",IF(ISNUMBER(SEARCH("간당간당",K1052)),"복습대기(간당간당)",IF(OR(ISNUMBER(SEARCH("아이디어",K1052)),ISNUMBER(SEARCH("시간초과",K1052)),ISNUMBER(SEARCH("자료구조",K1052)),ISNUMBER(SEARCH("경계값",K1052)),ISNUMBER(SEARCH("다른 풀이",K1052)),ISNUMBER(SEARCH("또풀기",K1052))),"복습대기",IF(OR(ISNUMBER(SEARCH("복습필요없음",K1052)),ISNUMBER(SEARCH("자력완벽",K1052))),"품(복습불필요)",IF(F1052&lt;&gt;"","품","미완료"))))))))))</f>
        <v/>
      </c>
      <c r="K1052" s="32" t="inlineStr">
        <is>
          <t>-</t>
        </is>
      </c>
      <c r="L1052" s="32" t="n"/>
      <c r="M1052" s="28">
        <f>IF(OR(LEFT(J1052,2)="보류", LEFT(J1052,4)="복습대기", LEFT(J1052,3)="복습1", LEFT(J1052,3)="복습2"), MAX($M$3:M1051)+1, "")</f>
        <v/>
      </c>
      <c r="N1052" s="28" t="inlineStr">
        <is>
          <t>W24</t>
        </is>
      </c>
      <c r="O1052" s="36" t="n">
        <v>46425</v>
      </c>
      <c r="P1052" s="30">
        <f>IF(F1052&lt;&gt;"","✅ 완료",IF(O1052="","-",IF(TODAY()&gt;O1052,"🚨 지연","⏳ 예정")))</f>
        <v/>
      </c>
      <c r="Q1052" s="7" t="n"/>
      <c r="R1052" s="7" t="n"/>
      <c r="S1052" s="7" t="n"/>
      <c r="T1052" s="7" t="n"/>
      <c r="U1052" s="7" t="n"/>
      <c r="V1052" s="7" t="n"/>
      <c r="W1052" s="7" t="n"/>
      <c r="X1052" s="7" t="n"/>
    </row>
    <row r="1053" ht="21.75" customHeight="1" s="209">
      <c r="A1053" s="28" t="n">
        <v>1050</v>
      </c>
      <c r="B1053" s="28" t="inlineStr">
        <is>
          <t>11548</t>
        </is>
      </c>
      <c r="C1053" s="30" t="inlineStr">
        <is>
          <t>D7</t>
        </is>
      </c>
      <c r="D1053" s="32" t="inlineStr">
        <is>
          <t>자유로운 공장</t>
        </is>
      </c>
      <c r="E1053" s="28" t="inlineStr">
        <is>
          <t>최적화 / 고급 알고리즘</t>
        </is>
      </c>
      <c r="F1053" s="28" t="n"/>
      <c r="G1053" s="28" t="n"/>
      <c r="H1053" s="28" t="n"/>
      <c r="I1053" s="28" t="n"/>
      <c r="J1053" s="54">
        <f>IF(OR(ISNUMBER(SEARCH("보류",K1053)),ISNUMBER(SEARCH("미룸",K1053)),ISNUMBER(SEARCH("나중에",K1053)),ISNUMBER(SEARCH("보류",L1053)),ISNUMBER(SEARCH("미룸",L1053)),ISNUMBER(SEARCH("나중에",L1053))),"보류(나중에 풀기)",IF(AND(F1053="",G1053="",H1053="",I1053=""),"미완료",IF(I1053&lt;&gt;"","복습3(마스터)",IF(H1053&lt;&gt;"","복습2",IF(G1053&lt;&gt;"","복습1",IF(ISNUMBER(SEARCH("제미나이",K1053)),"복습대기(AI도움)",IF(ISNUMBER(SEARCH("간당간당",K1053)),"복습대기(간당간당)",IF(OR(ISNUMBER(SEARCH("아이디어",K1053)),ISNUMBER(SEARCH("시간초과",K1053)),ISNUMBER(SEARCH("자료구조",K1053)),ISNUMBER(SEARCH("경계값",K1053)),ISNUMBER(SEARCH("다른 풀이",K1053)),ISNUMBER(SEARCH("또풀기",K1053))),"복습대기",IF(OR(ISNUMBER(SEARCH("복습필요없음",K1053)),ISNUMBER(SEARCH("자력완벽",K1053))),"품(복습불필요)",IF(F1053&lt;&gt;"","품","미완료"))))))))))</f>
        <v/>
      </c>
      <c r="K1053" s="32" t="inlineStr">
        <is>
          <t>-</t>
        </is>
      </c>
      <c r="L1053" s="32" t="n"/>
      <c r="M1053" s="28">
        <f>IF(OR(LEFT(J1053,2)="보류", LEFT(J1053,4)="복습대기", LEFT(J1053,3)="복습1", LEFT(J1053,3)="복습2"), MAX($M$3:M1052)+1, "")</f>
        <v/>
      </c>
      <c r="N1053" s="28" t="inlineStr">
        <is>
          <t>W25</t>
        </is>
      </c>
      <c r="O1053" s="36" t="n">
        <v>46426</v>
      </c>
      <c r="P1053" s="30">
        <f>IF(F1053&lt;&gt;"","✅ 완료",IF(O1053="","-",IF(TODAY()&gt;O1053,"🚨 지연","⏳ 예정")))</f>
        <v/>
      </c>
      <c r="Q1053" s="7" t="n"/>
      <c r="R1053" s="7" t="n"/>
      <c r="S1053" s="7" t="n"/>
      <c r="T1053" s="7" t="n"/>
      <c r="U1053" s="7" t="n"/>
      <c r="V1053" s="7" t="n"/>
      <c r="W1053" s="7" t="n"/>
      <c r="X1053" s="7" t="n"/>
    </row>
    <row r="1054" ht="21.75" customHeight="1" s="209">
      <c r="A1054" s="28" t="n">
        <v>1051</v>
      </c>
      <c r="B1054" s="28" t="inlineStr">
        <is>
          <t>11693</t>
        </is>
      </c>
      <c r="C1054" s="30" t="inlineStr">
        <is>
          <t>D7</t>
        </is>
      </c>
      <c r="D1054" s="32" t="inlineStr">
        <is>
          <t>나이트 어택</t>
        </is>
      </c>
      <c r="E1054" s="28" t="inlineStr">
        <is>
          <t>최적화 / 고급 알고리즘</t>
        </is>
      </c>
      <c r="F1054" s="28" t="n"/>
      <c r="G1054" s="28" t="n"/>
      <c r="H1054" s="28" t="n"/>
      <c r="I1054" s="28" t="n"/>
      <c r="J1054" s="54">
        <f>IF(OR(ISNUMBER(SEARCH("보류",K1054)),ISNUMBER(SEARCH("미룸",K1054)),ISNUMBER(SEARCH("나중에",K1054)),ISNUMBER(SEARCH("보류",L1054)),ISNUMBER(SEARCH("미룸",L1054)),ISNUMBER(SEARCH("나중에",L1054))),"보류(나중에 풀기)",IF(AND(F1054="",G1054="",H1054="",I1054=""),"미완료",IF(I1054&lt;&gt;"","복습3(마스터)",IF(H1054&lt;&gt;"","복습2",IF(G1054&lt;&gt;"","복습1",IF(ISNUMBER(SEARCH("제미나이",K1054)),"복습대기(AI도움)",IF(ISNUMBER(SEARCH("간당간당",K1054)),"복습대기(간당간당)",IF(OR(ISNUMBER(SEARCH("아이디어",K1054)),ISNUMBER(SEARCH("시간초과",K1054)),ISNUMBER(SEARCH("자료구조",K1054)),ISNUMBER(SEARCH("경계값",K1054)),ISNUMBER(SEARCH("다른 풀이",K1054)),ISNUMBER(SEARCH("또풀기",K1054))),"복습대기",IF(OR(ISNUMBER(SEARCH("복습필요없음",K1054)),ISNUMBER(SEARCH("자력완벽",K1054))),"품(복습불필요)",IF(F1054&lt;&gt;"","품","미완료"))))))))))</f>
        <v/>
      </c>
      <c r="K1054" s="32" t="inlineStr">
        <is>
          <t>-</t>
        </is>
      </c>
      <c r="L1054" s="32" t="n"/>
      <c r="M1054" s="28">
        <f>IF(OR(LEFT(J1054,2)="보류", LEFT(J1054,4)="복습대기", LEFT(J1054,3)="복습1", LEFT(J1054,3)="복습2"), MAX($M$3:M1053)+1, "")</f>
        <v/>
      </c>
      <c r="N1054" s="28" t="inlineStr">
        <is>
          <t>W25</t>
        </is>
      </c>
      <c r="O1054" s="36" t="n">
        <v>46426</v>
      </c>
      <c r="P1054" s="30">
        <f>IF(F1054&lt;&gt;"","✅ 완료",IF(O1054="","-",IF(TODAY()&gt;O1054,"🚨 지연","⏳ 예정")))</f>
        <v/>
      </c>
      <c r="Q1054" s="7" t="n"/>
      <c r="R1054" s="7" t="n"/>
      <c r="S1054" s="7" t="n"/>
      <c r="T1054" s="7" t="n"/>
      <c r="U1054" s="7" t="n"/>
      <c r="V1054" s="7" t="n"/>
      <c r="W1054" s="7" t="n"/>
      <c r="X1054" s="7" t="n"/>
    </row>
    <row r="1055" ht="21.75" customHeight="1" s="209">
      <c r="A1055" s="28" t="n">
        <v>1052</v>
      </c>
      <c r="B1055" s="28" t="inlineStr">
        <is>
          <t>11739</t>
        </is>
      </c>
      <c r="C1055" s="30" t="inlineStr">
        <is>
          <t>D7</t>
        </is>
      </c>
      <c r="D1055" s="32" t="inlineStr">
        <is>
          <t>특수부대의 탈출</t>
        </is>
      </c>
      <c r="E1055" s="28" t="inlineStr">
        <is>
          <t>BFS (너비우선탐색)</t>
        </is>
      </c>
      <c r="F1055" s="28" t="n"/>
      <c r="G1055" s="28" t="n"/>
      <c r="H1055" s="28" t="n"/>
      <c r="I1055" s="28" t="n"/>
      <c r="J1055" s="54">
        <f>IF(OR(ISNUMBER(SEARCH("보류",K1055)),ISNUMBER(SEARCH("미룸",K1055)),ISNUMBER(SEARCH("나중에",K1055)),ISNUMBER(SEARCH("보류",L1055)),ISNUMBER(SEARCH("미룸",L1055)),ISNUMBER(SEARCH("나중에",L1055))),"보류(나중에 풀기)",IF(AND(F1055="",G1055="",H1055="",I1055=""),"미완료",IF(I1055&lt;&gt;"","복습3(마스터)",IF(H1055&lt;&gt;"","복습2",IF(G1055&lt;&gt;"","복습1",IF(ISNUMBER(SEARCH("제미나이",K1055)),"복습대기(AI도움)",IF(ISNUMBER(SEARCH("간당간당",K1055)),"복습대기(간당간당)",IF(OR(ISNUMBER(SEARCH("아이디어",K1055)),ISNUMBER(SEARCH("시간초과",K1055)),ISNUMBER(SEARCH("자료구조",K1055)),ISNUMBER(SEARCH("경계값",K1055)),ISNUMBER(SEARCH("다른 풀이",K1055)),ISNUMBER(SEARCH("또풀기",K1055))),"복습대기",IF(OR(ISNUMBER(SEARCH("복습필요없음",K1055)),ISNUMBER(SEARCH("자력완벽",K1055))),"품(복습불필요)",IF(F1055&lt;&gt;"","품","미완료"))))))))))</f>
        <v/>
      </c>
      <c r="K1055" s="32" t="inlineStr">
        <is>
          <t>-</t>
        </is>
      </c>
      <c r="L1055" s="32" t="n"/>
      <c r="M1055" s="28">
        <f>IF(OR(LEFT(J1055,2)="보류", LEFT(J1055,4)="복습대기", LEFT(J1055,3)="복습1", LEFT(J1055,3)="복습2"), MAX($M$3:M1054)+1, "")</f>
        <v/>
      </c>
      <c r="N1055" s="28" t="inlineStr">
        <is>
          <t>W25</t>
        </is>
      </c>
      <c r="O1055" s="36" t="n">
        <v>46426</v>
      </c>
      <c r="P1055" s="30">
        <f>IF(F1055&lt;&gt;"","✅ 완료",IF(O1055="","-",IF(TODAY()&gt;O1055,"🚨 지연","⏳ 예정")))</f>
        <v/>
      </c>
      <c r="Q1055" s="7" t="n"/>
      <c r="R1055" s="7" t="n"/>
      <c r="S1055" s="7" t="n"/>
      <c r="T1055" s="7" t="n"/>
      <c r="U1055" s="7" t="n"/>
      <c r="V1055" s="7" t="n"/>
      <c r="W1055" s="7" t="n"/>
      <c r="X1055" s="7" t="n"/>
    </row>
    <row r="1056" ht="21.75" customHeight="1" s="209">
      <c r="A1056" s="28" t="n">
        <v>1053</v>
      </c>
      <c r="B1056" s="28" t="inlineStr">
        <is>
          <t>17305</t>
        </is>
      </c>
      <c r="C1056" s="30" t="inlineStr">
        <is>
          <t>D7</t>
        </is>
      </c>
      <c r="D1056" s="32" t="inlineStr">
        <is>
          <t>등가속도 직선 운동 부스터</t>
        </is>
      </c>
      <c r="E1056" s="28" t="inlineStr">
        <is>
          <t>최적화 / 고급 알고리즘</t>
        </is>
      </c>
      <c r="F1056" s="28" t="n"/>
      <c r="G1056" s="28" t="n"/>
      <c r="H1056" s="28" t="n"/>
      <c r="I1056" s="28" t="n"/>
      <c r="J1056" s="54">
        <f>IF(OR(ISNUMBER(SEARCH("보류",K1056)),ISNUMBER(SEARCH("미룸",K1056)),ISNUMBER(SEARCH("나중에",K1056)),ISNUMBER(SEARCH("보류",L1056)),ISNUMBER(SEARCH("미룸",L1056)),ISNUMBER(SEARCH("나중에",L1056))),"보류(나중에 풀기)",IF(AND(F1056="",G1056="",H1056="",I1056=""),"미완료",IF(I1056&lt;&gt;"","복습3(마스터)",IF(H1056&lt;&gt;"","복습2",IF(G1056&lt;&gt;"","복습1",IF(ISNUMBER(SEARCH("제미나이",K1056)),"복습대기(AI도움)",IF(ISNUMBER(SEARCH("간당간당",K1056)),"복습대기(간당간당)",IF(OR(ISNUMBER(SEARCH("아이디어",K1056)),ISNUMBER(SEARCH("시간초과",K1056)),ISNUMBER(SEARCH("자료구조",K1056)),ISNUMBER(SEARCH("경계값",K1056)),ISNUMBER(SEARCH("다른 풀이",K1056)),ISNUMBER(SEARCH("또풀기",K1056))),"복습대기",IF(OR(ISNUMBER(SEARCH("복습필요없음",K1056)),ISNUMBER(SEARCH("자력완벽",K1056))),"품(복습불필요)",IF(F1056&lt;&gt;"","품","미완료"))))))))))</f>
        <v/>
      </c>
      <c r="K1056" s="32" t="inlineStr">
        <is>
          <t>-</t>
        </is>
      </c>
      <c r="L1056" s="32" t="n"/>
      <c r="M1056" s="28">
        <f>IF(OR(LEFT(J1056,2)="보류", LEFT(J1056,4)="복습대기", LEFT(J1056,3)="복습1", LEFT(J1056,3)="복습2"), MAX($M$3:M1055)+1, "")</f>
        <v/>
      </c>
      <c r="N1056" s="28" t="inlineStr">
        <is>
          <t>W25</t>
        </is>
      </c>
      <c r="O1056" s="36" t="n">
        <v>46426</v>
      </c>
      <c r="P1056" s="30">
        <f>IF(F1056&lt;&gt;"","✅ 완료",IF(O1056="","-",IF(TODAY()&gt;O1056,"🚨 지연","⏳ 예정")))</f>
        <v/>
      </c>
      <c r="Q1056" s="7" t="n"/>
      <c r="R1056" s="7" t="n"/>
      <c r="S1056" s="7" t="n"/>
      <c r="T1056" s="7" t="n"/>
      <c r="U1056" s="7" t="n"/>
      <c r="V1056" s="7" t="n"/>
      <c r="W1056" s="7" t="n"/>
      <c r="X1056" s="7" t="n"/>
    </row>
    <row r="1057" ht="21.75" customHeight="1" s="209">
      <c r="A1057" s="28" t="n">
        <v>1054</v>
      </c>
      <c r="B1057" s="28" t="inlineStr">
        <is>
          <t>17326</t>
        </is>
      </c>
      <c r="C1057" s="30" t="inlineStr">
        <is>
          <t>D7</t>
        </is>
      </c>
      <c r="D1057" s="32" t="inlineStr">
        <is>
          <t>좋은 집합</t>
        </is>
      </c>
      <c r="E1057" s="28" t="inlineStr">
        <is>
          <t>수학 / 정수론</t>
        </is>
      </c>
      <c r="F1057" s="28" t="n"/>
      <c r="G1057" s="28" t="n"/>
      <c r="H1057" s="28" t="n"/>
      <c r="I1057" s="28" t="n"/>
      <c r="J1057" s="54">
        <f>IF(OR(ISNUMBER(SEARCH("보류",K1057)),ISNUMBER(SEARCH("미룸",K1057)),ISNUMBER(SEARCH("나중에",K1057)),ISNUMBER(SEARCH("보류",L1057)),ISNUMBER(SEARCH("미룸",L1057)),ISNUMBER(SEARCH("나중에",L1057))),"보류(나중에 풀기)",IF(AND(F1057="",G1057="",H1057="",I1057=""),"미완료",IF(I1057&lt;&gt;"","복습3(마스터)",IF(H1057&lt;&gt;"","복습2",IF(G1057&lt;&gt;"","복습1",IF(ISNUMBER(SEARCH("제미나이",K1057)),"복습대기(AI도움)",IF(ISNUMBER(SEARCH("간당간당",K1057)),"복습대기(간당간당)",IF(OR(ISNUMBER(SEARCH("아이디어",K1057)),ISNUMBER(SEARCH("시간초과",K1057)),ISNUMBER(SEARCH("자료구조",K1057)),ISNUMBER(SEARCH("경계값",K1057)),ISNUMBER(SEARCH("다른 풀이",K1057)),ISNUMBER(SEARCH("또풀기",K1057))),"복습대기",IF(OR(ISNUMBER(SEARCH("복습필요없음",K1057)),ISNUMBER(SEARCH("자력완벽",K1057))),"품(복습불필요)",IF(F1057&lt;&gt;"","품","미완료"))))))))))</f>
        <v/>
      </c>
      <c r="K1057" s="32" t="inlineStr">
        <is>
          <t>-</t>
        </is>
      </c>
      <c r="L1057" s="32" t="n"/>
      <c r="M1057" s="28">
        <f>IF(OR(LEFT(J1057,2)="보류", LEFT(J1057,4)="복습대기", LEFT(J1057,3)="복습1", LEFT(J1057,3)="복습2"), MAX($M$3:M1056)+1, "")</f>
        <v/>
      </c>
      <c r="N1057" s="28" t="inlineStr">
        <is>
          <t>W25</t>
        </is>
      </c>
      <c r="O1057" s="36" t="n">
        <v>46426</v>
      </c>
      <c r="P1057" s="30">
        <f>IF(F1057&lt;&gt;"","✅ 완료",IF(O1057="","-",IF(TODAY()&gt;O1057,"🚨 지연","⏳ 예정")))</f>
        <v/>
      </c>
      <c r="Q1057" s="7" t="n"/>
      <c r="R1057" s="7" t="n"/>
      <c r="S1057" s="7" t="n"/>
      <c r="T1057" s="7" t="n"/>
      <c r="U1057" s="7" t="n"/>
      <c r="V1057" s="7" t="n"/>
      <c r="W1057" s="7" t="n"/>
      <c r="X1057" s="7" t="n"/>
    </row>
    <row r="1058" ht="21.75" customHeight="1" s="209">
      <c r="A1058" s="28" t="n">
        <v>1055</v>
      </c>
      <c r="B1058" s="28" t="inlineStr">
        <is>
          <t>17645</t>
        </is>
      </c>
      <c r="C1058" s="30" t="inlineStr">
        <is>
          <t>D7</t>
        </is>
      </c>
      <c r="D1058" s="32" t="inlineStr">
        <is>
          <t>그래프에 유리수 채우기</t>
        </is>
      </c>
      <c r="E1058" s="28" t="inlineStr">
        <is>
          <t>그래프 / 최단경로 / 위상정렬</t>
        </is>
      </c>
      <c r="F1058" s="28" t="n"/>
      <c r="G1058" s="28" t="n"/>
      <c r="H1058" s="28" t="n"/>
      <c r="I1058" s="28" t="n"/>
      <c r="J1058" s="54">
        <f>IF(OR(ISNUMBER(SEARCH("보류",K1058)),ISNUMBER(SEARCH("미룸",K1058)),ISNUMBER(SEARCH("나중에",K1058)),ISNUMBER(SEARCH("보류",L1058)),ISNUMBER(SEARCH("미룸",L1058)),ISNUMBER(SEARCH("나중에",L1058))),"보류(나중에 풀기)",IF(AND(F1058="",G1058="",H1058="",I1058=""),"미완료",IF(I1058&lt;&gt;"","복습3(마스터)",IF(H1058&lt;&gt;"","복습2",IF(G1058&lt;&gt;"","복습1",IF(ISNUMBER(SEARCH("제미나이",K1058)),"복습대기(AI도움)",IF(ISNUMBER(SEARCH("간당간당",K1058)),"복습대기(간당간당)",IF(OR(ISNUMBER(SEARCH("아이디어",K1058)),ISNUMBER(SEARCH("시간초과",K1058)),ISNUMBER(SEARCH("자료구조",K1058)),ISNUMBER(SEARCH("경계값",K1058)),ISNUMBER(SEARCH("다른 풀이",K1058)),ISNUMBER(SEARCH("또풀기",K1058))),"복습대기",IF(OR(ISNUMBER(SEARCH("복습필요없음",K1058)),ISNUMBER(SEARCH("자력완벽",K1058))),"품(복습불필요)",IF(F1058&lt;&gt;"","품","미완료"))))))))))</f>
        <v/>
      </c>
      <c r="K1058" s="32" t="inlineStr">
        <is>
          <t>-</t>
        </is>
      </c>
      <c r="L1058" s="32" t="n"/>
      <c r="M1058" s="28">
        <f>IF(OR(LEFT(J1058,2)="보류", LEFT(J1058,4)="복습대기", LEFT(J1058,3)="복습1", LEFT(J1058,3)="복습2"), MAX($M$3:M1057)+1, "")</f>
        <v/>
      </c>
      <c r="N1058" s="28" t="inlineStr">
        <is>
          <t>W25</t>
        </is>
      </c>
      <c r="O1058" s="36" t="n">
        <v>46426</v>
      </c>
      <c r="P1058" s="30">
        <f>IF(F1058&lt;&gt;"","✅ 완료",IF(O1058="","-",IF(TODAY()&gt;O1058,"🚨 지연","⏳ 예정")))</f>
        <v/>
      </c>
      <c r="Q1058" s="7" t="n"/>
      <c r="R1058" s="7" t="n"/>
      <c r="S1058" s="7" t="n"/>
      <c r="T1058" s="7" t="n"/>
      <c r="U1058" s="7" t="n"/>
      <c r="V1058" s="7" t="n"/>
      <c r="W1058" s="7" t="n"/>
      <c r="X1058" s="7" t="n"/>
    </row>
    <row r="1059" ht="21.75" customHeight="1" s="209">
      <c r="A1059" s="28" t="n">
        <v>1056</v>
      </c>
      <c r="B1059" s="28" t="inlineStr">
        <is>
          <t>17928</t>
        </is>
      </c>
      <c r="C1059" s="30" t="inlineStr">
        <is>
          <t>D7</t>
        </is>
      </c>
      <c r="D1059" s="32" t="inlineStr">
        <is>
          <t>공평한 순서쌍</t>
        </is>
      </c>
      <c r="E1059" s="28" t="inlineStr">
        <is>
          <t>최적화 / 고급 알고리즘</t>
        </is>
      </c>
      <c r="F1059" s="28" t="n"/>
      <c r="G1059" s="28" t="n"/>
      <c r="H1059" s="28" t="n"/>
      <c r="I1059" s="28" t="n"/>
      <c r="J1059" s="54">
        <f>IF(OR(ISNUMBER(SEARCH("보류",K1059)),ISNUMBER(SEARCH("미룸",K1059)),ISNUMBER(SEARCH("나중에",K1059)),ISNUMBER(SEARCH("보류",L1059)),ISNUMBER(SEARCH("미룸",L1059)),ISNUMBER(SEARCH("나중에",L1059))),"보류(나중에 풀기)",IF(AND(F1059="",G1059="",H1059="",I1059=""),"미완료",IF(I1059&lt;&gt;"","복습3(마스터)",IF(H1059&lt;&gt;"","복습2",IF(G1059&lt;&gt;"","복습1",IF(ISNUMBER(SEARCH("제미나이",K1059)),"복습대기(AI도움)",IF(ISNUMBER(SEARCH("간당간당",K1059)),"복습대기(간당간당)",IF(OR(ISNUMBER(SEARCH("아이디어",K1059)),ISNUMBER(SEARCH("시간초과",K1059)),ISNUMBER(SEARCH("자료구조",K1059)),ISNUMBER(SEARCH("경계값",K1059)),ISNUMBER(SEARCH("다른 풀이",K1059)),ISNUMBER(SEARCH("또풀기",K1059))),"복습대기",IF(OR(ISNUMBER(SEARCH("복습필요없음",K1059)),ISNUMBER(SEARCH("자력완벽",K1059))),"품(복습불필요)",IF(F1059&lt;&gt;"","품","미완료"))))))))))</f>
        <v/>
      </c>
      <c r="K1059" s="32" t="inlineStr">
        <is>
          <t>-</t>
        </is>
      </c>
      <c r="L1059" s="32" t="n"/>
      <c r="M1059" s="28">
        <f>IF(OR(LEFT(J1059,2)="보류", LEFT(J1059,4)="복습대기", LEFT(J1059,3)="복습1", LEFT(J1059,3)="복습2"), MAX($M$3:M1058)+1, "")</f>
        <v/>
      </c>
      <c r="N1059" s="28" t="inlineStr">
        <is>
          <t>W25</t>
        </is>
      </c>
      <c r="O1059" s="36" t="n">
        <v>46426</v>
      </c>
      <c r="P1059" s="30">
        <f>IF(F1059&lt;&gt;"","✅ 완료",IF(O1059="","-",IF(TODAY()&gt;O1059,"🚨 지연","⏳ 예정")))</f>
        <v/>
      </c>
      <c r="Q1059" s="7" t="n"/>
      <c r="R1059" s="7" t="n"/>
      <c r="S1059" s="7" t="n"/>
      <c r="T1059" s="7" t="n"/>
      <c r="U1059" s="7" t="n"/>
      <c r="V1059" s="7" t="n"/>
      <c r="W1059" s="7" t="n"/>
      <c r="X1059" s="7" t="n"/>
    </row>
    <row r="1060" ht="21.75" customHeight="1" s="209">
      <c r="A1060" s="28" t="n">
        <v>1057</v>
      </c>
      <c r="B1060" s="28" t="inlineStr">
        <is>
          <t>18669</t>
        </is>
      </c>
      <c r="C1060" s="30" t="inlineStr">
        <is>
          <t>D7</t>
        </is>
      </c>
      <c r="D1060" s="32" t="inlineStr">
        <is>
          <t>숨바꼭질</t>
        </is>
      </c>
      <c r="E1060" s="28" t="inlineStr">
        <is>
          <t>최적화 / 고급 알고리즘</t>
        </is>
      </c>
      <c r="F1060" s="28" t="n"/>
      <c r="G1060" s="28" t="n"/>
      <c r="H1060" s="28" t="n"/>
      <c r="I1060" s="28" t="n"/>
      <c r="J1060" s="54">
        <f>IF(OR(ISNUMBER(SEARCH("보류",K1060)),ISNUMBER(SEARCH("미룸",K1060)),ISNUMBER(SEARCH("나중에",K1060)),ISNUMBER(SEARCH("보류",L1060)),ISNUMBER(SEARCH("미룸",L1060)),ISNUMBER(SEARCH("나중에",L1060))),"보류(나중에 풀기)",IF(AND(F1060="",G1060="",H1060="",I1060=""),"미완료",IF(I1060&lt;&gt;"","복습3(마스터)",IF(H1060&lt;&gt;"","복습2",IF(G1060&lt;&gt;"","복습1",IF(ISNUMBER(SEARCH("제미나이",K1060)),"복습대기(AI도움)",IF(ISNUMBER(SEARCH("간당간당",K1060)),"복습대기(간당간당)",IF(OR(ISNUMBER(SEARCH("아이디어",K1060)),ISNUMBER(SEARCH("시간초과",K1060)),ISNUMBER(SEARCH("자료구조",K1060)),ISNUMBER(SEARCH("경계값",K1060)),ISNUMBER(SEARCH("다른 풀이",K1060)),ISNUMBER(SEARCH("또풀기",K1060))),"복습대기",IF(OR(ISNUMBER(SEARCH("복습필요없음",K1060)),ISNUMBER(SEARCH("자력완벽",K1060))),"품(복습불필요)",IF(F1060&lt;&gt;"","품","미완료"))))))))))</f>
        <v/>
      </c>
      <c r="K1060" s="32" t="inlineStr">
        <is>
          <t>-</t>
        </is>
      </c>
      <c r="L1060" s="32" t="n"/>
      <c r="M1060" s="28">
        <f>IF(OR(LEFT(J1060,2)="보류", LEFT(J1060,4)="복습대기", LEFT(J1060,3)="복습1", LEFT(J1060,3)="복습2"), MAX($M$3:M1059)+1, "")</f>
        <v/>
      </c>
      <c r="N1060" s="28" t="inlineStr">
        <is>
          <t>W25</t>
        </is>
      </c>
      <c r="O1060" s="36" t="n">
        <v>46427</v>
      </c>
      <c r="P1060" s="30">
        <f>IF(F1060&lt;&gt;"","✅ 완료",IF(O1060="","-",IF(TODAY()&gt;O1060,"🚨 지연","⏳ 예정")))</f>
        <v/>
      </c>
      <c r="Q1060" s="7" t="n"/>
      <c r="R1060" s="7" t="n"/>
      <c r="S1060" s="7" t="n"/>
      <c r="T1060" s="7" t="n"/>
      <c r="U1060" s="7" t="n"/>
      <c r="V1060" s="7" t="n"/>
      <c r="W1060" s="7" t="n"/>
      <c r="X1060" s="7" t="n"/>
    </row>
    <row r="1061" ht="21.75" customHeight="1" s="209">
      <c r="A1061" s="28" t="n">
        <v>1058</v>
      </c>
      <c r="B1061" s="28" t="inlineStr">
        <is>
          <t>19006</t>
        </is>
      </c>
      <c r="C1061" s="30" t="inlineStr">
        <is>
          <t>D7</t>
        </is>
      </c>
      <c r="D1061" s="32" t="inlineStr">
        <is>
          <t>순열 행렬식</t>
        </is>
      </c>
      <c r="E1061" s="28" t="inlineStr">
        <is>
          <t>DFS / 백트래킹</t>
        </is>
      </c>
      <c r="F1061" s="28" t="n"/>
      <c r="G1061" s="28" t="n"/>
      <c r="H1061" s="28" t="n"/>
      <c r="I1061" s="28" t="n"/>
      <c r="J1061" s="54">
        <f>IF(OR(ISNUMBER(SEARCH("보류",K1061)),ISNUMBER(SEARCH("미룸",K1061)),ISNUMBER(SEARCH("나중에",K1061)),ISNUMBER(SEARCH("보류",L1061)),ISNUMBER(SEARCH("미룸",L1061)),ISNUMBER(SEARCH("나중에",L1061))),"보류(나중에 풀기)",IF(AND(F1061="",G1061="",H1061="",I1061=""),"미완료",IF(I1061&lt;&gt;"","복습3(마스터)",IF(H1061&lt;&gt;"","복습2",IF(G1061&lt;&gt;"","복습1",IF(ISNUMBER(SEARCH("제미나이",K1061)),"복습대기(AI도움)",IF(ISNUMBER(SEARCH("간당간당",K1061)),"복습대기(간당간당)",IF(OR(ISNUMBER(SEARCH("아이디어",K1061)),ISNUMBER(SEARCH("시간초과",K1061)),ISNUMBER(SEARCH("자료구조",K1061)),ISNUMBER(SEARCH("경계값",K1061)),ISNUMBER(SEARCH("다른 풀이",K1061)),ISNUMBER(SEARCH("또풀기",K1061))),"복습대기",IF(OR(ISNUMBER(SEARCH("복습필요없음",K1061)),ISNUMBER(SEARCH("자력완벽",K1061))),"품(복습불필요)",IF(F1061&lt;&gt;"","품","미완료"))))))))))</f>
        <v/>
      </c>
      <c r="K1061" s="32" t="inlineStr">
        <is>
          <t>-</t>
        </is>
      </c>
      <c r="L1061" s="32" t="n"/>
      <c r="M1061" s="28">
        <f>IF(OR(LEFT(J1061,2)="보류", LEFT(J1061,4)="복습대기", LEFT(J1061,3)="복습1", LEFT(J1061,3)="복습2"), MAX($M$3:M1060)+1, "")</f>
        <v/>
      </c>
      <c r="N1061" s="28" t="inlineStr">
        <is>
          <t>W25</t>
        </is>
      </c>
      <c r="O1061" s="36" t="n">
        <v>46427</v>
      </c>
      <c r="P1061" s="30">
        <f>IF(F1061&lt;&gt;"","✅ 완료",IF(O1061="","-",IF(TODAY()&gt;O1061,"🚨 지연","⏳ 예정")))</f>
        <v/>
      </c>
      <c r="Q1061" s="7" t="n"/>
      <c r="R1061" s="7" t="n"/>
      <c r="S1061" s="7" t="n"/>
      <c r="T1061" s="7" t="n"/>
      <c r="U1061" s="7" t="n"/>
      <c r="V1061" s="7" t="n"/>
      <c r="W1061" s="7" t="n"/>
      <c r="X1061" s="7" t="n"/>
    </row>
    <row r="1062" ht="21.75" customHeight="1" s="209">
      <c r="A1062" s="28" t="n">
        <v>1059</v>
      </c>
      <c r="B1062" s="28" t="inlineStr">
        <is>
          <t>19191</t>
        </is>
      </c>
      <c r="C1062" s="30" t="inlineStr">
        <is>
          <t>D7</t>
        </is>
      </c>
      <c r="D1062" s="32" t="inlineStr">
        <is>
          <t>4개의 수</t>
        </is>
      </c>
      <c r="E1062" s="28" t="inlineStr">
        <is>
          <t>최적화 / 고급 알고리즘</t>
        </is>
      </c>
      <c r="F1062" s="28" t="n"/>
      <c r="G1062" s="28" t="n"/>
      <c r="H1062" s="28" t="n"/>
      <c r="I1062" s="28" t="n"/>
      <c r="J1062" s="54">
        <f>IF(OR(ISNUMBER(SEARCH("보류",K1062)),ISNUMBER(SEARCH("미룸",K1062)),ISNUMBER(SEARCH("나중에",K1062)),ISNUMBER(SEARCH("보류",L1062)),ISNUMBER(SEARCH("미룸",L1062)),ISNUMBER(SEARCH("나중에",L1062))),"보류(나중에 풀기)",IF(AND(F1062="",G1062="",H1062="",I1062=""),"미완료",IF(I1062&lt;&gt;"","복습3(마스터)",IF(H1062&lt;&gt;"","복습2",IF(G1062&lt;&gt;"","복습1",IF(ISNUMBER(SEARCH("제미나이",K1062)),"복습대기(AI도움)",IF(ISNUMBER(SEARCH("간당간당",K1062)),"복습대기(간당간당)",IF(OR(ISNUMBER(SEARCH("아이디어",K1062)),ISNUMBER(SEARCH("시간초과",K1062)),ISNUMBER(SEARCH("자료구조",K1062)),ISNUMBER(SEARCH("경계값",K1062)),ISNUMBER(SEARCH("다른 풀이",K1062)),ISNUMBER(SEARCH("또풀기",K1062))),"복습대기",IF(OR(ISNUMBER(SEARCH("복습필요없음",K1062)),ISNUMBER(SEARCH("자력완벽",K1062))),"품(복습불필요)",IF(F1062&lt;&gt;"","품","미완료"))))))))))</f>
        <v/>
      </c>
      <c r="K1062" s="32" t="inlineStr">
        <is>
          <t>-</t>
        </is>
      </c>
      <c r="L1062" s="32" t="n"/>
      <c r="M1062" s="28">
        <f>IF(OR(LEFT(J1062,2)="보류", LEFT(J1062,4)="복습대기", LEFT(J1062,3)="복습1", LEFT(J1062,3)="복습2"), MAX($M$3:M1061)+1, "")</f>
        <v/>
      </c>
      <c r="N1062" s="28" t="inlineStr">
        <is>
          <t>W25</t>
        </is>
      </c>
      <c r="O1062" s="36" t="n">
        <v>46427</v>
      </c>
      <c r="P1062" s="30">
        <f>IF(F1062&lt;&gt;"","✅ 완료",IF(O1062="","-",IF(TODAY()&gt;O1062,"🚨 지연","⏳ 예정")))</f>
        <v/>
      </c>
      <c r="Q1062" s="7" t="n"/>
      <c r="R1062" s="7" t="n"/>
      <c r="S1062" s="7" t="n"/>
      <c r="T1062" s="7" t="n"/>
      <c r="U1062" s="7" t="n"/>
      <c r="V1062" s="7" t="n"/>
      <c r="W1062" s="7" t="n"/>
      <c r="X1062" s="7" t="n"/>
    </row>
    <row r="1063" ht="21.75" customHeight="1" s="209">
      <c r="A1063" s="28" t="n">
        <v>1060</v>
      </c>
      <c r="B1063" s="28" t="inlineStr">
        <is>
          <t>20051</t>
        </is>
      </c>
      <c r="C1063" s="30" t="inlineStr">
        <is>
          <t>D7</t>
        </is>
      </c>
      <c r="D1063" s="32" t="inlineStr">
        <is>
          <t>정렬 문제</t>
        </is>
      </c>
      <c r="E1063" s="28" t="inlineStr">
        <is>
          <t>최적화 / 고급 알고리즘</t>
        </is>
      </c>
      <c r="F1063" s="28" t="n"/>
      <c r="G1063" s="28" t="n"/>
      <c r="H1063" s="28" t="n"/>
      <c r="I1063" s="28" t="n"/>
      <c r="J1063" s="54">
        <f>IF(OR(ISNUMBER(SEARCH("보류",K1063)),ISNUMBER(SEARCH("미룸",K1063)),ISNUMBER(SEARCH("나중에",K1063)),ISNUMBER(SEARCH("보류",L1063)),ISNUMBER(SEARCH("미룸",L1063)),ISNUMBER(SEARCH("나중에",L1063))),"보류(나중에 풀기)",IF(AND(F1063="",G1063="",H1063="",I1063=""),"미완료",IF(I1063&lt;&gt;"","복습3(마스터)",IF(H1063&lt;&gt;"","복습2",IF(G1063&lt;&gt;"","복습1",IF(ISNUMBER(SEARCH("제미나이",K1063)),"복습대기(AI도움)",IF(ISNUMBER(SEARCH("간당간당",K1063)),"복습대기(간당간당)",IF(OR(ISNUMBER(SEARCH("아이디어",K1063)),ISNUMBER(SEARCH("시간초과",K1063)),ISNUMBER(SEARCH("자료구조",K1063)),ISNUMBER(SEARCH("경계값",K1063)),ISNUMBER(SEARCH("다른 풀이",K1063)),ISNUMBER(SEARCH("또풀기",K1063))),"복습대기",IF(OR(ISNUMBER(SEARCH("복습필요없음",K1063)),ISNUMBER(SEARCH("자력완벽",K1063))),"품(복습불필요)",IF(F1063&lt;&gt;"","품","미완료"))))))))))</f>
        <v/>
      </c>
      <c r="K1063" s="32" t="inlineStr">
        <is>
          <t>-</t>
        </is>
      </c>
      <c r="L1063" s="32" t="n"/>
      <c r="M1063" s="28">
        <f>IF(OR(LEFT(J1063,2)="보류", LEFT(J1063,4)="복습대기", LEFT(J1063,3)="복습1", LEFT(J1063,3)="복습2"), MAX($M$3:M1062)+1, "")</f>
        <v/>
      </c>
      <c r="N1063" s="28" t="inlineStr">
        <is>
          <t>W25</t>
        </is>
      </c>
      <c r="O1063" s="36" t="n">
        <v>46427</v>
      </c>
      <c r="P1063" s="30">
        <f>IF(F1063&lt;&gt;"","✅ 완료",IF(O1063="","-",IF(TODAY()&gt;O1063,"🚨 지연","⏳ 예정")))</f>
        <v/>
      </c>
      <c r="Q1063" s="7" t="n"/>
      <c r="R1063" s="7" t="n"/>
      <c r="S1063" s="7" t="n"/>
      <c r="T1063" s="7" t="n"/>
      <c r="U1063" s="7" t="n"/>
      <c r="V1063" s="7" t="n"/>
      <c r="W1063" s="7" t="n"/>
      <c r="X1063" s="7" t="n"/>
    </row>
    <row r="1064" ht="21.75" customHeight="1" s="209">
      <c r="A1064" s="28" t="n">
        <v>1061</v>
      </c>
      <c r="B1064" s="28" t="inlineStr">
        <is>
          <t>21298</t>
        </is>
      </c>
      <c r="C1064" s="30" t="inlineStr">
        <is>
          <t>D7</t>
        </is>
      </c>
      <c r="D1064" s="32" t="inlineStr">
        <is>
          <t>스코어보드가 프리즈 되었습니다</t>
        </is>
      </c>
      <c r="E1064" s="28" t="inlineStr">
        <is>
          <t>최적화 / 고급 알고리즘</t>
        </is>
      </c>
      <c r="F1064" s="28" t="n"/>
      <c r="G1064" s="28" t="n"/>
      <c r="H1064" s="28" t="n"/>
      <c r="I1064" s="28" t="n"/>
      <c r="J1064" s="54">
        <f>IF(OR(ISNUMBER(SEARCH("보류",K1064)),ISNUMBER(SEARCH("미룸",K1064)),ISNUMBER(SEARCH("나중에",K1064)),ISNUMBER(SEARCH("보류",L1064)),ISNUMBER(SEARCH("미룸",L1064)),ISNUMBER(SEARCH("나중에",L1064))),"보류(나중에 풀기)",IF(AND(F1064="",G1064="",H1064="",I1064=""),"미완료",IF(I1064&lt;&gt;"","복습3(마스터)",IF(H1064&lt;&gt;"","복습2",IF(G1064&lt;&gt;"","복습1",IF(ISNUMBER(SEARCH("제미나이",K1064)),"복습대기(AI도움)",IF(ISNUMBER(SEARCH("간당간당",K1064)),"복습대기(간당간당)",IF(OR(ISNUMBER(SEARCH("아이디어",K1064)),ISNUMBER(SEARCH("시간초과",K1064)),ISNUMBER(SEARCH("자료구조",K1064)),ISNUMBER(SEARCH("경계값",K1064)),ISNUMBER(SEARCH("다른 풀이",K1064)),ISNUMBER(SEARCH("또풀기",K1064))),"복습대기",IF(OR(ISNUMBER(SEARCH("복습필요없음",K1064)),ISNUMBER(SEARCH("자력완벽",K1064))),"품(복습불필요)",IF(F1064&lt;&gt;"","품","미완료"))))))))))</f>
        <v/>
      </c>
      <c r="K1064" s="32" t="inlineStr">
        <is>
          <t>-</t>
        </is>
      </c>
      <c r="L1064" s="32" t="n"/>
      <c r="M1064" s="28">
        <f>IF(OR(LEFT(J1064,2)="보류", LEFT(J1064,4)="복습대기", LEFT(J1064,3)="복습1", LEFT(J1064,3)="복습2"), MAX($M$3:M1063)+1, "")</f>
        <v/>
      </c>
      <c r="N1064" s="28" t="inlineStr">
        <is>
          <t>W25</t>
        </is>
      </c>
      <c r="O1064" s="36" t="n">
        <v>46427</v>
      </c>
      <c r="P1064" s="30">
        <f>IF(F1064&lt;&gt;"","✅ 완료",IF(O1064="","-",IF(TODAY()&gt;O1064,"🚨 지연","⏳ 예정")))</f>
        <v/>
      </c>
      <c r="Q1064" s="7" t="n"/>
      <c r="R1064" s="7" t="n"/>
      <c r="S1064" s="7" t="n"/>
      <c r="T1064" s="7" t="n"/>
      <c r="U1064" s="7" t="n"/>
      <c r="V1064" s="7" t="n"/>
      <c r="W1064" s="7" t="n"/>
      <c r="X1064" s="7" t="n"/>
    </row>
    <row r="1065" ht="21.75" customHeight="1" s="209">
      <c r="A1065" s="28" t="n">
        <v>1062</v>
      </c>
      <c r="B1065" s="28" t="inlineStr">
        <is>
          <t>22052</t>
        </is>
      </c>
      <c r="C1065" s="30" t="inlineStr">
        <is>
          <t>D7</t>
        </is>
      </c>
      <c r="D1065" s="32" t="inlineStr">
        <is>
          <t>볼록다각형 분할</t>
        </is>
      </c>
      <c r="E1065" s="28" t="inlineStr">
        <is>
          <t>최적화 / 고급 알고리즘</t>
        </is>
      </c>
      <c r="F1065" s="28" t="n"/>
      <c r="G1065" s="28" t="n"/>
      <c r="H1065" s="28" t="n"/>
      <c r="I1065" s="28" t="n"/>
      <c r="J1065" s="54">
        <f>IF(OR(ISNUMBER(SEARCH("보류",K1065)),ISNUMBER(SEARCH("미룸",K1065)),ISNUMBER(SEARCH("나중에",K1065)),ISNUMBER(SEARCH("보류",L1065)),ISNUMBER(SEARCH("미룸",L1065)),ISNUMBER(SEARCH("나중에",L1065))),"보류(나중에 풀기)",IF(AND(F1065="",G1065="",H1065="",I1065=""),"미완료",IF(I1065&lt;&gt;"","복습3(마스터)",IF(H1065&lt;&gt;"","복습2",IF(G1065&lt;&gt;"","복습1",IF(ISNUMBER(SEARCH("제미나이",K1065)),"복습대기(AI도움)",IF(ISNUMBER(SEARCH("간당간당",K1065)),"복습대기(간당간당)",IF(OR(ISNUMBER(SEARCH("아이디어",K1065)),ISNUMBER(SEARCH("시간초과",K1065)),ISNUMBER(SEARCH("자료구조",K1065)),ISNUMBER(SEARCH("경계값",K1065)),ISNUMBER(SEARCH("다른 풀이",K1065)),ISNUMBER(SEARCH("또풀기",K1065))),"복습대기",IF(OR(ISNUMBER(SEARCH("복습필요없음",K1065)),ISNUMBER(SEARCH("자력완벽",K1065))),"품(복습불필요)",IF(F1065&lt;&gt;"","품","미완료"))))))))))</f>
        <v/>
      </c>
      <c r="K1065" s="32" t="inlineStr">
        <is>
          <t>-</t>
        </is>
      </c>
      <c r="L1065" s="32" t="n"/>
      <c r="M1065" s="28">
        <f>IF(OR(LEFT(J1065,2)="보류", LEFT(J1065,4)="복습대기", LEFT(J1065,3)="복습1", LEFT(J1065,3)="복습2"), MAX($M$3:M1064)+1, "")</f>
        <v/>
      </c>
      <c r="N1065" s="28" t="inlineStr">
        <is>
          <t>W25</t>
        </is>
      </c>
      <c r="O1065" s="36" t="n">
        <v>46427</v>
      </c>
      <c r="P1065" s="30">
        <f>IF(F1065&lt;&gt;"","✅ 완료",IF(O1065="","-",IF(TODAY()&gt;O1065,"🚨 지연","⏳ 예정")))</f>
        <v/>
      </c>
      <c r="Q1065" s="7" t="n"/>
      <c r="R1065" s="7" t="n"/>
      <c r="S1065" s="7" t="n"/>
      <c r="T1065" s="7" t="n"/>
      <c r="U1065" s="7" t="n"/>
      <c r="V1065" s="7" t="n"/>
      <c r="W1065" s="7" t="n"/>
      <c r="X1065" s="7" t="n"/>
    </row>
    <row r="1066" ht="21.75" customHeight="1" s="209">
      <c r="A1066" s="28" t="n">
        <v>1063</v>
      </c>
      <c r="B1066" s="28" t="inlineStr">
        <is>
          <t>22578</t>
        </is>
      </c>
      <c r="C1066" s="30" t="inlineStr">
        <is>
          <t>D7</t>
        </is>
      </c>
      <c r="D1066" s="32" t="inlineStr">
        <is>
          <t>할인 쿠폰</t>
        </is>
      </c>
      <c r="E1066" s="28" t="inlineStr">
        <is>
          <t>최적화 / 고급 알고리즘</t>
        </is>
      </c>
      <c r="F1066" s="28" t="n"/>
      <c r="G1066" s="28" t="n"/>
      <c r="H1066" s="28" t="n"/>
      <c r="I1066" s="28" t="n"/>
      <c r="J1066" s="54">
        <f>IF(OR(ISNUMBER(SEARCH("보류",K1066)),ISNUMBER(SEARCH("미룸",K1066)),ISNUMBER(SEARCH("나중에",K1066)),ISNUMBER(SEARCH("보류",L1066)),ISNUMBER(SEARCH("미룸",L1066)),ISNUMBER(SEARCH("나중에",L1066))),"보류(나중에 풀기)",IF(AND(F1066="",G1066="",H1066="",I1066=""),"미완료",IF(I1066&lt;&gt;"","복습3(마스터)",IF(H1066&lt;&gt;"","복습2",IF(G1066&lt;&gt;"","복습1",IF(ISNUMBER(SEARCH("제미나이",K1066)),"복습대기(AI도움)",IF(ISNUMBER(SEARCH("간당간당",K1066)),"복습대기(간당간당)",IF(OR(ISNUMBER(SEARCH("아이디어",K1066)),ISNUMBER(SEARCH("시간초과",K1066)),ISNUMBER(SEARCH("자료구조",K1066)),ISNUMBER(SEARCH("경계값",K1066)),ISNUMBER(SEARCH("다른 풀이",K1066)),ISNUMBER(SEARCH("또풀기",K1066))),"복습대기",IF(OR(ISNUMBER(SEARCH("복습필요없음",K1066)),ISNUMBER(SEARCH("자력완벽",K1066))),"품(복습불필요)",IF(F1066&lt;&gt;"","품","미완료"))))))))))</f>
        <v/>
      </c>
      <c r="K1066" s="32" t="inlineStr">
        <is>
          <t>-</t>
        </is>
      </c>
      <c r="L1066" s="32" t="n"/>
      <c r="M1066" s="28">
        <f>IF(OR(LEFT(J1066,2)="보류", LEFT(J1066,4)="복습대기", LEFT(J1066,3)="복습1", LEFT(J1066,3)="복습2"), MAX($M$3:M1065)+1, "")</f>
        <v/>
      </c>
      <c r="N1066" s="28" t="inlineStr">
        <is>
          <t>W25</t>
        </is>
      </c>
      <c r="O1066" s="36" t="n">
        <v>46427</v>
      </c>
      <c r="P1066" s="30">
        <f>IF(F1066&lt;&gt;"","✅ 완료",IF(O1066="","-",IF(TODAY()&gt;O1066,"🚨 지연","⏳ 예정")))</f>
        <v/>
      </c>
      <c r="Q1066" s="7" t="n"/>
      <c r="R1066" s="7" t="n"/>
      <c r="S1066" s="7" t="n"/>
      <c r="T1066" s="7" t="n"/>
      <c r="U1066" s="7" t="n"/>
      <c r="V1066" s="7" t="n"/>
      <c r="W1066" s="7" t="n"/>
      <c r="X1066" s="7" t="n"/>
    </row>
    <row r="1067" ht="21.75" customHeight="1" s="209">
      <c r="A1067" s="28" t="n">
        <v>1064</v>
      </c>
      <c r="B1067" s="28" t="inlineStr">
        <is>
          <t>22762</t>
        </is>
      </c>
      <c r="C1067" s="30" t="inlineStr">
        <is>
          <t>D7</t>
        </is>
      </c>
      <c r="D1067" s="65" t="inlineStr">
        <is>
          <t>확률성 리그</t>
        </is>
      </c>
      <c r="E1067" s="28" t="inlineStr">
        <is>
          <t>최적화 / 고급 알고리즘</t>
        </is>
      </c>
      <c r="F1067" s="28" t="n"/>
      <c r="G1067" s="28" t="n"/>
      <c r="H1067" s="28" t="n"/>
      <c r="I1067" s="28" t="n"/>
      <c r="J1067" s="54">
        <f>IF(OR(ISNUMBER(SEARCH("보류",K1067)),ISNUMBER(SEARCH("미룸",K1067)),ISNUMBER(SEARCH("나중에",K1067)),ISNUMBER(SEARCH("보류",L1067)),ISNUMBER(SEARCH("미룸",L1067)),ISNUMBER(SEARCH("나중에",L1067))),"보류(나중에 풀기)",IF(AND(F1067="",G1067="",H1067="",I1067=""),"미완료",IF(I1067&lt;&gt;"","복습3(마스터)",IF(H1067&lt;&gt;"","복습2",IF(G1067&lt;&gt;"","복습1",IF(ISNUMBER(SEARCH("제미나이",K1067)),"복습대기(AI도움)",IF(ISNUMBER(SEARCH("간당간당",K1067)),"복습대기(간당간당)",IF(OR(ISNUMBER(SEARCH("아이디어",K1067)),ISNUMBER(SEARCH("시간초과",K1067)),ISNUMBER(SEARCH("자료구조",K1067)),ISNUMBER(SEARCH("경계값",K1067)),ISNUMBER(SEARCH("다른 풀이",K1067)),ISNUMBER(SEARCH("또풀기",K1067))),"복습대기",IF(OR(ISNUMBER(SEARCH("복습필요없음",K1067)),ISNUMBER(SEARCH("자력완벽",K1067))),"품(복습불필요)",IF(F1067&lt;&gt;"","품","미완료"))))))))))</f>
        <v/>
      </c>
      <c r="K1067" s="32" t="inlineStr">
        <is>
          <t>-</t>
        </is>
      </c>
      <c r="L1067" s="32" t="n"/>
      <c r="M1067" s="28">
        <f>IF(OR(LEFT(J1067,2)="보류", LEFT(J1067,4)="복습대기", LEFT(J1067,3)="복습1", LEFT(J1067,3)="복습2"), MAX($M$3:M1066)+1, "")</f>
        <v/>
      </c>
      <c r="N1067" s="28" t="inlineStr">
        <is>
          <t>W25</t>
        </is>
      </c>
      <c r="O1067" s="36" t="n">
        <v>46428</v>
      </c>
      <c r="P1067" s="30">
        <f>IF(F1067&lt;&gt;"","✅ 완료",IF(O1067="","-",IF(TODAY()&gt;O1067,"🚨 지연","⏳ 예정")))</f>
        <v/>
      </c>
      <c r="Q1067" s="7" t="n"/>
      <c r="R1067" s="7" t="n"/>
      <c r="S1067" s="7" t="n"/>
      <c r="T1067" s="7" t="n"/>
      <c r="U1067" s="7" t="n"/>
      <c r="V1067" s="7" t="n"/>
      <c r="W1067" s="7" t="n"/>
      <c r="X1067" s="7" t="n"/>
    </row>
    <row r="1068" ht="21.75" customHeight="1" s="209">
      <c r="A1068" s="28" t="n">
        <v>1065</v>
      </c>
      <c r="B1068" s="28" t="inlineStr">
        <is>
          <t>22798</t>
        </is>
      </c>
      <c r="C1068" s="30" t="inlineStr">
        <is>
          <t>D7</t>
        </is>
      </c>
      <c r="D1068" s="32" t="inlineStr">
        <is>
          <t>369 마일리지</t>
        </is>
      </c>
      <c r="E1068" s="28" t="inlineStr">
        <is>
          <t>최적화 / 고급 알고리즘</t>
        </is>
      </c>
      <c r="F1068" s="28" t="n"/>
      <c r="G1068" s="28" t="n"/>
      <c r="H1068" s="28" t="n"/>
      <c r="I1068" s="28" t="n"/>
      <c r="J1068" s="54">
        <f>IF(OR(ISNUMBER(SEARCH("보류",K1068)),ISNUMBER(SEARCH("미룸",K1068)),ISNUMBER(SEARCH("나중에",K1068)),ISNUMBER(SEARCH("보류",L1068)),ISNUMBER(SEARCH("미룸",L1068)),ISNUMBER(SEARCH("나중에",L1068))),"보류(나중에 풀기)",IF(AND(F1068="",G1068="",H1068="",I1068=""),"미완료",IF(I1068&lt;&gt;"","복습3(마스터)",IF(H1068&lt;&gt;"","복습2",IF(G1068&lt;&gt;"","복습1",IF(ISNUMBER(SEARCH("제미나이",K1068)),"복습대기(AI도움)",IF(ISNUMBER(SEARCH("간당간당",K1068)),"복습대기(간당간당)",IF(OR(ISNUMBER(SEARCH("아이디어",K1068)),ISNUMBER(SEARCH("시간초과",K1068)),ISNUMBER(SEARCH("자료구조",K1068)),ISNUMBER(SEARCH("경계값",K1068)),ISNUMBER(SEARCH("다른 풀이",K1068)),ISNUMBER(SEARCH("또풀기",K1068))),"복습대기",IF(OR(ISNUMBER(SEARCH("복습필요없음",K1068)),ISNUMBER(SEARCH("자력완벽",K1068))),"품(복습불필요)",IF(F1068&lt;&gt;"","품","미완료"))))))))))</f>
        <v/>
      </c>
      <c r="K1068" s="32" t="inlineStr">
        <is>
          <t>-</t>
        </is>
      </c>
      <c r="L1068" s="32" t="n"/>
      <c r="M1068" s="28">
        <f>IF(OR(LEFT(J1068,2)="보류", LEFT(J1068,4)="복습대기", LEFT(J1068,3)="복습1", LEFT(J1068,3)="복습2"), MAX($M$3:M1067)+1, "")</f>
        <v/>
      </c>
      <c r="N1068" s="28" t="inlineStr">
        <is>
          <t>W25</t>
        </is>
      </c>
      <c r="O1068" s="36" t="n">
        <v>46428</v>
      </c>
      <c r="P1068" s="30">
        <f>IF(F1068&lt;&gt;"","✅ 완료",IF(O1068="","-",IF(TODAY()&gt;O1068,"🚨 지연","⏳ 예정")))</f>
        <v/>
      </c>
      <c r="Q1068" s="7" t="n"/>
      <c r="R1068" s="7" t="n"/>
      <c r="S1068" s="7" t="n"/>
      <c r="T1068" s="7" t="n"/>
      <c r="U1068" s="7" t="n"/>
      <c r="V1068" s="7" t="n"/>
      <c r="W1068" s="7" t="n"/>
      <c r="X1068" s="7" t="n"/>
    </row>
    <row r="1069" ht="21.75" customHeight="1" s="209">
      <c r="A1069" s="28" t="n">
        <v>1066</v>
      </c>
      <c r="B1069" s="28" t="inlineStr">
        <is>
          <t>22982</t>
        </is>
      </c>
      <c r="C1069" s="30" t="inlineStr">
        <is>
          <t>D7</t>
        </is>
      </c>
      <c r="D1069" s="32" t="inlineStr">
        <is>
          <t>두 수의 곱셈</t>
        </is>
      </c>
      <c r="E1069" s="28" t="inlineStr">
        <is>
          <t>수학 / 정수론</t>
        </is>
      </c>
      <c r="F1069" s="28" t="n"/>
      <c r="G1069" s="28" t="n"/>
      <c r="H1069" s="28" t="n"/>
      <c r="I1069" s="28" t="n"/>
      <c r="J1069" s="54">
        <f>IF(OR(ISNUMBER(SEARCH("보류",K1069)),ISNUMBER(SEARCH("미룸",K1069)),ISNUMBER(SEARCH("나중에",K1069)),ISNUMBER(SEARCH("보류",L1069)),ISNUMBER(SEARCH("미룸",L1069)),ISNUMBER(SEARCH("나중에",L1069))),"보류(나중에 풀기)",IF(AND(F1069="",G1069="",H1069="",I1069=""),"미완료",IF(I1069&lt;&gt;"","복습3(마스터)",IF(H1069&lt;&gt;"","복습2",IF(G1069&lt;&gt;"","복습1",IF(ISNUMBER(SEARCH("제미나이",K1069)),"복습대기(AI도움)",IF(ISNUMBER(SEARCH("간당간당",K1069)),"복습대기(간당간당)",IF(OR(ISNUMBER(SEARCH("아이디어",K1069)),ISNUMBER(SEARCH("시간초과",K1069)),ISNUMBER(SEARCH("자료구조",K1069)),ISNUMBER(SEARCH("경계값",K1069)),ISNUMBER(SEARCH("다른 풀이",K1069)),ISNUMBER(SEARCH("또풀기",K1069))),"복습대기",IF(OR(ISNUMBER(SEARCH("복습필요없음",K1069)),ISNUMBER(SEARCH("자력완벽",K1069))),"품(복습불필요)",IF(F1069&lt;&gt;"","품","미완료"))))))))))</f>
        <v/>
      </c>
      <c r="K1069" s="32" t="inlineStr">
        <is>
          <t>-</t>
        </is>
      </c>
      <c r="L1069" s="32" t="n"/>
      <c r="M1069" s="28">
        <f>IF(OR(LEFT(J1069,2)="보류", LEFT(J1069,4)="복습대기", LEFT(J1069,3)="복습1", LEFT(J1069,3)="복습2"), MAX($M$3:M1068)+1, "")</f>
        <v/>
      </c>
      <c r="N1069" s="28" t="inlineStr">
        <is>
          <t>W25</t>
        </is>
      </c>
      <c r="O1069" s="36" t="n">
        <v>46428</v>
      </c>
      <c r="P1069" s="30">
        <f>IF(F1069&lt;&gt;"","✅ 완료",IF(O1069="","-",IF(TODAY()&gt;O1069,"🚨 지연","⏳ 예정")))</f>
        <v/>
      </c>
      <c r="Q1069" s="7" t="n"/>
      <c r="R1069" s="7" t="n"/>
      <c r="S1069" s="7" t="n"/>
      <c r="T1069" s="7" t="n"/>
      <c r="U1069" s="7" t="n"/>
      <c r="V1069" s="7" t="n"/>
      <c r="W1069" s="7" t="n"/>
      <c r="X1069" s="7" t="n"/>
    </row>
    <row r="1070" ht="21.75" customHeight="1" s="209">
      <c r="A1070" s="28" t="n">
        <v>1067</v>
      </c>
      <c r="B1070" s="28" t="inlineStr">
        <is>
          <t>23009</t>
        </is>
      </c>
      <c r="C1070" s="30" t="inlineStr">
        <is>
          <t>D7</t>
        </is>
      </c>
      <c r="D1070" s="32" t="inlineStr">
        <is>
          <t>연속하는 겹치는 구간의 수</t>
        </is>
      </c>
      <c r="E1070" s="28" t="inlineStr">
        <is>
          <t>최적화 / 고급 알고리즘</t>
        </is>
      </c>
      <c r="F1070" s="28" t="n"/>
      <c r="G1070" s="28" t="n"/>
      <c r="H1070" s="28" t="n"/>
      <c r="I1070" s="28" t="n"/>
      <c r="J1070" s="54">
        <f>IF(OR(ISNUMBER(SEARCH("보류",K1070)),ISNUMBER(SEARCH("미룸",K1070)),ISNUMBER(SEARCH("나중에",K1070)),ISNUMBER(SEARCH("보류",L1070)),ISNUMBER(SEARCH("미룸",L1070)),ISNUMBER(SEARCH("나중에",L1070))),"보류(나중에 풀기)",IF(AND(F1070="",G1070="",H1070="",I1070=""),"미완료",IF(I1070&lt;&gt;"","복습3(마스터)",IF(H1070&lt;&gt;"","복습2",IF(G1070&lt;&gt;"","복습1",IF(ISNUMBER(SEARCH("제미나이",K1070)),"복습대기(AI도움)",IF(ISNUMBER(SEARCH("간당간당",K1070)),"복습대기(간당간당)",IF(OR(ISNUMBER(SEARCH("아이디어",K1070)),ISNUMBER(SEARCH("시간초과",K1070)),ISNUMBER(SEARCH("자료구조",K1070)),ISNUMBER(SEARCH("경계값",K1070)),ISNUMBER(SEARCH("다른 풀이",K1070)),ISNUMBER(SEARCH("또풀기",K1070))),"복습대기",IF(OR(ISNUMBER(SEARCH("복습필요없음",K1070)),ISNUMBER(SEARCH("자력완벽",K1070))),"품(복습불필요)",IF(F1070&lt;&gt;"","품","미완료"))))))))))</f>
        <v/>
      </c>
      <c r="K1070" s="32" t="inlineStr">
        <is>
          <t>-</t>
        </is>
      </c>
      <c r="L1070" s="32" t="n"/>
      <c r="M1070" s="28">
        <f>IF(OR(LEFT(J1070,2)="보류", LEFT(J1070,4)="복습대기", LEFT(J1070,3)="복습1", LEFT(J1070,3)="복습2"), MAX($M$3:M1069)+1, "")</f>
        <v/>
      </c>
      <c r="N1070" s="28" t="inlineStr">
        <is>
          <t>W25</t>
        </is>
      </c>
      <c r="O1070" s="36" t="n">
        <v>46428</v>
      </c>
      <c r="P1070" s="30">
        <f>IF(F1070&lt;&gt;"","✅ 완료",IF(O1070="","-",IF(TODAY()&gt;O1070,"🚨 지연","⏳ 예정")))</f>
        <v/>
      </c>
      <c r="Q1070" s="7" t="n"/>
      <c r="R1070" s="7" t="n"/>
      <c r="S1070" s="7" t="n"/>
      <c r="T1070" s="7" t="n"/>
      <c r="U1070" s="7" t="n"/>
      <c r="V1070" s="7" t="n"/>
      <c r="W1070" s="7" t="n"/>
      <c r="X1070" s="7" t="n"/>
    </row>
    <row r="1071" ht="21.75" customHeight="1" s="209">
      <c r="A1071" s="28" t="n">
        <v>1068</v>
      </c>
      <c r="B1071" s="28" t="inlineStr">
        <is>
          <t>23794</t>
        </is>
      </c>
      <c r="C1071" s="30" t="inlineStr">
        <is>
          <t>D7</t>
        </is>
      </c>
      <c r="D1071" s="32" t="inlineStr">
        <is>
          <t>도시락 배달</t>
        </is>
      </c>
      <c r="E1071" s="28" t="inlineStr">
        <is>
          <t>최적화 / 고급 알고리즘</t>
        </is>
      </c>
      <c r="F1071" s="28" t="n"/>
      <c r="G1071" s="28" t="n"/>
      <c r="H1071" s="28" t="n"/>
      <c r="I1071" s="28" t="n"/>
      <c r="J1071" s="54">
        <f>IF(OR(ISNUMBER(SEARCH("보류",K1071)),ISNUMBER(SEARCH("미룸",K1071)),ISNUMBER(SEARCH("나중에",K1071)),ISNUMBER(SEARCH("보류",L1071)),ISNUMBER(SEARCH("미룸",L1071)),ISNUMBER(SEARCH("나중에",L1071))),"보류(나중에 풀기)",IF(AND(F1071="",G1071="",H1071="",I1071=""),"미완료",IF(I1071&lt;&gt;"","복습3(마스터)",IF(H1071&lt;&gt;"","복습2",IF(G1071&lt;&gt;"","복습1",IF(ISNUMBER(SEARCH("제미나이",K1071)),"복습대기(AI도움)",IF(ISNUMBER(SEARCH("간당간당",K1071)),"복습대기(간당간당)",IF(OR(ISNUMBER(SEARCH("아이디어",K1071)),ISNUMBER(SEARCH("시간초과",K1071)),ISNUMBER(SEARCH("자료구조",K1071)),ISNUMBER(SEARCH("경계값",K1071)),ISNUMBER(SEARCH("다른 풀이",K1071)),ISNUMBER(SEARCH("또풀기",K1071))),"복습대기",IF(OR(ISNUMBER(SEARCH("복습필요없음",K1071)),ISNUMBER(SEARCH("자력완벽",K1071))),"품(복습불필요)",IF(F1071&lt;&gt;"","품","미완료"))))))))))</f>
        <v/>
      </c>
      <c r="K1071" s="32" t="inlineStr">
        <is>
          <t>-</t>
        </is>
      </c>
      <c r="L1071" s="32" t="n"/>
      <c r="M1071" s="28">
        <f>IF(OR(LEFT(J1071,2)="보류", LEFT(J1071,4)="복습대기", LEFT(J1071,3)="복습1", LEFT(J1071,3)="복습2"), MAX($M$3:M1070)+1, "")</f>
        <v/>
      </c>
      <c r="N1071" s="28" t="inlineStr">
        <is>
          <t>W25</t>
        </is>
      </c>
      <c r="O1071" s="36" t="n">
        <v>46428</v>
      </c>
      <c r="P1071" s="30">
        <f>IF(F1071&lt;&gt;"","✅ 완료",IF(O1071="","-",IF(TODAY()&gt;O1071,"🚨 지연","⏳ 예정")))</f>
        <v/>
      </c>
      <c r="Q1071" s="7" t="n"/>
      <c r="R1071" s="7" t="n"/>
      <c r="S1071" s="7" t="n"/>
      <c r="T1071" s="7" t="n"/>
      <c r="U1071" s="7" t="n"/>
      <c r="V1071" s="7" t="n"/>
      <c r="W1071" s="7" t="n"/>
      <c r="X1071" s="7" t="n"/>
    </row>
    <row r="1072" ht="21.75" customHeight="1" s="209">
      <c r="A1072" s="28" t="n">
        <v>1069</v>
      </c>
      <c r="B1072" s="28" t="inlineStr">
        <is>
          <t>24005</t>
        </is>
      </c>
      <c r="C1072" s="30" t="inlineStr">
        <is>
          <t>D7</t>
        </is>
      </c>
      <c r="D1072" s="32" t="inlineStr">
        <is>
          <t>생존 구간</t>
        </is>
      </c>
      <c r="E1072" s="28" t="inlineStr">
        <is>
          <t>최적화 / 고급 알고리즘</t>
        </is>
      </c>
      <c r="F1072" s="28" t="n"/>
      <c r="G1072" s="28" t="n"/>
      <c r="H1072" s="28" t="n"/>
      <c r="I1072" s="28" t="n"/>
      <c r="J1072" s="54">
        <f>IF(OR(ISNUMBER(SEARCH("보류",K1072)),ISNUMBER(SEARCH("미룸",K1072)),ISNUMBER(SEARCH("나중에",K1072)),ISNUMBER(SEARCH("보류",L1072)),ISNUMBER(SEARCH("미룸",L1072)),ISNUMBER(SEARCH("나중에",L1072))),"보류(나중에 풀기)",IF(AND(F1072="",G1072="",H1072="",I1072=""),"미완료",IF(I1072&lt;&gt;"","복습3(마스터)",IF(H1072&lt;&gt;"","복습2",IF(G1072&lt;&gt;"","복습1",IF(ISNUMBER(SEARCH("제미나이",K1072)),"복습대기(AI도움)",IF(ISNUMBER(SEARCH("간당간당",K1072)),"복습대기(간당간당)",IF(OR(ISNUMBER(SEARCH("아이디어",K1072)),ISNUMBER(SEARCH("시간초과",K1072)),ISNUMBER(SEARCH("자료구조",K1072)),ISNUMBER(SEARCH("경계값",K1072)),ISNUMBER(SEARCH("다른 풀이",K1072)),ISNUMBER(SEARCH("또풀기",K1072))),"복습대기",IF(OR(ISNUMBER(SEARCH("복습필요없음",K1072)),ISNUMBER(SEARCH("자력완벽",K1072))),"품(복습불필요)",IF(F1072&lt;&gt;"","품","미완료"))))))))))</f>
        <v/>
      </c>
      <c r="K1072" s="32" t="inlineStr">
        <is>
          <t>-</t>
        </is>
      </c>
      <c r="L1072" s="32" t="n"/>
      <c r="M1072" s="28">
        <f>IF(OR(LEFT(J1072,2)="보류", LEFT(J1072,4)="복습대기", LEFT(J1072,3)="복습1", LEFT(J1072,3)="복습2"), MAX($M$3:M1071)+1, "")</f>
        <v/>
      </c>
      <c r="N1072" s="28" t="inlineStr">
        <is>
          <t>W25</t>
        </is>
      </c>
      <c r="O1072" s="36" t="n">
        <v>46428</v>
      </c>
      <c r="P1072" s="30">
        <f>IF(F1072&lt;&gt;"","✅ 완료",IF(O1072="","-",IF(TODAY()&gt;O1072,"🚨 지연","⏳ 예정")))</f>
        <v/>
      </c>
      <c r="Q1072" s="7" t="n"/>
      <c r="R1072" s="7" t="n"/>
      <c r="S1072" s="7" t="n"/>
      <c r="T1072" s="7" t="n"/>
      <c r="U1072" s="7" t="n"/>
      <c r="V1072" s="7" t="n"/>
      <c r="W1072" s="7" t="n"/>
      <c r="X1072" s="7" t="n"/>
    </row>
    <row r="1073" ht="21.75" customHeight="1" s="209">
      <c r="A1073" s="28" t="n">
        <v>1070</v>
      </c>
      <c r="B1073" s="28" t="inlineStr">
        <is>
          <t>24399</t>
        </is>
      </c>
      <c r="C1073" s="30" t="inlineStr">
        <is>
          <t>D7</t>
        </is>
      </c>
      <c r="D1073" s="32" t="inlineStr">
        <is>
          <t>확률과 통계</t>
        </is>
      </c>
      <c r="E1073" s="28" t="inlineStr">
        <is>
          <t>최적화 / 고급 알고리즘</t>
        </is>
      </c>
      <c r="F1073" s="28" t="n"/>
      <c r="G1073" s="28" t="n"/>
      <c r="H1073" s="28" t="n"/>
      <c r="I1073" s="28" t="n"/>
      <c r="J1073" s="54">
        <f>IF(OR(ISNUMBER(SEARCH("보류",K1073)),ISNUMBER(SEARCH("미룸",K1073)),ISNUMBER(SEARCH("나중에",K1073)),ISNUMBER(SEARCH("보류",L1073)),ISNUMBER(SEARCH("미룸",L1073)),ISNUMBER(SEARCH("나중에",L1073))),"보류(나중에 풀기)",IF(AND(F1073="",G1073="",H1073="",I1073=""),"미완료",IF(I1073&lt;&gt;"","복습3(마스터)",IF(H1073&lt;&gt;"","복습2",IF(G1073&lt;&gt;"","복습1",IF(ISNUMBER(SEARCH("제미나이",K1073)),"복습대기(AI도움)",IF(ISNUMBER(SEARCH("간당간당",K1073)),"복습대기(간당간당)",IF(OR(ISNUMBER(SEARCH("아이디어",K1073)),ISNUMBER(SEARCH("시간초과",K1073)),ISNUMBER(SEARCH("자료구조",K1073)),ISNUMBER(SEARCH("경계값",K1073)),ISNUMBER(SEARCH("다른 풀이",K1073)),ISNUMBER(SEARCH("또풀기",K1073))),"복습대기",IF(OR(ISNUMBER(SEARCH("복습필요없음",K1073)),ISNUMBER(SEARCH("자력완벽",K1073))),"품(복습불필요)",IF(F1073&lt;&gt;"","품","미완료"))))))))))</f>
        <v/>
      </c>
      <c r="K1073" s="32" t="inlineStr">
        <is>
          <t>-</t>
        </is>
      </c>
      <c r="L1073" s="32" t="n"/>
      <c r="M1073" s="28">
        <f>IF(OR(LEFT(J1073,2)="보류", LEFT(J1073,4)="복습대기", LEFT(J1073,3)="복습1", LEFT(J1073,3)="복습2"), MAX($M$3:M1072)+1, "")</f>
        <v/>
      </c>
      <c r="N1073" s="28" t="inlineStr">
        <is>
          <t>W25</t>
        </is>
      </c>
      <c r="O1073" s="36" t="n">
        <v>46428</v>
      </c>
      <c r="P1073" s="30">
        <f>IF(F1073&lt;&gt;"","✅ 완료",IF(O1073="","-",IF(TODAY()&gt;O1073,"🚨 지연","⏳ 예정")))</f>
        <v/>
      </c>
      <c r="Q1073" s="7" t="n"/>
      <c r="R1073" s="7" t="n"/>
      <c r="S1073" s="7" t="n"/>
      <c r="T1073" s="7" t="n"/>
      <c r="U1073" s="7" t="n"/>
      <c r="V1073" s="7" t="n"/>
      <c r="W1073" s="7" t="n"/>
      <c r="X1073" s="7" t="n"/>
    </row>
    <row r="1074" ht="21.75" customHeight="1" s="209">
      <c r="A1074" s="28" t="n">
        <v>1071</v>
      </c>
      <c r="B1074" s="28" t="inlineStr">
        <is>
          <t>24702</t>
        </is>
      </c>
      <c r="C1074" s="30" t="inlineStr">
        <is>
          <t>D7</t>
        </is>
      </c>
      <c r="D1074" s="32" t="inlineStr">
        <is>
          <t>2의 거듭제곱</t>
        </is>
      </c>
      <c r="E1074" s="28" t="inlineStr">
        <is>
          <t>수학 / 정수론</t>
        </is>
      </c>
      <c r="F1074" s="28" t="n"/>
      <c r="G1074" s="28" t="n"/>
      <c r="H1074" s="28" t="n"/>
      <c r="I1074" s="28" t="n"/>
      <c r="J1074" s="54">
        <f>IF(OR(ISNUMBER(SEARCH("보류",K1074)),ISNUMBER(SEARCH("미룸",K1074)),ISNUMBER(SEARCH("나중에",K1074)),ISNUMBER(SEARCH("보류",L1074)),ISNUMBER(SEARCH("미룸",L1074)),ISNUMBER(SEARCH("나중에",L1074))),"보류(나중에 풀기)",IF(AND(F1074="",G1074="",H1074="",I1074=""),"미완료",IF(I1074&lt;&gt;"","복습3(마스터)",IF(H1074&lt;&gt;"","복습2",IF(G1074&lt;&gt;"","복습1",IF(ISNUMBER(SEARCH("제미나이",K1074)),"복습대기(AI도움)",IF(ISNUMBER(SEARCH("간당간당",K1074)),"복습대기(간당간당)",IF(OR(ISNUMBER(SEARCH("아이디어",K1074)),ISNUMBER(SEARCH("시간초과",K1074)),ISNUMBER(SEARCH("자료구조",K1074)),ISNUMBER(SEARCH("경계값",K1074)),ISNUMBER(SEARCH("다른 풀이",K1074)),ISNUMBER(SEARCH("또풀기",K1074))),"복습대기",IF(OR(ISNUMBER(SEARCH("복습필요없음",K1074)),ISNUMBER(SEARCH("자력완벽",K1074))),"품(복습불필요)",IF(F1074&lt;&gt;"","품","미완료"))))))))))</f>
        <v/>
      </c>
      <c r="K1074" s="32" t="inlineStr">
        <is>
          <t>-</t>
        </is>
      </c>
      <c r="L1074" s="32" t="n"/>
      <c r="M1074" s="28">
        <f>IF(OR(LEFT(J1074,2)="보류", LEFT(J1074,4)="복습대기", LEFT(J1074,3)="복습1", LEFT(J1074,3)="복습2"), MAX($M$3:M1073)+1, "")</f>
        <v/>
      </c>
      <c r="N1074" s="28" t="inlineStr">
        <is>
          <t>W25</t>
        </is>
      </c>
      <c r="O1074" s="36" t="n">
        <v>46429</v>
      </c>
      <c r="P1074" s="30">
        <f>IF(F1074&lt;&gt;"","✅ 완료",IF(O1074="","-",IF(TODAY()&gt;O1074,"🚨 지연","⏳ 예정")))</f>
        <v/>
      </c>
      <c r="Q1074" s="7" t="n"/>
      <c r="R1074" s="7" t="n"/>
      <c r="S1074" s="7" t="n"/>
      <c r="T1074" s="7" t="n"/>
      <c r="U1074" s="7" t="n"/>
      <c r="V1074" s="7" t="n"/>
      <c r="W1074" s="7" t="n"/>
      <c r="X1074" s="7" t="n"/>
    </row>
    <row r="1075" ht="21.75" customHeight="1" s="209">
      <c r="A1075" s="28" t="n">
        <v>1072</v>
      </c>
      <c r="B1075" s="28" t="inlineStr">
        <is>
          <t>25333</t>
        </is>
      </c>
      <c r="C1075" s="30" t="inlineStr">
        <is>
          <t>D7</t>
        </is>
      </c>
      <c r="D1075" s="32" t="inlineStr">
        <is>
          <t>시너지 효과</t>
        </is>
      </c>
      <c r="E1075" s="28" t="inlineStr">
        <is>
          <t>최적화 / 고급 알고리즘</t>
        </is>
      </c>
      <c r="F1075" s="28" t="n"/>
      <c r="G1075" s="28" t="n"/>
      <c r="H1075" s="28" t="n"/>
      <c r="I1075" s="28" t="n"/>
      <c r="J1075" s="54">
        <f>IF(OR(ISNUMBER(SEARCH("보류",K1075)),ISNUMBER(SEARCH("미룸",K1075)),ISNUMBER(SEARCH("나중에",K1075)),ISNUMBER(SEARCH("보류",L1075)),ISNUMBER(SEARCH("미룸",L1075)),ISNUMBER(SEARCH("나중에",L1075))),"보류(나중에 풀기)",IF(AND(F1075="",G1075="",H1075="",I1075=""),"미완료",IF(I1075&lt;&gt;"","복습3(마스터)",IF(H1075&lt;&gt;"","복습2",IF(G1075&lt;&gt;"","복습1",IF(ISNUMBER(SEARCH("제미나이",K1075)),"복습대기(AI도움)",IF(ISNUMBER(SEARCH("간당간당",K1075)),"복습대기(간당간당)",IF(OR(ISNUMBER(SEARCH("아이디어",K1075)),ISNUMBER(SEARCH("시간초과",K1075)),ISNUMBER(SEARCH("자료구조",K1075)),ISNUMBER(SEARCH("경계값",K1075)),ISNUMBER(SEARCH("다른 풀이",K1075)),ISNUMBER(SEARCH("또풀기",K1075))),"복습대기",IF(OR(ISNUMBER(SEARCH("복습필요없음",K1075)),ISNUMBER(SEARCH("자력완벽",K1075))),"품(복습불필요)",IF(F1075&lt;&gt;"","품","미완료"))))))))))</f>
        <v/>
      </c>
      <c r="K1075" s="32" t="inlineStr">
        <is>
          <t>-</t>
        </is>
      </c>
      <c r="L1075" s="32" t="n"/>
      <c r="M1075" s="28">
        <f>IF(OR(LEFT(J1075,2)="보류", LEFT(J1075,4)="복습대기", LEFT(J1075,3)="복습1", LEFT(J1075,3)="복습2"), MAX($M$3:M1074)+1, "")</f>
        <v/>
      </c>
      <c r="N1075" s="28" t="inlineStr">
        <is>
          <t>W25</t>
        </is>
      </c>
      <c r="O1075" s="36" t="n">
        <v>46429</v>
      </c>
      <c r="P1075" s="30">
        <f>IF(F1075&lt;&gt;"","✅ 완료",IF(O1075="","-",IF(TODAY()&gt;O1075,"🚨 지연","⏳ 예정")))</f>
        <v/>
      </c>
      <c r="Q1075" s="7" t="n"/>
      <c r="R1075" s="7" t="n"/>
      <c r="S1075" s="7" t="n"/>
      <c r="T1075" s="7" t="n"/>
      <c r="U1075" s="7" t="n"/>
      <c r="V1075" s="7" t="n"/>
      <c r="W1075" s="7" t="n"/>
      <c r="X1075" s="7" t="n"/>
    </row>
    <row r="1076" ht="21.75" customHeight="1" s="209">
      <c r="A1076" s="28" t="n">
        <v>1073</v>
      </c>
      <c r="B1076" s="28" t="inlineStr">
        <is>
          <t>25478</t>
        </is>
      </c>
      <c r="C1076" s="30" t="inlineStr">
        <is>
          <t>D7</t>
        </is>
      </c>
      <c r="D1076" s="32" t="inlineStr">
        <is>
          <t>수신기 배정</t>
        </is>
      </c>
      <c r="E1076" s="28" t="inlineStr">
        <is>
          <t>최적화 / 고급 알고리즘</t>
        </is>
      </c>
      <c r="F1076" s="28" t="n"/>
      <c r="G1076" s="28" t="n"/>
      <c r="H1076" s="28" t="n"/>
      <c r="I1076" s="28" t="n"/>
      <c r="J1076" s="54">
        <f>IF(OR(ISNUMBER(SEARCH("보류",K1076)),ISNUMBER(SEARCH("미룸",K1076)),ISNUMBER(SEARCH("나중에",K1076)),ISNUMBER(SEARCH("보류",L1076)),ISNUMBER(SEARCH("미룸",L1076)),ISNUMBER(SEARCH("나중에",L1076))),"보류(나중에 풀기)",IF(AND(F1076="",G1076="",H1076="",I1076=""),"미완료",IF(I1076&lt;&gt;"","복습3(마스터)",IF(H1076&lt;&gt;"","복습2",IF(G1076&lt;&gt;"","복습1",IF(ISNUMBER(SEARCH("제미나이",K1076)),"복습대기(AI도움)",IF(ISNUMBER(SEARCH("간당간당",K1076)),"복습대기(간당간당)",IF(OR(ISNUMBER(SEARCH("아이디어",K1076)),ISNUMBER(SEARCH("시간초과",K1076)),ISNUMBER(SEARCH("자료구조",K1076)),ISNUMBER(SEARCH("경계값",K1076)),ISNUMBER(SEARCH("다른 풀이",K1076)),ISNUMBER(SEARCH("또풀기",K1076))),"복습대기",IF(OR(ISNUMBER(SEARCH("복습필요없음",K1076)),ISNUMBER(SEARCH("자력완벽",K1076))),"품(복습불필요)",IF(F1076&lt;&gt;"","품","미완료"))))))))))</f>
        <v/>
      </c>
      <c r="K1076" s="32" t="inlineStr">
        <is>
          <t>-</t>
        </is>
      </c>
      <c r="L1076" s="32" t="n"/>
      <c r="M1076" s="28">
        <f>IF(OR(LEFT(J1076,2)="보류", LEFT(J1076,4)="복습대기", LEFT(J1076,3)="복습1", LEFT(J1076,3)="복습2"), MAX($M$3:M1075)+1, "")</f>
        <v/>
      </c>
      <c r="N1076" s="28" t="inlineStr">
        <is>
          <t>W25</t>
        </is>
      </c>
      <c r="O1076" s="36" t="n">
        <v>46429</v>
      </c>
      <c r="P1076" s="30">
        <f>IF(F1076&lt;&gt;"","✅ 완료",IF(O1076="","-",IF(TODAY()&gt;O1076,"🚨 지연","⏳ 예정")))</f>
        <v/>
      </c>
      <c r="Q1076" s="7" t="n"/>
      <c r="R1076" s="7" t="n"/>
      <c r="S1076" s="7" t="n"/>
      <c r="T1076" s="7" t="n"/>
      <c r="U1076" s="7" t="n"/>
      <c r="V1076" s="7" t="n"/>
      <c r="W1076" s="7" t="n"/>
      <c r="X1076" s="7" t="n"/>
    </row>
    <row r="1077" ht="21.75" customHeight="1" s="209">
      <c r="A1077" s="28" t="n">
        <v>1074</v>
      </c>
      <c r="B1077" s="28" t="inlineStr">
        <is>
          <t>25660</t>
        </is>
      </c>
      <c r="C1077" s="30" t="inlineStr">
        <is>
          <t>D7</t>
        </is>
      </c>
      <c r="D1077" s="32" t="inlineStr">
        <is>
          <t>산타의 선물</t>
        </is>
      </c>
      <c r="E1077" s="28" t="inlineStr">
        <is>
          <t>최적화 / 고급 알고리즘</t>
        </is>
      </c>
      <c r="F1077" s="28" t="n"/>
      <c r="G1077" s="28" t="n"/>
      <c r="H1077" s="28" t="n"/>
      <c r="I1077" s="28" t="n"/>
      <c r="J1077" s="54">
        <f>IF(OR(ISNUMBER(SEARCH("보류",K1077)),ISNUMBER(SEARCH("미룸",K1077)),ISNUMBER(SEARCH("나중에",K1077)),ISNUMBER(SEARCH("보류",L1077)),ISNUMBER(SEARCH("미룸",L1077)),ISNUMBER(SEARCH("나중에",L1077))),"보류(나중에 풀기)",IF(AND(F1077="",G1077="",H1077="",I1077=""),"미완료",IF(I1077&lt;&gt;"","복습3(마스터)",IF(H1077&lt;&gt;"","복습2",IF(G1077&lt;&gt;"","복습1",IF(ISNUMBER(SEARCH("제미나이",K1077)),"복습대기(AI도움)",IF(ISNUMBER(SEARCH("간당간당",K1077)),"복습대기(간당간당)",IF(OR(ISNUMBER(SEARCH("아이디어",K1077)),ISNUMBER(SEARCH("시간초과",K1077)),ISNUMBER(SEARCH("자료구조",K1077)),ISNUMBER(SEARCH("경계값",K1077)),ISNUMBER(SEARCH("다른 풀이",K1077)),ISNUMBER(SEARCH("또풀기",K1077))),"복습대기",IF(OR(ISNUMBER(SEARCH("복습필요없음",K1077)),ISNUMBER(SEARCH("자력완벽",K1077))),"품(복습불필요)",IF(F1077&lt;&gt;"","품","미완료"))))))))))</f>
        <v/>
      </c>
      <c r="K1077" s="32" t="inlineStr">
        <is>
          <t>-</t>
        </is>
      </c>
      <c r="L1077" s="32" t="n"/>
      <c r="M1077" s="28">
        <f>IF(OR(LEFT(J1077,2)="보류", LEFT(J1077,4)="복습대기", LEFT(J1077,3)="복습1", LEFT(J1077,3)="복습2"), MAX($M$3:M1076)+1, "")</f>
        <v/>
      </c>
      <c r="N1077" s="28" t="inlineStr">
        <is>
          <t>W25</t>
        </is>
      </c>
      <c r="O1077" s="36" t="n">
        <v>46429</v>
      </c>
      <c r="P1077" s="30">
        <f>IF(F1077&lt;&gt;"","✅ 완료",IF(O1077="","-",IF(TODAY()&gt;O1077,"🚨 지연","⏳ 예정")))</f>
        <v/>
      </c>
      <c r="Q1077" s="7" t="n"/>
      <c r="R1077" s="7" t="n"/>
      <c r="S1077" s="7" t="n"/>
      <c r="T1077" s="7" t="n"/>
      <c r="U1077" s="7" t="n"/>
      <c r="V1077" s="7" t="n"/>
      <c r="W1077" s="7" t="n"/>
      <c r="X1077" s="7" t="n"/>
    </row>
    <row r="1078" ht="21.75" customHeight="1" s="209">
      <c r="A1078" s="28" t="n">
        <v>1075</v>
      </c>
      <c r="B1078" s="28" t="inlineStr">
        <is>
          <t>25699</t>
        </is>
      </c>
      <c r="C1078" s="30" t="inlineStr">
        <is>
          <t>D7</t>
        </is>
      </c>
      <c r="D1078" s="32" t="inlineStr">
        <is>
          <t>타일링</t>
        </is>
      </c>
      <c r="E1078" s="28" t="inlineStr">
        <is>
          <t>최적화 / 고급 알고리즘</t>
        </is>
      </c>
      <c r="F1078" s="28" t="n"/>
      <c r="G1078" s="28" t="n"/>
      <c r="H1078" s="28" t="n"/>
      <c r="I1078" s="28" t="n"/>
      <c r="J1078" s="54">
        <f>IF(OR(ISNUMBER(SEARCH("보류",K1078)),ISNUMBER(SEARCH("미룸",K1078)),ISNUMBER(SEARCH("나중에",K1078)),ISNUMBER(SEARCH("보류",L1078)),ISNUMBER(SEARCH("미룸",L1078)),ISNUMBER(SEARCH("나중에",L1078))),"보류(나중에 풀기)",IF(AND(F1078="",G1078="",H1078="",I1078=""),"미완료",IF(I1078&lt;&gt;"","복습3(마스터)",IF(H1078&lt;&gt;"","복습2",IF(G1078&lt;&gt;"","복습1",IF(ISNUMBER(SEARCH("제미나이",K1078)),"복습대기(AI도움)",IF(ISNUMBER(SEARCH("간당간당",K1078)),"복습대기(간당간당)",IF(OR(ISNUMBER(SEARCH("아이디어",K1078)),ISNUMBER(SEARCH("시간초과",K1078)),ISNUMBER(SEARCH("자료구조",K1078)),ISNUMBER(SEARCH("경계값",K1078)),ISNUMBER(SEARCH("다른 풀이",K1078)),ISNUMBER(SEARCH("또풀기",K1078))),"복습대기",IF(OR(ISNUMBER(SEARCH("복습필요없음",K1078)),ISNUMBER(SEARCH("자력완벽",K1078))),"품(복습불필요)",IF(F1078&lt;&gt;"","품","미완료"))))))))))</f>
        <v/>
      </c>
      <c r="K1078" s="32" t="inlineStr">
        <is>
          <t>-</t>
        </is>
      </c>
      <c r="L1078" s="32" t="n"/>
      <c r="M1078" s="28">
        <f>IF(OR(LEFT(J1078,2)="보류", LEFT(J1078,4)="복습대기", LEFT(J1078,3)="복습1", LEFT(J1078,3)="복습2"), MAX($M$3:M1077)+1, "")</f>
        <v/>
      </c>
      <c r="N1078" s="28" t="inlineStr">
        <is>
          <t>W25</t>
        </is>
      </c>
      <c r="O1078" s="36" t="n">
        <v>46429</v>
      </c>
      <c r="P1078" s="30">
        <f>IF(F1078&lt;&gt;"","✅ 완료",IF(O1078="","-",IF(TODAY()&gt;O1078,"🚨 지연","⏳ 예정")))</f>
        <v/>
      </c>
      <c r="Q1078" s="7" t="n"/>
      <c r="R1078" s="7" t="n"/>
      <c r="S1078" s="7" t="n"/>
      <c r="T1078" s="7" t="n"/>
      <c r="U1078" s="7" t="n"/>
      <c r="V1078" s="7" t="n"/>
      <c r="W1078" s="7" t="n"/>
      <c r="X1078" s="7" t="n"/>
    </row>
    <row r="1079" ht="21.75" customHeight="1" s="209">
      <c r="A1079" s="28" t="n">
        <v>1076</v>
      </c>
      <c r="B1079" s="28" t="inlineStr">
        <is>
          <t>25841</t>
        </is>
      </c>
      <c r="C1079" s="30" t="inlineStr">
        <is>
          <t>D7</t>
        </is>
      </c>
      <c r="D1079" s="32" t="inlineStr">
        <is>
          <t>자매 결연</t>
        </is>
      </c>
      <c r="E1079" s="28" t="inlineStr">
        <is>
          <t>최적화 / 고급 알고리즘</t>
        </is>
      </c>
      <c r="F1079" s="28" t="n"/>
      <c r="G1079" s="28" t="n"/>
      <c r="H1079" s="28" t="n"/>
      <c r="I1079" s="28" t="n"/>
      <c r="J1079" s="54">
        <f>IF(OR(ISNUMBER(SEARCH("보류",K1079)),ISNUMBER(SEARCH("미룸",K1079)),ISNUMBER(SEARCH("나중에",K1079)),ISNUMBER(SEARCH("보류",L1079)),ISNUMBER(SEARCH("미룸",L1079)),ISNUMBER(SEARCH("나중에",L1079))),"보류(나중에 풀기)",IF(AND(F1079="",G1079="",H1079="",I1079=""),"미완료",IF(I1079&lt;&gt;"","복습3(마스터)",IF(H1079&lt;&gt;"","복습2",IF(G1079&lt;&gt;"","복습1",IF(ISNUMBER(SEARCH("제미나이",K1079)),"복습대기(AI도움)",IF(ISNUMBER(SEARCH("간당간당",K1079)),"복습대기(간당간당)",IF(OR(ISNUMBER(SEARCH("아이디어",K1079)),ISNUMBER(SEARCH("시간초과",K1079)),ISNUMBER(SEARCH("자료구조",K1079)),ISNUMBER(SEARCH("경계값",K1079)),ISNUMBER(SEARCH("다른 풀이",K1079)),ISNUMBER(SEARCH("또풀기",K1079))),"복습대기",IF(OR(ISNUMBER(SEARCH("복습필요없음",K1079)),ISNUMBER(SEARCH("자력완벽",K1079))),"품(복습불필요)",IF(F1079&lt;&gt;"","품","미완료"))))))))))</f>
        <v/>
      </c>
      <c r="K1079" s="32" t="inlineStr">
        <is>
          <t>-</t>
        </is>
      </c>
      <c r="L1079" s="32" t="n"/>
      <c r="M1079" s="28">
        <f>IF(OR(LEFT(J1079,2)="보류", LEFT(J1079,4)="복습대기", LEFT(J1079,3)="복습1", LEFT(J1079,3)="복습2"), MAX($M$3:M1078)+1, "")</f>
        <v/>
      </c>
      <c r="N1079" s="28" t="inlineStr">
        <is>
          <t>W25</t>
        </is>
      </c>
      <c r="O1079" s="36" t="n">
        <v>46429</v>
      </c>
      <c r="P1079" s="30">
        <f>IF(F1079&lt;&gt;"","✅ 완료",IF(O1079="","-",IF(TODAY()&gt;O1079,"🚨 지연","⏳ 예정")))</f>
        <v/>
      </c>
      <c r="Q1079" s="7" t="n"/>
      <c r="R1079" s="7" t="n"/>
      <c r="S1079" s="7" t="n"/>
      <c r="T1079" s="7" t="n"/>
      <c r="U1079" s="7" t="n"/>
      <c r="V1079" s="7" t="n"/>
      <c r="W1079" s="7" t="n"/>
      <c r="X1079" s="7" t="n"/>
    </row>
    <row r="1080" ht="21.75" customHeight="1" s="209">
      <c r="A1080" s="28" t="n">
        <v>1077</v>
      </c>
      <c r="B1080" s="28" t="inlineStr">
        <is>
          <t>26013</t>
        </is>
      </c>
      <c r="C1080" s="30" t="inlineStr">
        <is>
          <t>D7</t>
        </is>
      </c>
      <c r="D1080" s="32" t="inlineStr">
        <is>
          <t>비숍</t>
        </is>
      </c>
      <c r="E1080" s="28" t="inlineStr">
        <is>
          <t>최적화 / 고급 알고리즘</t>
        </is>
      </c>
      <c r="F1080" s="28" t="n"/>
      <c r="G1080" s="28" t="n"/>
      <c r="H1080" s="28" t="n"/>
      <c r="I1080" s="28" t="n"/>
      <c r="J1080" s="54">
        <f>IF(OR(ISNUMBER(SEARCH("보류",K1080)),ISNUMBER(SEARCH("미룸",K1080)),ISNUMBER(SEARCH("나중에",K1080)),ISNUMBER(SEARCH("보류",L1080)),ISNUMBER(SEARCH("미룸",L1080)),ISNUMBER(SEARCH("나중에",L1080))),"보류(나중에 풀기)",IF(AND(F1080="",G1080="",H1080="",I1080=""),"미완료",IF(I1080&lt;&gt;"","복습3(마스터)",IF(H1080&lt;&gt;"","복습2",IF(G1080&lt;&gt;"","복습1",IF(ISNUMBER(SEARCH("제미나이",K1080)),"복습대기(AI도움)",IF(ISNUMBER(SEARCH("간당간당",K1080)),"복습대기(간당간당)",IF(OR(ISNUMBER(SEARCH("아이디어",K1080)),ISNUMBER(SEARCH("시간초과",K1080)),ISNUMBER(SEARCH("자료구조",K1080)),ISNUMBER(SEARCH("경계값",K1080)),ISNUMBER(SEARCH("다른 풀이",K1080)),ISNUMBER(SEARCH("또풀기",K1080))),"복습대기",IF(OR(ISNUMBER(SEARCH("복습필요없음",K1080)),ISNUMBER(SEARCH("자력완벽",K1080))),"품(복습불필요)",IF(F1080&lt;&gt;"","품","미완료"))))))))))</f>
        <v/>
      </c>
      <c r="K1080" s="32" t="inlineStr">
        <is>
          <t>-</t>
        </is>
      </c>
      <c r="L1080" s="32" t="n"/>
      <c r="M1080" s="28">
        <f>IF(OR(LEFT(J1080,2)="보류", LEFT(J1080,4)="복습대기", LEFT(J1080,3)="복습1", LEFT(J1080,3)="복습2"), MAX($M$3:M1079)+1, "")</f>
        <v/>
      </c>
      <c r="N1080" s="28" t="inlineStr">
        <is>
          <t>W25</t>
        </is>
      </c>
      <c r="O1080" s="36" t="n">
        <v>46429</v>
      </c>
      <c r="P1080" s="30">
        <f>IF(F1080&lt;&gt;"","✅ 완료",IF(O1080="","-",IF(TODAY()&gt;O1080,"🚨 지연","⏳ 예정")))</f>
        <v/>
      </c>
      <c r="Q1080" s="7" t="n"/>
      <c r="R1080" s="7" t="n"/>
      <c r="S1080" s="7" t="n"/>
      <c r="T1080" s="7" t="n"/>
      <c r="U1080" s="7" t="n"/>
      <c r="V1080" s="7" t="n"/>
      <c r="W1080" s="7" t="n"/>
      <c r="X1080" s="7" t="n"/>
    </row>
    <row r="1081" ht="21.75" customHeight="1" s="209">
      <c r="A1081" s="28" t="n">
        <v>1078</v>
      </c>
      <c r="B1081" s="28" t="inlineStr">
        <is>
          <t>26392</t>
        </is>
      </c>
      <c r="C1081" s="30" t="inlineStr">
        <is>
          <t>D7</t>
        </is>
      </c>
      <c r="D1081" s="32" t="inlineStr">
        <is>
          <t>지루하지 않은 통신사</t>
        </is>
      </c>
      <c r="E1081" s="28" t="inlineStr">
        <is>
          <t>최적화 / 고급 알고리즘</t>
        </is>
      </c>
      <c r="F1081" s="28" t="n"/>
      <c r="G1081" s="28" t="n"/>
      <c r="H1081" s="28" t="n"/>
      <c r="I1081" s="28" t="n"/>
      <c r="J1081" s="54">
        <f>IF(OR(ISNUMBER(SEARCH("보류",K1081)),ISNUMBER(SEARCH("미룸",K1081)),ISNUMBER(SEARCH("나중에",K1081)),ISNUMBER(SEARCH("보류",L1081)),ISNUMBER(SEARCH("미룸",L1081)),ISNUMBER(SEARCH("나중에",L1081))),"보류(나중에 풀기)",IF(AND(F1081="",G1081="",H1081="",I1081=""),"미완료",IF(I1081&lt;&gt;"","복습3(마스터)",IF(H1081&lt;&gt;"","복습2",IF(G1081&lt;&gt;"","복습1",IF(ISNUMBER(SEARCH("제미나이",K1081)),"복습대기(AI도움)",IF(ISNUMBER(SEARCH("간당간당",K1081)),"복습대기(간당간당)",IF(OR(ISNUMBER(SEARCH("아이디어",K1081)),ISNUMBER(SEARCH("시간초과",K1081)),ISNUMBER(SEARCH("자료구조",K1081)),ISNUMBER(SEARCH("경계값",K1081)),ISNUMBER(SEARCH("다른 풀이",K1081)),ISNUMBER(SEARCH("또풀기",K1081))),"복습대기",IF(OR(ISNUMBER(SEARCH("복습필요없음",K1081)),ISNUMBER(SEARCH("자력완벽",K1081))),"품(복습불필요)",IF(F1081&lt;&gt;"","품","미완료"))))))))))</f>
        <v/>
      </c>
      <c r="K1081" s="32" t="inlineStr">
        <is>
          <t>-</t>
        </is>
      </c>
      <c r="L1081" s="32" t="n"/>
      <c r="M1081" s="28">
        <f>IF(OR(LEFT(J1081,2)="보류", LEFT(J1081,4)="복습대기", LEFT(J1081,3)="복습1", LEFT(J1081,3)="복습2"), MAX($M$3:M1080)+1, "")</f>
        <v/>
      </c>
      <c r="N1081" s="28" t="inlineStr">
        <is>
          <t>W25</t>
        </is>
      </c>
      <c r="O1081" s="36" t="n">
        <v>46430</v>
      </c>
      <c r="P1081" s="30">
        <f>IF(F1081&lt;&gt;"","✅ 완료",IF(O1081="","-",IF(TODAY()&gt;O1081,"🚨 지연","⏳ 예정")))</f>
        <v/>
      </c>
      <c r="Q1081" s="7" t="n"/>
      <c r="R1081" s="7" t="n"/>
      <c r="S1081" s="7" t="n"/>
      <c r="T1081" s="7" t="n"/>
      <c r="U1081" s="7" t="n"/>
      <c r="V1081" s="7" t="n"/>
      <c r="W1081" s="7" t="n"/>
      <c r="X1081" s="7" t="n"/>
    </row>
    <row r="1082" ht="21.75" customHeight="1" s="209">
      <c r="A1082" s="28" t="n">
        <v>1079</v>
      </c>
      <c r="B1082" s="28" t="inlineStr">
        <is>
          <t>26506</t>
        </is>
      </c>
      <c r="C1082" s="30" t="inlineStr">
        <is>
          <t>D7</t>
        </is>
      </c>
      <c r="D1082" s="32" t="inlineStr">
        <is>
          <t>금고 열기</t>
        </is>
      </c>
      <c r="E1082" s="28" t="inlineStr">
        <is>
          <t>최적화 / 고급 알고리즘</t>
        </is>
      </c>
      <c r="F1082" s="28" t="n"/>
      <c r="G1082" s="28" t="n"/>
      <c r="H1082" s="28" t="n"/>
      <c r="I1082" s="28" t="n"/>
      <c r="J1082" s="54">
        <f>IF(OR(ISNUMBER(SEARCH("보류",K1082)),ISNUMBER(SEARCH("미룸",K1082)),ISNUMBER(SEARCH("나중에",K1082)),ISNUMBER(SEARCH("보류",L1082)),ISNUMBER(SEARCH("미룸",L1082)),ISNUMBER(SEARCH("나중에",L1082))),"보류(나중에 풀기)",IF(AND(F1082="",G1082="",H1082="",I1082=""),"미완료",IF(I1082&lt;&gt;"","복습3(마스터)",IF(H1082&lt;&gt;"","복습2",IF(G1082&lt;&gt;"","복습1",IF(ISNUMBER(SEARCH("제미나이",K1082)),"복습대기(AI도움)",IF(ISNUMBER(SEARCH("간당간당",K1082)),"복습대기(간당간당)",IF(OR(ISNUMBER(SEARCH("아이디어",K1082)),ISNUMBER(SEARCH("시간초과",K1082)),ISNUMBER(SEARCH("자료구조",K1082)),ISNUMBER(SEARCH("경계값",K1082)),ISNUMBER(SEARCH("다른 풀이",K1082)),ISNUMBER(SEARCH("또풀기",K1082))),"복습대기",IF(OR(ISNUMBER(SEARCH("복습필요없음",K1082)),ISNUMBER(SEARCH("자력완벽",K1082))),"품(복습불필요)",IF(F1082&lt;&gt;"","품","미완료"))))))))))</f>
        <v/>
      </c>
      <c r="K1082" s="32" t="inlineStr">
        <is>
          <t>-</t>
        </is>
      </c>
      <c r="L1082" s="32" t="n"/>
      <c r="M1082" s="28">
        <f>IF(OR(LEFT(J1082,2)="보류", LEFT(J1082,4)="복습대기", LEFT(J1082,3)="복습1", LEFT(J1082,3)="복습2"), MAX($M$3:M1081)+1, "")</f>
        <v/>
      </c>
      <c r="N1082" s="28" t="inlineStr">
        <is>
          <t>W25</t>
        </is>
      </c>
      <c r="O1082" s="36" t="n">
        <v>46430</v>
      </c>
      <c r="P1082" s="30">
        <f>IF(F1082&lt;&gt;"","✅ 완료",IF(O1082="","-",IF(TODAY()&gt;O1082,"🚨 지연","⏳ 예정")))</f>
        <v/>
      </c>
      <c r="Q1082" s="7" t="n"/>
      <c r="R1082" s="7" t="n"/>
      <c r="S1082" s="7" t="n"/>
      <c r="T1082" s="7" t="n"/>
      <c r="U1082" s="7" t="n"/>
      <c r="V1082" s="7" t="n"/>
      <c r="W1082" s="7" t="n"/>
      <c r="X1082" s="7" t="n"/>
    </row>
    <row r="1083" ht="21.75" customHeight="1" s="209">
      <c r="A1083" s="28" t="n">
        <v>1080</v>
      </c>
      <c r="B1083" s="28" t="inlineStr">
        <is>
          <t>26796</t>
        </is>
      </c>
      <c r="C1083" s="30" t="inlineStr">
        <is>
          <t>D7</t>
        </is>
      </c>
      <c r="D1083" s="32" t="inlineStr">
        <is>
          <t>겨울 나기</t>
        </is>
      </c>
      <c r="E1083" s="28" t="inlineStr">
        <is>
          <t>최적화 / 고급 알고리즘</t>
        </is>
      </c>
      <c r="F1083" s="28" t="n"/>
      <c r="G1083" s="28" t="n"/>
      <c r="H1083" s="28" t="n"/>
      <c r="I1083" s="28" t="n"/>
      <c r="J1083" s="54">
        <f>IF(OR(ISNUMBER(SEARCH("보류",K1083)),ISNUMBER(SEARCH("미룸",K1083)),ISNUMBER(SEARCH("나중에",K1083)),ISNUMBER(SEARCH("보류",L1083)),ISNUMBER(SEARCH("미룸",L1083)),ISNUMBER(SEARCH("나중에",L1083))),"보류(나중에 풀기)",IF(AND(F1083="",G1083="",H1083="",I1083=""),"미완료",IF(I1083&lt;&gt;"","복습3(마스터)",IF(H1083&lt;&gt;"","복습2",IF(G1083&lt;&gt;"","복습1",IF(ISNUMBER(SEARCH("제미나이",K1083)),"복습대기(AI도움)",IF(ISNUMBER(SEARCH("간당간당",K1083)),"복습대기(간당간당)",IF(OR(ISNUMBER(SEARCH("아이디어",K1083)),ISNUMBER(SEARCH("시간초과",K1083)),ISNUMBER(SEARCH("자료구조",K1083)),ISNUMBER(SEARCH("경계값",K1083)),ISNUMBER(SEARCH("다른 풀이",K1083)),ISNUMBER(SEARCH("또풀기",K1083))),"복습대기",IF(OR(ISNUMBER(SEARCH("복습필요없음",K1083)),ISNUMBER(SEARCH("자력완벽",K1083))),"품(복습불필요)",IF(F1083&lt;&gt;"","품","미완료"))))))))))</f>
        <v/>
      </c>
      <c r="K1083" s="32" t="inlineStr">
        <is>
          <t>-</t>
        </is>
      </c>
      <c r="L1083" s="32" t="n"/>
      <c r="M1083" s="28">
        <f>IF(OR(LEFT(J1083,2)="보류", LEFT(J1083,4)="복습대기", LEFT(J1083,3)="복습1", LEFT(J1083,3)="복습2"), MAX($M$3:M1082)+1, "")</f>
        <v/>
      </c>
      <c r="N1083" s="28" t="inlineStr">
        <is>
          <t>W25</t>
        </is>
      </c>
      <c r="O1083" s="36" t="n">
        <v>46430</v>
      </c>
      <c r="P1083" s="30">
        <f>IF(F1083&lt;&gt;"","✅ 완료",IF(O1083="","-",IF(TODAY()&gt;O1083,"🚨 지연","⏳ 예정")))</f>
        <v/>
      </c>
      <c r="Q1083" s="7" t="n"/>
      <c r="R1083" s="7" t="n"/>
      <c r="S1083" s="7" t="n"/>
      <c r="T1083" s="7" t="n"/>
      <c r="U1083" s="7" t="n"/>
      <c r="V1083" s="7" t="n"/>
      <c r="W1083" s="7" t="n"/>
      <c r="X1083" s="7" t="n"/>
    </row>
    <row r="1084" ht="21.75" customHeight="1" s="209">
      <c r="A1084" s="28" t="n">
        <v>1081</v>
      </c>
      <c r="B1084" s="28" t="inlineStr">
        <is>
          <t>26842</t>
        </is>
      </c>
      <c r="C1084" s="30" t="inlineStr">
        <is>
          <t>D7</t>
        </is>
      </c>
      <c r="D1084" s="32" t="inlineStr">
        <is>
          <t>텐서 곱 스패닝 트리</t>
        </is>
      </c>
      <c r="E1084" s="28" t="inlineStr">
        <is>
          <t>트리 / 힙 / 세그먼트트리</t>
        </is>
      </c>
      <c r="F1084" s="28" t="n"/>
      <c r="G1084" s="28" t="n"/>
      <c r="H1084" s="28" t="n"/>
      <c r="I1084" s="28" t="n"/>
      <c r="J1084" s="54">
        <f>IF(OR(ISNUMBER(SEARCH("보류",K1084)),ISNUMBER(SEARCH("미룸",K1084)),ISNUMBER(SEARCH("나중에",K1084)),ISNUMBER(SEARCH("보류",L1084)),ISNUMBER(SEARCH("미룸",L1084)),ISNUMBER(SEARCH("나중에",L1084))),"보류(나중에 풀기)",IF(AND(F1084="",G1084="",H1084="",I1084=""),"미완료",IF(I1084&lt;&gt;"","복습3(마스터)",IF(H1084&lt;&gt;"","복습2",IF(G1084&lt;&gt;"","복습1",IF(ISNUMBER(SEARCH("제미나이",K1084)),"복습대기(AI도움)",IF(ISNUMBER(SEARCH("간당간당",K1084)),"복습대기(간당간당)",IF(OR(ISNUMBER(SEARCH("아이디어",K1084)),ISNUMBER(SEARCH("시간초과",K1084)),ISNUMBER(SEARCH("자료구조",K1084)),ISNUMBER(SEARCH("경계값",K1084)),ISNUMBER(SEARCH("다른 풀이",K1084)),ISNUMBER(SEARCH("또풀기",K1084))),"복습대기",IF(OR(ISNUMBER(SEARCH("복습필요없음",K1084)),ISNUMBER(SEARCH("자력완벽",K1084))),"품(복습불필요)",IF(F1084&lt;&gt;"","품","미완료"))))))))))</f>
        <v/>
      </c>
      <c r="K1084" s="32" t="inlineStr">
        <is>
          <t>-</t>
        </is>
      </c>
      <c r="L1084" s="32" t="n"/>
      <c r="M1084" s="28">
        <f>IF(OR(LEFT(J1084,2)="보류", LEFT(J1084,4)="복습대기", LEFT(J1084,3)="복습1", LEFT(J1084,3)="복습2"), MAX($M$3:M1083)+1, "")</f>
        <v/>
      </c>
      <c r="N1084" s="28" t="inlineStr">
        <is>
          <t>W25</t>
        </is>
      </c>
      <c r="O1084" s="36" t="n">
        <v>46430</v>
      </c>
      <c r="P1084" s="30">
        <f>IF(F1084&lt;&gt;"","✅ 완료",IF(O1084="","-",IF(TODAY()&gt;O1084,"🚨 지연","⏳ 예정")))</f>
        <v/>
      </c>
      <c r="Q1084" s="7" t="n"/>
      <c r="R1084" s="7" t="n"/>
      <c r="S1084" s="7" t="n"/>
      <c r="T1084" s="7" t="n"/>
      <c r="U1084" s="7" t="n"/>
      <c r="V1084" s="7" t="n"/>
      <c r="W1084" s="7" t="n"/>
      <c r="X1084" s="7" t="n"/>
    </row>
    <row r="1085" ht="21.75" customHeight="1" s="209">
      <c r="A1085" s="28" t="n">
        <v>1082</v>
      </c>
      <c r="B1085" s="28" t="inlineStr">
        <is>
          <t>18578</t>
        </is>
      </c>
      <c r="C1085" s="30" t="inlineStr">
        <is>
          <t>D8</t>
        </is>
      </c>
      <c r="D1085" s="32" t="inlineStr">
        <is>
          <t>Gravity_실습</t>
        </is>
      </c>
      <c r="E1085" s="28" t="inlineStr">
        <is>
          <t>최적화 / 고급 알고리즘</t>
        </is>
      </c>
      <c r="F1085" s="28" t="n"/>
      <c r="G1085" s="28" t="n"/>
      <c r="H1085" s="28" t="n"/>
      <c r="I1085" s="28" t="n"/>
      <c r="J1085" s="54">
        <f>IF(OR(ISNUMBER(SEARCH("보류",K1085)),ISNUMBER(SEARCH("미룸",K1085)),ISNUMBER(SEARCH("나중에",K1085)),ISNUMBER(SEARCH("보류",L1085)),ISNUMBER(SEARCH("미룸",L1085)),ISNUMBER(SEARCH("나중에",L1085))),"보류(나중에 풀기)",IF(AND(F1085="",G1085="",H1085="",I1085=""),"미완료",IF(I1085&lt;&gt;"","복습3(마스터)",IF(H1085&lt;&gt;"","복습2",IF(G1085&lt;&gt;"","복습1",IF(ISNUMBER(SEARCH("제미나이",K1085)),"복습대기(AI도움)",IF(ISNUMBER(SEARCH("간당간당",K1085)),"복습대기(간당간당)",IF(OR(ISNUMBER(SEARCH("아이디어",K1085)),ISNUMBER(SEARCH("시간초과",K1085)),ISNUMBER(SEARCH("자료구조",K1085)),ISNUMBER(SEARCH("경계값",K1085)),ISNUMBER(SEARCH("다른 풀이",K1085)),ISNUMBER(SEARCH("또풀기",K1085))),"복습대기",IF(OR(ISNUMBER(SEARCH("복습필요없음",K1085)),ISNUMBER(SEARCH("자력완벽",K1085))),"품(복습불필요)",IF(F1085&lt;&gt;"","품","미완료"))))))))))</f>
        <v/>
      </c>
      <c r="K1085" s="32" t="inlineStr">
        <is>
          <t>-</t>
        </is>
      </c>
      <c r="L1085" s="32" t="n"/>
      <c r="M1085" s="28">
        <f>IF(OR(LEFT(J1085,2)="보류", LEFT(J1085,4)="복습대기", LEFT(J1085,3)="복습1", LEFT(J1085,3)="복습2"), MAX($M$3:M1084)+1, "")</f>
        <v/>
      </c>
      <c r="N1085" s="28" t="inlineStr">
        <is>
          <t>W25</t>
        </is>
      </c>
      <c r="O1085" s="36" t="n">
        <v>46430</v>
      </c>
      <c r="P1085" s="30">
        <f>IF(F1085&lt;&gt;"","✅ 완료",IF(O1085="","-",IF(TODAY()&gt;O1085,"🚨 지연","⏳ 예정")))</f>
        <v/>
      </c>
      <c r="Q1085" s="7" t="n"/>
      <c r="R1085" s="7" t="n"/>
      <c r="S1085" s="7" t="n"/>
      <c r="T1085" s="7" t="n"/>
      <c r="U1085" s="7" t="n"/>
      <c r="V1085" s="7" t="n"/>
      <c r="W1085" s="7" t="n"/>
      <c r="X1085" s="7" t="n"/>
    </row>
    <row r="1086" ht="21.75" customHeight="1" s="209">
      <c r="A1086" s="28" t="n">
        <v>1083</v>
      </c>
      <c r="B1086" s="28" t="inlineStr">
        <is>
          <t>9853</t>
        </is>
      </c>
      <c r="C1086" s="30" t="inlineStr">
        <is>
          <t>D8</t>
        </is>
      </c>
      <c r="D1086" s="32" t="inlineStr">
        <is>
          <t>희준이의 SCPC</t>
        </is>
      </c>
      <c r="E1086" s="28" t="inlineStr">
        <is>
          <t>최적화 / 고급 알고리즘</t>
        </is>
      </c>
      <c r="F1086" s="28" t="n"/>
      <c r="G1086" s="28" t="n"/>
      <c r="H1086" s="28" t="n"/>
      <c r="I1086" s="28" t="n"/>
      <c r="J1086" s="54">
        <f>IF(OR(ISNUMBER(SEARCH("보류",K1086)),ISNUMBER(SEARCH("미룸",K1086)),ISNUMBER(SEARCH("나중에",K1086)),ISNUMBER(SEARCH("보류",L1086)),ISNUMBER(SEARCH("미룸",L1086)),ISNUMBER(SEARCH("나중에",L1086))),"보류(나중에 풀기)",IF(AND(F1086="",G1086="",H1086="",I1086=""),"미완료",IF(I1086&lt;&gt;"","복습3(마스터)",IF(H1086&lt;&gt;"","복습2",IF(G1086&lt;&gt;"","복습1",IF(ISNUMBER(SEARCH("제미나이",K1086)),"복습대기(AI도움)",IF(ISNUMBER(SEARCH("간당간당",K1086)),"복습대기(간당간당)",IF(OR(ISNUMBER(SEARCH("아이디어",K1086)),ISNUMBER(SEARCH("시간초과",K1086)),ISNUMBER(SEARCH("자료구조",K1086)),ISNUMBER(SEARCH("경계값",K1086)),ISNUMBER(SEARCH("다른 풀이",K1086)),ISNUMBER(SEARCH("또풀기",K1086))),"복습대기",IF(OR(ISNUMBER(SEARCH("복습필요없음",K1086)),ISNUMBER(SEARCH("자력완벽",K1086))),"품(복습불필요)",IF(F1086&lt;&gt;"","품","미완료"))))))))))</f>
        <v/>
      </c>
      <c r="K1086" s="32" t="inlineStr">
        <is>
          <t>-</t>
        </is>
      </c>
      <c r="L1086" s="32" t="n"/>
      <c r="M1086" s="28">
        <f>IF(OR(LEFT(J1086,2)="보류", LEFT(J1086,4)="복습대기", LEFT(J1086,3)="복습1", LEFT(J1086,3)="복습2"), MAX($M$3:M1085)+1, "")</f>
        <v/>
      </c>
      <c r="N1086" s="28" t="inlineStr">
        <is>
          <t>W25</t>
        </is>
      </c>
      <c r="O1086" s="36" t="n">
        <v>46430</v>
      </c>
      <c r="P1086" s="30">
        <f>IF(F1086&lt;&gt;"","✅ 완료",IF(O1086="","-",IF(TODAY()&gt;O1086,"🚨 지연","⏳ 예정")))</f>
        <v/>
      </c>
      <c r="Q1086" s="7" t="n"/>
      <c r="R1086" s="7" t="n"/>
      <c r="S1086" s="7" t="n"/>
      <c r="T1086" s="7" t="n"/>
      <c r="U1086" s="7" t="n"/>
      <c r="V1086" s="7" t="n"/>
      <c r="W1086" s="7" t="n"/>
      <c r="X1086" s="7" t="n"/>
    </row>
    <row r="1087" ht="21.75" customHeight="1" s="209">
      <c r="A1087" s="28" t="n">
        <v>1084</v>
      </c>
      <c r="B1087" s="28" t="inlineStr">
        <is>
          <t>11595</t>
        </is>
      </c>
      <c r="C1087" s="30" t="inlineStr">
        <is>
          <t>D8</t>
        </is>
      </c>
      <c r="D1087" s="32" t="inlineStr">
        <is>
          <t>색맹을 위한 그래프</t>
        </is>
      </c>
      <c r="E1087" s="28" t="inlineStr">
        <is>
          <t>그래프 / 최단경로 / 위상정렬</t>
        </is>
      </c>
      <c r="F1087" s="28" t="n"/>
      <c r="G1087" s="28" t="n"/>
      <c r="H1087" s="28" t="n"/>
      <c r="I1087" s="28" t="n"/>
      <c r="J1087" s="54">
        <f>IF(OR(ISNUMBER(SEARCH("보류",K1087)),ISNUMBER(SEARCH("미룸",K1087)),ISNUMBER(SEARCH("나중에",K1087)),ISNUMBER(SEARCH("보류",L1087)),ISNUMBER(SEARCH("미룸",L1087)),ISNUMBER(SEARCH("나중에",L1087))),"보류(나중에 풀기)",IF(AND(F1087="",G1087="",H1087="",I1087=""),"미완료",IF(I1087&lt;&gt;"","복습3(마스터)",IF(H1087&lt;&gt;"","복습2",IF(G1087&lt;&gt;"","복습1",IF(ISNUMBER(SEARCH("제미나이",K1087)),"복습대기(AI도움)",IF(ISNUMBER(SEARCH("간당간당",K1087)),"복습대기(간당간당)",IF(OR(ISNUMBER(SEARCH("아이디어",K1087)),ISNUMBER(SEARCH("시간초과",K1087)),ISNUMBER(SEARCH("자료구조",K1087)),ISNUMBER(SEARCH("경계값",K1087)),ISNUMBER(SEARCH("다른 풀이",K1087)),ISNUMBER(SEARCH("또풀기",K1087))),"복습대기",IF(OR(ISNUMBER(SEARCH("복습필요없음",K1087)),ISNUMBER(SEARCH("자력완벽",K1087))),"품(복습불필요)",IF(F1087&lt;&gt;"","품","미완료"))))))))))</f>
        <v/>
      </c>
      <c r="K1087" s="32" t="inlineStr">
        <is>
          <t>-</t>
        </is>
      </c>
      <c r="L1087" s="32" t="n"/>
      <c r="M1087" s="28">
        <f>IF(OR(LEFT(J1087,2)="보류", LEFT(J1087,4)="복습대기", LEFT(J1087,3)="복습1", LEFT(J1087,3)="복습2"), MAX($M$3:M1086)+1, "")</f>
        <v/>
      </c>
      <c r="N1087" s="28" t="inlineStr">
        <is>
          <t>W25</t>
        </is>
      </c>
      <c r="O1087" s="36" t="n">
        <v>46430</v>
      </c>
      <c r="P1087" s="30">
        <f>IF(F1087&lt;&gt;"","✅ 완료",IF(O1087="","-",IF(TODAY()&gt;O1087,"🚨 지연","⏳ 예정")))</f>
        <v/>
      </c>
      <c r="Q1087" s="7" t="n"/>
      <c r="R1087" s="7" t="n"/>
      <c r="S1087" s="7" t="n"/>
      <c r="T1087" s="7" t="n"/>
      <c r="U1087" s="7" t="n"/>
      <c r="V1087" s="7" t="n"/>
      <c r="W1087" s="7" t="n"/>
      <c r="X1087" s="7" t="n"/>
    </row>
    <row r="1088" ht="21.75" customHeight="1" s="209">
      <c r="A1088" s="28" t="n">
        <v>1085</v>
      </c>
      <c r="B1088" s="28" t="inlineStr">
        <is>
          <t>11859</t>
        </is>
      </c>
      <c r="C1088" s="30" t="inlineStr">
        <is>
          <t>D8</t>
        </is>
      </c>
      <c r="D1088" s="32" t="inlineStr">
        <is>
          <t>캥거루</t>
        </is>
      </c>
      <c r="E1088" s="28" t="inlineStr">
        <is>
          <t>최적화 / 고급 알고리즘</t>
        </is>
      </c>
      <c r="F1088" s="28" t="n"/>
      <c r="G1088" s="28" t="n"/>
      <c r="H1088" s="28" t="n"/>
      <c r="I1088" s="28" t="n"/>
      <c r="J1088" s="54">
        <f>IF(OR(ISNUMBER(SEARCH("보류",K1088)),ISNUMBER(SEARCH("미룸",K1088)),ISNUMBER(SEARCH("나중에",K1088)),ISNUMBER(SEARCH("보류",L1088)),ISNUMBER(SEARCH("미룸",L1088)),ISNUMBER(SEARCH("나중에",L1088))),"보류(나중에 풀기)",IF(AND(F1088="",G1088="",H1088="",I1088=""),"미완료",IF(I1088&lt;&gt;"","복습3(마스터)",IF(H1088&lt;&gt;"","복습2",IF(G1088&lt;&gt;"","복습1",IF(ISNUMBER(SEARCH("제미나이",K1088)),"복습대기(AI도움)",IF(ISNUMBER(SEARCH("간당간당",K1088)),"복습대기(간당간당)",IF(OR(ISNUMBER(SEARCH("아이디어",K1088)),ISNUMBER(SEARCH("시간초과",K1088)),ISNUMBER(SEARCH("자료구조",K1088)),ISNUMBER(SEARCH("경계값",K1088)),ISNUMBER(SEARCH("다른 풀이",K1088)),ISNUMBER(SEARCH("또풀기",K1088))),"복습대기",IF(OR(ISNUMBER(SEARCH("복습필요없음",K1088)),ISNUMBER(SEARCH("자력완벽",K1088))),"품(복습불필요)",IF(F1088&lt;&gt;"","품","미완료"))))))))))</f>
        <v/>
      </c>
      <c r="K1088" s="32" t="inlineStr">
        <is>
          <t>-</t>
        </is>
      </c>
      <c r="L1088" s="32" t="n"/>
      <c r="M1088" s="28">
        <f>IF(OR(LEFT(J1088,2)="보류", LEFT(J1088,4)="복습대기", LEFT(J1088,3)="복습1", LEFT(J1088,3)="복습2"), MAX($M$3:M1087)+1, "")</f>
        <v/>
      </c>
      <c r="N1088" s="28" t="inlineStr">
        <is>
          <t>W25</t>
        </is>
      </c>
      <c r="O1088" s="36" t="n">
        <v>46431</v>
      </c>
      <c r="P1088" s="30">
        <f>IF(F1088&lt;&gt;"","✅ 완료",IF(O1088="","-",IF(TODAY()&gt;O1088,"🚨 지연","⏳ 예정")))</f>
        <v/>
      </c>
      <c r="Q1088" s="7" t="n"/>
      <c r="R1088" s="7" t="n"/>
      <c r="S1088" s="7" t="n"/>
      <c r="T1088" s="7" t="n"/>
      <c r="U1088" s="7" t="n"/>
      <c r="V1088" s="7" t="n"/>
      <c r="W1088" s="7" t="n"/>
      <c r="X1088" s="7" t="n"/>
    </row>
    <row r="1089" ht="21.75" customHeight="1" s="209">
      <c r="A1089" s="28" t="n">
        <v>1086</v>
      </c>
      <c r="B1089" s="28" t="inlineStr">
        <is>
          <t>18805</t>
        </is>
      </c>
      <c r="C1089" s="30" t="inlineStr">
        <is>
          <t>D8</t>
        </is>
      </c>
      <c r="D1089" s="32" t="inlineStr">
        <is>
          <t>주사위의 분포</t>
        </is>
      </c>
      <c r="E1089" s="28" t="inlineStr">
        <is>
          <t>시뮬레이션 / 구현</t>
        </is>
      </c>
      <c r="F1089" s="28" t="n"/>
      <c r="G1089" s="28" t="n"/>
      <c r="H1089" s="28" t="n"/>
      <c r="I1089" s="28" t="n"/>
      <c r="J1089" s="54">
        <f>IF(OR(ISNUMBER(SEARCH("보류",K1089)),ISNUMBER(SEARCH("미룸",K1089)),ISNUMBER(SEARCH("나중에",K1089)),ISNUMBER(SEARCH("보류",L1089)),ISNUMBER(SEARCH("미룸",L1089)),ISNUMBER(SEARCH("나중에",L1089))),"보류(나중에 풀기)",IF(AND(F1089="",G1089="",H1089="",I1089=""),"미완료",IF(I1089&lt;&gt;"","복습3(마스터)",IF(H1089&lt;&gt;"","복습2",IF(G1089&lt;&gt;"","복습1",IF(ISNUMBER(SEARCH("제미나이",K1089)),"복습대기(AI도움)",IF(ISNUMBER(SEARCH("간당간당",K1089)),"복습대기(간당간당)",IF(OR(ISNUMBER(SEARCH("아이디어",K1089)),ISNUMBER(SEARCH("시간초과",K1089)),ISNUMBER(SEARCH("자료구조",K1089)),ISNUMBER(SEARCH("경계값",K1089)),ISNUMBER(SEARCH("다른 풀이",K1089)),ISNUMBER(SEARCH("또풀기",K1089))),"복습대기",IF(OR(ISNUMBER(SEARCH("복습필요없음",K1089)),ISNUMBER(SEARCH("자력완벽",K1089))),"품(복습불필요)",IF(F1089&lt;&gt;"","품","미완료"))))))))))</f>
        <v/>
      </c>
      <c r="K1089" s="32" t="inlineStr">
        <is>
          <t>-</t>
        </is>
      </c>
      <c r="L1089" s="32" t="n"/>
      <c r="M1089" s="28">
        <f>IF(OR(LEFT(J1089,2)="보류", LEFT(J1089,4)="복습대기", LEFT(J1089,3)="복습1", LEFT(J1089,3)="복습2"), MAX($M$3:M1088)+1, "")</f>
        <v/>
      </c>
      <c r="N1089" s="28" t="inlineStr">
        <is>
          <t>W25</t>
        </is>
      </c>
      <c r="O1089" s="36" t="n">
        <v>46431</v>
      </c>
      <c r="P1089" s="30">
        <f>IF(F1089&lt;&gt;"","✅ 완료",IF(O1089="","-",IF(TODAY()&gt;O1089,"🚨 지연","⏳ 예정")))</f>
        <v/>
      </c>
      <c r="Q1089" s="7" t="n"/>
      <c r="R1089" s="7" t="n"/>
      <c r="S1089" s="7" t="n"/>
      <c r="T1089" s="7" t="n"/>
      <c r="U1089" s="7" t="n"/>
      <c r="V1089" s="7" t="n"/>
      <c r="W1089" s="7" t="n"/>
      <c r="X1089" s="7" t="n"/>
    </row>
    <row r="1090" ht="21.75" customHeight="1" s="209">
      <c r="A1090" s="28" t="n">
        <v>1087</v>
      </c>
      <c r="B1090" s="28" t="inlineStr">
        <is>
          <t>19138</t>
        </is>
      </c>
      <c r="C1090" s="30" t="inlineStr">
        <is>
          <t>D8</t>
        </is>
      </c>
      <c r="D1090" s="32" t="inlineStr">
        <is>
          <t>이상한 집합 만들기</t>
        </is>
      </c>
      <c r="E1090" s="28" t="inlineStr">
        <is>
          <t>수학 / 정수론</t>
        </is>
      </c>
      <c r="F1090" s="28" t="n"/>
      <c r="G1090" s="28" t="n"/>
      <c r="H1090" s="28" t="n"/>
      <c r="I1090" s="28" t="n"/>
      <c r="J1090" s="54">
        <f>IF(OR(ISNUMBER(SEARCH("보류",K1090)),ISNUMBER(SEARCH("미룸",K1090)),ISNUMBER(SEARCH("나중에",K1090)),ISNUMBER(SEARCH("보류",L1090)),ISNUMBER(SEARCH("미룸",L1090)),ISNUMBER(SEARCH("나중에",L1090))),"보류(나중에 풀기)",IF(AND(F1090="",G1090="",H1090="",I1090=""),"미완료",IF(I1090&lt;&gt;"","복습3(마스터)",IF(H1090&lt;&gt;"","복습2",IF(G1090&lt;&gt;"","복습1",IF(ISNUMBER(SEARCH("제미나이",K1090)),"복습대기(AI도움)",IF(ISNUMBER(SEARCH("간당간당",K1090)),"복습대기(간당간당)",IF(OR(ISNUMBER(SEARCH("아이디어",K1090)),ISNUMBER(SEARCH("시간초과",K1090)),ISNUMBER(SEARCH("자료구조",K1090)),ISNUMBER(SEARCH("경계값",K1090)),ISNUMBER(SEARCH("다른 풀이",K1090)),ISNUMBER(SEARCH("또풀기",K1090))),"복습대기",IF(OR(ISNUMBER(SEARCH("복습필요없음",K1090)),ISNUMBER(SEARCH("자력완벽",K1090))),"품(복습불필요)",IF(F1090&lt;&gt;"","품","미완료"))))))))))</f>
        <v/>
      </c>
      <c r="K1090" s="32" t="inlineStr">
        <is>
          <t>-</t>
        </is>
      </c>
      <c r="L1090" s="32" t="n"/>
      <c r="M1090" s="28">
        <f>IF(OR(LEFT(J1090,2)="보류", LEFT(J1090,4)="복습대기", LEFT(J1090,3)="복습1", LEFT(J1090,3)="복습2"), MAX($M$3:M1089)+1, "")</f>
        <v/>
      </c>
      <c r="N1090" s="28" t="inlineStr">
        <is>
          <t>W25</t>
        </is>
      </c>
      <c r="O1090" s="36" t="n">
        <v>46431</v>
      </c>
      <c r="P1090" s="30">
        <f>IF(F1090&lt;&gt;"","✅ 완료",IF(O1090="","-",IF(TODAY()&gt;O1090,"🚨 지연","⏳ 예정")))</f>
        <v/>
      </c>
      <c r="Q1090" s="7" t="n"/>
      <c r="R1090" s="7" t="n"/>
      <c r="S1090" s="7" t="n"/>
      <c r="T1090" s="7" t="n"/>
      <c r="U1090" s="7" t="n"/>
      <c r="V1090" s="7" t="n"/>
      <c r="W1090" s="7" t="n"/>
      <c r="X1090" s="7" t="n"/>
    </row>
    <row r="1091" ht="21.75" customHeight="1" s="209">
      <c r="A1091" s="28" t="n">
        <v>1088</v>
      </c>
      <c r="B1091" s="28" t="inlineStr">
        <is>
          <t>20672</t>
        </is>
      </c>
      <c r="C1091" s="30" t="inlineStr">
        <is>
          <t>D8</t>
        </is>
      </c>
      <c r="D1091" s="32" t="inlineStr">
        <is>
          <t>신장 트리 조정</t>
        </is>
      </c>
      <c r="E1091" s="28" t="inlineStr">
        <is>
          <t>트리 / 힙 / 세그먼트트리</t>
        </is>
      </c>
      <c r="F1091" s="28" t="n"/>
      <c r="G1091" s="28" t="n"/>
      <c r="H1091" s="28" t="n"/>
      <c r="I1091" s="28" t="n"/>
      <c r="J1091" s="54">
        <f>IF(OR(ISNUMBER(SEARCH("보류",K1091)),ISNUMBER(SEARCH("미룸",K1091)),ISNUMBER(SEARCH("나중에",K1091)),ISNUMBER(SEARCH("보류",L1091)),ISNUMBER(SEARCH("미룸",L1091)),ISNUMBER(SEARCH("나중에",L1091))),"보류(나중에 풀기)",IF(AND(F1091="",G1091="",H1091="",I1091=""),"미완료",IF(I1091&lt;&gt;"","복습3(마스터)",IF(H1091&lt;&gt;"","복습2",IF(G1091&lt;&gt;"","복습1",IF(ISNUMBER(SEARCH("제미나이",K1091)),"복습대기(AI도움)",IF(ISNUMBER(SEARCH("간당간당",K1091)),"복습대기(간당간당)",IF(OR(ISNUMBER(SEARCH("아이디어",K1091)),ISNUMBER(SEARCH("시간초과",K1091)),ISNUMBER(SEARCH("자료구조",K1091)),ISNUMBER(SEARCH("경계값",K1091)),ISNUMBER(SEARCH("다른 풀이",K1091)),ISNUMBER(SEARCH("또풀기",K1091))),"복습대기",IF(OR(ISNUMBER(SEARCH("복습필요없음",K1091)),ISNUMBER(SEARCH("자력완벽",K1091))),"품(복습불필요)",IF(F1091&lt;&gt;"","품","미완료"))))))))))</f>
        <v/>
      </c>
      <c r="K1091" s="32" t="inlineStr">
        <is>
          <t>-</t>
        </is>
      </c>
      <c r="L1091" s="32" t="n"/>
      <c r="M1091" s="28">
        <f>IF(OR(LEFT(J1091,2)="보류", LEFT(J1091,4)="복습대기", LEFT(J1091,3)="복습1", LEFT(J1091,3)="복습2"), MAX($M$3:M1090)+1, "")</f>
        <v/>
      </c>
      <c r="N1091" s="28" t="inlineStr">
        <is>
          <t>W25</t>
        </is>
      </c>
      <c r="O1091" s="36" t="n">
        <v>46431</v>
      </c>
      <c r="P1091" s="30">
        <f>IF(F1091&lt;&gt;"","✅ 완료",IF(O1091="","-",IF(TODAY()&gt;O1091,"🚨 지연","⏳ 예정")))</f>
        <v/>
      </c>
      <c r="Q1091" s="7" t="n"/>
      <c r="R1091" s="7" t="n"/>
      <c r="S1091" s="7" t="n"/>
      <c r="T1091" s="7" t="n"/>
      <c r="U1091" s="7" t="n"/>
      <c r="V1091" s="7" t="n"/>
      <c r="W1091" s="7" t="n"/>
      <c r="X1091" s="7" t="n"/>
    </row>
    <row r="1092" ht="21.75" customHeight="1" s="209">
      <c r="A1092" s="28" t="n">
        <v>1089</v>
      </c>
      <c r="B1092" s="28" t="inlineStr">
        <is>
          <t>20756</t>
        </is>
      </c>
      <c r="C1092" s="30" t="inlineStr">
        <is>
          <t>D8</t>
        </is>
      </c>
      <c r="D1092" s="32" t="inlineStr">
        <is>
          <t>독특한 합</t>
        </is>
      </c>
      <c r="E1092" s="28" t="inlineStr">
        <is>
          <t>수학 / 정수론</t>
        </is>
      </c>
      <c r="F1092" s="28" t="n"/>
      <c r="G1092" s="28" t="n"/>
      <c r="H1092" s="28" t="n"/>
      <c r="I1092" s="28" t="n"/>
      <c r="J1092" s="54">
        <f>IF(OR(ISNUMBER(SEARCH("보류",K1092)),ISNUMBER(SEARCH("미룸",K1092)),ISNUMBER(SEARCH("나중에",K1092)),ISNUMBER(SEARCH("보류",L1092)),ISNUMBER(SEARCH("미룸",L1092)),ISNUMBER(SEARCH("나중에",L1092))),"보류(나중에 풀기)",IF(AND(F1092="",G1092="",H1092="",I1092=""),"미완료",IF(I1092&lt;&gt;"","복습3(마스터)",IF(H1092&lt;&gt;"","복습2",IF(G1092&lt;&gt;"","복습1",IF(ISNUMBER(SEARCH("제미나이",K1092)),"복습대기(AI도움)",IF(ISNUMBER(SEARCH("간당간당",K1092)),"복습대기(간당간당)",IF(OR(ISNUMBER(SEARCH("아이디어",K1092)),ISNUMBER(SEARCH("시간초과",K1092)),ISNUMBER(SEARCH("자료구조",K1092)),ISNUMBER(SEARCH("경계값",K1092)),ISNUMBER(SEARCH("다른 풀이",K1092)),ISNUMBER(SEARCH("또풀기",K1092))),"복습대기",IF(OR(ISNUMBER(SEARCH("복습필요없음",K1092)),ISNUMBER(SEARCH("자력완벽",K1092))),"품(복습불필요)",IF(F1092&lt;&gt;"","품","미완료"))))))))))</f>
        <v/>
      </c>
      <c r="K1092" s="32" t="inlineStr">
        <is>
          <t>-</t>
        </is>
      </c>
      <c r="L1092" s="32" t="n"/>
      <c r="M1092" s="28">
        <f>IF(OR(LEFT(J1092,2)="보류", LEFT(J1092,4)="복습대기", LEFT(J1092,3)="복습1", LEFT(J1092,3)="복습2"), MAX($M$3:M1091)+1, "")</f>
        <v/>
      </c>
      <c r="N1092" s="28" t="inlineStr">
        <is>
          <t>W25</t>
        </is>
      </c>
      <c r="O1092" s="36" t="n">
        <v>46431</v>
      </c>
      <c r="P1092" s="30">
        <f>IF(F1092&lt;&gt;"","✅ 완료",IF(O1092="","-",IF(TODAY()&gt;O1092,"🚨 지연","⏳ 예정")))</f>
        <v/>
      </c>
      <c r="Q1092" s="7" t="n"/>
      <c r="R1092" s="7" t="n"/>
      <c r="S1092" s="7" t="n"/>
      <c r="T1092" s="7" t="n"/>
      <c r="U1092" s="7" t="n"/>
      <c r="V1092" s="7" t="n"/>
      <c r="W1092" s="7" t="n"/>
      <c r="X1092" s="7" t="n"/>
    </row>
    <row r="1093" ht="21.75" customHeight="1" s="209">
      <c r="A1093" s="28" t="n">
        <v>1090</v>
      </c>
      <c r="B1093" s="28" t="inlineStr">
        <is>
          <t>20945</t>
        </is>
      </c>
      <c r="C1093" s="30" t="inlineStr">
        <is>
          <t>D8</t>
        </is>
      </c>
      <c r="D1093" s="32" t="inlineStr">
        <is>
          <t>돌 추가 게임</t>
        </is>
      </c>
      <c r="E1093" s="28" t="inlineStr">
        <is>
          <t>시뮬레이션 / 구현</t>
        </is>
      </c>
      <c r="F1093" s="28" t="n"/>
      <c r="G1093" s="28" t="n"/>
      <c r="H1093" s="28" t="n"/>
      <c r="I1093" s="28" t="n"/>
      <c r="J1093" s="54">
        <f>IF(OR(ISNUMBER(SEARCH("보류",K1093)),ISNUMBER(SEARCH("미룸",K1093)),ISNUMBER(SEARCH("나중에",K1093)),ISNUMBER(SEARCH("보류",L1093)),ISNUMBER(SEARCH("미룸",L1093)),ISNUMBER(SEARCH("나중에",L1093))),"보류(나중에 풀기)",IF(AND(F1093="",G1093="",H1093="",I1093=""),"미완료",IF(I1093&lt;&gt;"","복습3(마스터)",IF(H1093&lt;&gt;"","복습2",IF(G1093&lt;&gt;"","복습1",IF(ISNUMBER(SEARCH("제미나이",K1093)),"복습대기(AI도움)",IF(ISNUMBER(SEARCH("간당간당",K1093)),"복습대기(간당간당)",IF(OR(ISNUMBER(SEARCH("아이디어",K1093)),ISNUMBER(SEARCH("시간초과",K1093)),ISNUMBER(SEARCH("자료구조",K1093)),ISNUMBER(SEARCH("경계값",K1093)),ISNUMBER(SEARCH("다른 풀이",K1093)),ISNUMBER(SEARCH("또풀기",K1093))),"복습대기",IF(OR(ISNUMBER(SEARCH("복습필요없음",K1093)),ISNUMBER(SEARCH("자력완벽",K1093))),"품(복습불필요)",IF(F1093&lt;&gt;"","품","미완료"))))))))))</f>
        <v/>
      </c>
      <c r="K1093" s="32" t="inlineStr">
        <is>
          <t>-</t>
        </is>
      </c>
      <c r="L1093" s="32" t="n"/>
      <c r="M1093" s="28">
        <f>IF(OR(LEFT(J1093,2)="보류", LEFT(J1093,4)="복습대기", LEFT(J1093,3)="복습1", LEFT(J1093,3)="복습2"), MAX($M$3:M1092)+1, "")</f>
        <v/>
      </c>
      <c r="N1093" s="28" t="inlineStr">
        <is>
          <t>W25</t>
        </is>
      </c>
      <c r="O1093" s="36" t="n">
        <v>46431</v>
      </c>
      <c r="P1093" s="30">
        <f>IF(F1093&lt;&gt;"","✅ 완료",IF(O1093="","-",IF(TODAY()&gt;O1093,"🚨 지연","⏳ 예정")))</f>
        <v/>
      </c>
      <c r="Q1093" s="7" t="n"/>
      <c r="R1093" s="7" t="n"/>
      <c r="S1093" s="7" t="n"/>
      <c r="T1093" s="7" t="n"/>
      <c r="U1093" s="7" t="n"/>
      <c r="V1093" s="7" t="n"/>
      <c r="W1093" s="7" t="n"/>
      <c r="X1093" s="7" t="n"/>
    </row>
    <row r="1094" ht="21.75" customHeight="1" s="209">
      <c r="A1094" s="28" t="n">
        <v>1091</v>
      </c>
      <c r="B1094" s="28" t="inlineStr">
        <is>
          <t>21048</t>
        </is>
      </c>
      <c r="C1094" s="30" t="inlineStr">
        <is>
          <t>D8</t>
        </is>
      </c>
      <c r="D1094" s="32" t="inlineStr">
        <is>
          <t>XY 그래프</t>
        </is>
      </c>
      <c r="E1094" s="28" t="inlineStr">
        <is>
          <t>그래프 / 최단경로 / 위상정렬</t>
        </is>
      </c>
      <c r="F1094" s="28" t="n"/>
      <c r="G1094" s="28" t="n"/>
      <c r="H1094" s="28" t="n"/>
      <c r="I1094" s="28" t="n"/>
      <c r="J1094" s="54">
        <f>IF(OR(ISNUMBER(SEARCH("보류",K1094)),ISNUMBER(SEARCH("미룸",K1094)),ISNUMBER(SEARCH("나중에",K1094)),ISNUMBER(SEARCH("보류",L1094)),ISNUMBER(SEARCH("미룸",L1094)),ISNUMBER(SEARCH("나중에",L1094))),"보류(나중에 풀기)",IF(AND(F1094="",G1094="",H1094="",I1094=""),"미완료",IF(I1094&lt;&gt;"","복습3(마스터)",IF(H1094&lt;&gt;"","복습2",IF(G1094&lt;&gt;"","복습1",IF(ISNUMBER(SEARCH("제미나이",K1094)),"복습대기(AI도움)",IF(ISNUMBER(SEARCH("간당간당",K1094)),"복습대기(간당간당)",IF(OR(ISNUMBER(SEARCH("아이디어",K1094)),ISNUMBER(SEARCH("시간초과",K1094)),ISNUMBER(SEARCH("자료구조",K1094)),ISNUMBER(SEARCH("경계값",K1094)),ISNUMBER(SEARCH("다른 풀이",K1094)),ISNUMBER(SEARCH("또풀기",K1094))),"복습대기",IF(OR(ISNUMBER(SEARCH("복습필요없음",K1094)),ISNUMBER(SEARCH("자력완벽",K1094))),"품(복습불필요)",IF(F1094&lt;&gt;"","품","미완료"))))))))))</f>
        <v/>
      </c>
      <c r="K1094" s="32" t="inlineStr">
        <is>
          <t>-</t>
        </is>
      </c>
      <c r="L1094" s="32" t="n"/>
      <c r="M1094" s="28">
        <f>IF(OR(LEFT(J1094,2)="보류", LEFT(J1094,4)="복습대기", LEFT(J1094,3)="복습1", LEFT(J1094,3)="복습2"), MAX($M$3:M1093)+1, "")</f>
        <v/>
      </c>
      <c r="N1094" s="28" t="inlineStr">
        <is>
          <t>W25</t>
        </is>
      </c>
      <c r="O1094" s="36" t="n">
        <v>46431</v>
      </c>
      <c r="P1094" s="30">
        <f>IF(F1094&lt;&gt;"","✅ 완료",IF(O1094="","-",IF(TODAY()&gt;O1094,"🚨 지연","⏳ 예정")))</f>
        <v/>
      </c>
      <c r="Q1094" s="7" t="n"/>
      <c r="R1094" s="7" t="n"/>
      <c r="S1094" s="7" t="n"/>
      <c r="T1094" s="7" t="n"/>
      <c r="U1094" s="7" t="n"/>
      <c r="V1094" s="7" t="n"/>
      <c r="W1094" s="7" t="n"/>
      <c r="X1094" s="7" t="n"/>
    </row>
    <row r="1095" ht="21.75" customHeight="1" s="209">
      <c r="A1095" s="28" t="n">
        <v>1092</v>
      </c>
      <c r="B1095" s="28" t="inlineStr">
        <is>
          <t>21429</t>
        </is>
      </c>
      <c r="C1095" s="30" t="inlineStr">
        <is>
          <t>D8</t>
        </is>
      </c>
      <c r="D1095" s="32" t="inlineStr">
        <is>
          <t>양궁</t>
        </is>
      </c>
      <c r="E1095" s="28" t="inlineStr">
        <is>
          <t>최적화 / 고급 알고리즘</t>
        </is>
      </c>
      <c r="F1095" s="28" t="n"/>
      <c r="G1095" s="28" t="n"/>
      <c r="H1095" s="28" t="n"/>
      <c r="I1095" s="28" t="n"/>
      <c r="J1095" s="54">
        <f>IF(OR(ISNUMBER(SEARCH("보류",K1095)),ISNUMBER(SEARCH("미룸",K1095)),ISNUMBER(SEARCH("나중에",K1095)),ISNUMBER(SEARCH("보류",L1095)),ISNUMBER(SEARCH("미룸",L1095)),ISNUMBER(SEARCH("나중에",L1095))),"보류(나중에 풀기)",IF(AND(F1095="",G1095="",H1095="",I1095=""),"미완료",IF(I1095&lt;&gt;"","복습3(마스터)",IF(H1095&lt;&gt;"","복습2",IF(G1095&lt;&gt;"","복습1",IF(ISNUMBER(SEARCH("제미나이",K1095)),"복습대기(AI도움)",IF(ISNUMBER(SEARCH("간당간당",K1095)),"복습대기(간당간당)",IF(OR(ISNUMBER(SEARCH("아이디어",K1095)),ISNUMBER(SEARCH("시간초과",K1095)),ISNUMBER(SEARCH("자료구조",K1095)),ISNUMBER(SEARCH("경계값",K1095)),ISNUMBER(SEARCH("다른 풀이",K1095)),ISNUMBER(SEARCH("또풀기",K1095))),"복습대기",IF(OR(ISNUMBER(SEARCH("복습필요없음",K1095)),ISNUMBER(SEARCH("자력완벽",K1095))),"품(복습불필요)",IF(F1095&lt;&gt;"","품","미완료"))))))))))</f>
        <v/>
      </c>
      <c r="K1095" s="32" t="inlineStr">
        <is>
          <t>-</t>
        </is>
      </c>
      <c r="L1095" s="32" t="n"/>
      <c r="M1095" s="28">
        <f>IF(OR(LEFT(J1095,2)="보류", LEFT(J1095,4)="복습대기", LEFT(J1095,3)="복습1", LEFT(J1095,3)="복습2"), MAX($M$3:M1094)+1, "")</f>
        <v/>
      </c>
      <c r="N1095" s="28" t="inlineStr">
        <is>
          <t>W25</t>
        </is>
      </c>
      <c r="O1095" s="36" t="n">
        <v>46432</v>
      </c>
      <c r="P1095" s="30">
        <f>IF(F1095&lt;&gt;"","✅ 완료",IF(O1095="","-",IF(TODAY()&gt;O1095,"🚨 지연","⏳ 예정")))</f>
        <v/>
      </c>
      <c r="Q1095" s="7" t="n"/>
      <c r="R1095" s="7" t="n"/>
      <c r="S1095" s="7" t="n"/>
      <c r="T1095" s="7" t="n"/>
      <c r="U1095" s="7" t="n"/>
      <c r="V1095" s="7" t="n"/>
      <c r="W1095" s="7" t="n"/>
      <c r="X1095" s="7" t="n"/>
    </row>
    <row r="1096" ht="21.75" customHeight="1" s="209">
      <c r="A1096" s="112" t="n"/>
      <c r="B1096" s="159" t="n"/>
      <c r="C1096" s="159" t="n"/>
      <c r="D1096" s="8" t="n"/>
      <c r="E1096" s="8" t="n"/>
      <c r="F1096" s="160" t="n"/>
      <c r="G1096" s="161" t="n"/>
      <c r="H1096" s="161" t="n"/>
      <c r="I1096" s="161" t="n"/>
      <c r="J1096" s="162">
        <f>IF(OR(ISNUMBER(SEARCH("보류",K1096)),ISNUMBER(SEARCH("미룸",K1096)),ISNUMBER(SEARCH("나중에",K1096)),ISNUMBER(SEARCH("보류",L1096)),ISNUMBER(SEARCH("미룸",L1096)),ISNUMBER(SEARCH("나중에",L1096))),"보류(나중에 풀기)",IF(AND(F1096="",G1096="",H1096="",I1096=""),"미완료",IF(I1096&lt;&gt;"","복습3(마스터)",IF(H1096&lt;&gt;"","복습2",IF(G1096&lt;&gt;"","복습1",IF(ISNUMBER(SEARCH("제미나이",K1096)),"복습대기(AI도움)",IF(ISNUMBER(SEARCH("간당간당",K1096)),"복습대기(간당간당)",IF(OR(ISNUMBER(SEARCH("아이디어",K1096)),ISNUMBER(SEARCH("시간초과",K1096)),ISNUMBER(SEARCH("자료구조",K1096)),ISNUMBER(SEARCH("경계값",K1096)),ISNUMBER(SEARCH("다른 풀이",K1096)),ISNUMBER(SEARCH("또풀기",K1096))),"복습대기",IF(OR(ISNUMBER(SEARCH("복습필요없음",K1096)),ISNUMBER(SEARCH("자력완벽",K1096))),"품(복습불필요)",IF(F1096&lt;&gt;"","품","미완료"))))))))))</f>
        <v/>
      </c>
      <c r="K1096" s="283" t="n"/>
      <c r="L1096" s="8" t="n"/>
      <c r="M1096" s="8">
        <f>IF(OR(LEFT(J1096,2)="보류", LEFT(J1096,4)="복습대기", LEFT(J1096,3)="복습1", LEFT(J1096,3)="복습2"), MAX($M$3:M1095)+1, "")</f>
        <v/>
      </c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</row>
    <row r="1097" ht="21.75" customHeight="1" s="209">
      <c r="A1097" s="112" t="n"/>
      <c r="B1097" s="159" t="n"/>
      <c r="C1097" s="159" t="n"/>
      <c r="D1097" s="8" t="n"/>
      <c r="E1097" s="8" t="n"/>
      <c r="F1097" s="160" t="n"/>
      <c r="G1097" s="161" t="n"/>
      <c r="H1097" s="161" t="n"/>
      <c r="I1097" s="161" t="n"/>
      <c r="J1097" s="162">
        <f>IF(OR(ISNUMBER(SEARCH("보류",K1097)),ISNUMBER(SEARCH("미룸",K1097)),ISNUMBER(SEARCH("나중에",K1097)),ISNUMBER(SEARCH("보류",L1097)),ISNUMBER(SEARCH("미룸",L1097)),ISNUMBER(SEARCH("나중에",L1097))),"보류(나중에 풀기)",IF(AND(F1097="",G1097="",H1097="",I1097=""),"미완료",IF(I1097&lt;&gt;"","복습3(마스터)",IF(H1097&lt;&gt;"","복습2",IF(G1097&lt;&gt;"","복습1",IF(ISNUMBER(SEARCH("제미나이",K1097)),"복습대기(AI도움)",IF(ISNUMBER(SEARCH("간당간당",K1097)),"복습대기(간당간당)",IF(OR(ISNUMBER(SEARCH("아이디어",K1097)),ISNUMBER(SEARCH("시간초과",K1097)),ISNUMBER(SEARCH("자료구조",K1097)),ISNUMBER(SEARCH("경계값",K1097)),ISNUMBER(SEARCH("다른 풀이",K1097)),ISNUMBER(SEARCH("또풀기",K1097))),"복습대기",IF(OR(ISNUMBER(SEARCH("복습필요없음",K1097)),ISNUMBER(SEARCH("자력완벽",K1097))),"품(복습불필요)",IF(F1097&lt;&gt;"","품","미완료"))))))))))</f>
        <v/>
      </c>
      <c r="K1097" s="283" t="n"/>
      <c r="L1097" s="8" t="n"/>
      <c r="M1097" s="8">
        <f>IF(OR(LEFT(J1097,2)="보류", LEFT(J1097,4)="복습대기", LEFT(J1097,3)="복습1", LEFT(J1097,3)="복습2"), MAX($M$3:M1096)+1, "")</f>
        <v/>
      </c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</row>
    <row r="1098" ht="21.75" customHeight="1" s="209">
      <c r="A1098" s="112" t="n"/>
      <c r="B1098" s="159" t="n"/>
      <c r="C1098" s="159" t="n"/>
      <c r="D1098" s="8" t="n"/>
      <c r="E1098" s="8" t="n"/>
      <c r="F1098" s="160" t="n"/>
      <c r="G1098" s="161" t="n"/>
      <c r="H1098" s="161" t="n"/>
      <c r="I1098" s="161" t="n"/>
      <c r="J1098" s="162">
        <f>IF(OR(ISNUMBER(SEARCH("보류",K1098)),ISNUMBER(SEARCH("미룸",K1098)),ISNUMBER(SEARCH("나중에",K1098)),ISNUMBER(SEARCH("보류",L1098)),ISNUMBER(SEARCH("미룸",L1098)),ISNUMBER(SEARCH("나중에",L1098))),"보류(나중에 풀기)",IF(AND(F1098="",G1098="",H1098="",I1098=""),"미완료",IF(I1098&lt;&gt;"","복습3(마스터)",IF(H1098&lt;&gt;"","복습2",IF(G1098&lt;&gt;"","복습1",IF(ISNUMBER(SEARCH("제미나이",K1098)),"복습대기(AI도움)",IF(ISNUMBER(SEARCH("간당간당",K1098)),"복습대기(간당간당)",IF(OR(ISNUMBER(SEARCH("아이디어",K1098)),ISNUMBER(SEARCH("시간초과",K1098)),ISNUMBER(SEARCH("자료구조",K1098)),ISNUMBER(SEARCH("경계값",K1098)),ISNUMBER(SEARCH("다른 풀이",K1098)),ISNUMBER(SEARCH("또풀기",K1098))),"복습대기",IF(OR(ISNUMBER(SEARCH("복습필요없음",K1098)),ISNUMBER(SEARCH("자력완벽",K1098))),"품(복습불필요)",IF(F1098&lt;&gt;"","품","미완료"))))))))))</f>
        <v/>
      </c>
      <c r="K1098" s="283" t="n"/>
      <c r="L1098" s="8" t="n"/>
      <c r="M1098" s="8">
        <f>IF(OR(LEFT(J1098,2)="보류", LEFT(J1098,4)="복습대기", LEFT(J1098,3)="복습1", LEFT(J1098,3)="복습2"), MAX($M$3:M1097)+1, "")</f>
        <v/>
      </c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</row>
    <row r="1099" ht="21.75" customHeight="1" s="209">
      <c r="A1099" s="112" t="n"/>
      <c r="B1099" s="159" t="n"/>
      <c r="C1099" s="159" t="n"/>
      <c r="D1099" s="8" t="n"/>
      <c r="E1099" s="8" t="n"/>
      <c r="F1099" s="160" t="n"/>
      <c r="G1099" s="161" t="n"/>
      <c r="H1099" s="161" t="n"/>
      <c r="I1099" s="161" t="n"/>
      <c r="J1099" s="162">
        <f>IF(OR(ISNUMBER(SEARCH("보류",K1099)),ISNUMBER(SEARCH("미룸",K1099)),ISNUMBER(SEARCH("나중에",K1099)),ISNUMBER(SEARCH("보류",L1099)),ISNUMBER(SEARCH("미룸",L1099)),ISNUMBER(SEARCH("나중에",L1099))),"보류(나중에 풀기)",IF(AND(F1099="",G1099="",H1099="",I1099=""),"미완료",IF(I1099&lt;&gt;"","복습3(마스터)",IF(H1099&lt;&gt;"","복습2",IF(G1099&lt;&gt;"","복습1",IF(ISNUMBER(SEARCH("제미나이",K1099)),"복습대기(AI도움)",IF(ISNUMBER(SEARCH("간당간당",K1099)),"복습대기(간당간당)",IF(OR(ISNUMBER(SEARCH("아이디어",K1099)),ISNUMBER(SEARCH("시간초과",K1099)),ISNUMBER(SEARCH("자료구조",K1099)),ISNUMBER(SEARCH("경계값",K1099)),ISNUMBER(SEARCH("다른 풀이",K1099)),ISNUMBER(SEARCH("또풀기",K1099))),"복습대기",IF(OR(ISNUMBER(SEARCH("복습필요없음",K1099)),ISNUMBER(SEARCH("자력완벽",K1099))),"품(복습불필요)",IF(F1099&lt;&gt;"","품","미완료"))))))))))</f>
        <v/>
      </c>
      <c r="K1099" s="283" t="n"/>
      <c r="L1099" s="8" t="n"/>
      <c r="M1099" s="8">
        <f>IF(OR(LEFT(J1099,2)="보류", LEFT(J1099,4)="복습대기", LEFT(J1099,3)="복습1", LEFT(J1099,3)="복습2"), MAX($M$3:M1098)+1, "")</f>
        <v/>
      </c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</row>
    <row r="1100" ht="21.75" customHeight="1" s="209">
      <c r="A1100" s="112" t="n"/>
      <c r="B1100" s="159" t="n"/>
      <c r="C1100" s="159" t="n"/>
      <c r="D1100" s="8" t="n"/>
      <c r="E1100" s="8" t="n"/>
      <c r="F1100" s="160" t="n"/>
      <c r="G1100" s="161" t="n"/>
      <c r="H1100" s="161" t="n"/>
      <c r="I1100" s="161" t="n"/>
      <c r="J1100" s="162">
        <f>IF(OR(ISNUMBER(SEARCH("보류",K1100)),ISNUMBER(SEARCH("미룸",K1100)),ISNUMBER(SEARCH("나중에",K1100)),ISNUMBER(SEARCH("보류",L1100)),ISNUMBER(SEARCH("미룸",L1100)),ISNUMBER(SEARCH("나중에",L1100))),"보류(나중에 풀기)",IF(AND(F1100="",G1100="",H1100="",I1100=""),"미완료",IF(I1100&lt;&gt;"","복습3(마스터)",IF(H1100&lt;&gt;"","복습2",IF(G1100&lt;&gt;"","복습1",IF(ISNUMBER(SEARCH("제미나이",K1100)),"복습대기(AI도움)",IF(ISNUMBER(SEARCH("간당간당",K1100)),"복습대기(간당간당)",IF(OR(ISNUMBER(SEARCH("아이디어",K1100)),ISNUMBER(SEARCH("시간초과",K1100)),ISNUMBER(SEARCH("자료구조",K1100)),ISNUMBER(SEARCH("경계값",K1100)),ISNUMBER(SEARCH("다른 풀이",K1100)),ISNUMBER(SEARCH("또풀기",K1100))),"복습대기",IF(OR(ISNUMBER(SEARCH("복습필요없음",K1100)),ISNUMBER(SEARCH("자력완벽",K1100))),"품(복습불필요)",IF(F1100&lt;&gt;"","품","미완료"))))))))))</f>
        <v/>
      </c>
      <c r="K1100" s="283" t="n"/>
      <c r="L1100" s="8" t="n"/>
      <c r="M1100" s="8">
        <f>IF(OR(LEFT(J1100,2)="보류", LEFT(J1100,4)="복습대기", LEFT(J1100,3)="복습1", LEFT(J1100,3)="복습2"), MAX($M$3:M1099)+1, "")</f>
        <v/>
      </c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</row>
    <row r="1101" ht="21.75" customHeight="1" s="209">
      <c r="A1101" s="112" t="n"/>
      <c r="B1101" s="159" t="n"/>
      <c r="C1101" s="159" t="n"/>
      <c r="D1101" s="8" t="n"/>
      <c r="E1101" s="8" t="n"/>
      <c r="F1101" s="160" t="n"/>
      <c r="G1101" s="161" t="n"/>
      <c r="H1101" s="161" t="n"/>
      <c r="I1101" s="161" t="n"/>
      <c r="J1101" s="162">
        <f>IF(OR(ISNUMBER(SEARCH("보류",K1101)),ISNUMBER(SEARCH("미룸",K1101)),ISNUMBER(SEARCH("나중에",K1101)),ISNUMBER(SEARCH("보류",L1101)),ISNUMBER(SEARCH("미룸",L1101)),ISNUMBER(SEARCH("나중에",L1101))),"보류(나중에 풀기)",IF(AND(F1101="",G1101="",H1101="",I1101=""),"미완료",IF(I1101&lt;&gt;"","복습3(마스터)",IF(H1101&lt;&gt;"","복습2",IF(G1101&lt;&gt;"","복습1",IF(ISNUMBER(SEARCH("제미나이",K1101)),"복습대기(AI도움)",IF(ISNUMBER(SEARCH("간당간당",K1101)),"복습대기(간당간당)",IF(OR(ISNUMBER(SEARCH("아이디어",K1101)),ISNUMBER(SEARCH("시간초과",K1101)),ISNUMBER(SEARCH("자료구조",K1101)),ISNUMBER(SEARCH("경계값",K1101)),ISNUMBER(SEARCH("다른 풀이",K1101)),ISNUMBER(SEARCH("또풀기",K1101))),"복습대기",IF(OR(ISNUMBER(SEARCH("복습필요없음",K1101)),ISNUMBER(SEARCH("자력완벽",K1101))),"품(복습불필요)",IF(F1101&lt;&gt;"","품","미완료"))))))))))</f>
        <v/>
      </c>
      <c r="K1101" s="283" t="n"/>
      <c r="L1101" s="8" t="n"/>
      <c r="M1101" s="8">
        <f>IF(OR(LEFT(J1101,2)="보류", LEFT(J1101,4)="복습대기", LEFT(J1101,3)="복습1", LEFT(J1101,3)="복습2"), MAX($M$3:M1100)+1, "")</f>
        <v/>
      </c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</row>
    <row r="1102" ht="21.75" customHeight="1" s="209">
      <c r="A1102" s="112" t="n"/>
      <c r="B1102" s="159" t="n"/>
      <c r="C1102" s="159" t="n"/>
      <c r="D1102" s="8" t="n"/>
      <c r="E1102" s="8" t="n"/>
      <c r="F1102" s="160" t="n"/>
      <c r="G1102" s="161" t="n"/>
      <c r="H1102" s="161" t="n"/>
      <c r="I1102" s="161" t="n"/>
      <c r="J1102" s="162">
        <f>IF(OR(ISNUMBER(SEARCH("보류",K1102)),ISNUMBER(SEARCH("미룸",K1102)),ISNUMBER(SEARCH("나중에",K1102)),ISNUMBER(SEARCH("보류",L1102)),ISNUMBER(SEARCH("미룸",L1102)),ISNUMBER(SEARCH("나중에",L1102))),"보류(나중에 풀기)",IF(AND(F1102="",G1102="",H1102="",I1102=""),"미완료",IF(I1102&lt;&gt;"","복습3(마스터)",IF(H1102&lt;&gt;"","복습2",IF(G1102&lt;&gt;"","복습1",IF(ISNUMBER(SEARCH("제미나이",K1102)),"복습대기(AI도움)",IF(ISNUMBER(SEARCH("간당간당",K1102)),"복습대기(간당간당)",IF(OR(ISNUMBER(SEARCH("아이디어",K1102)),ISNUMBER(SEARCH("시간초과",K1102)),ISNUMBER(SEARCH("자료구조",K1102)),ISNUMBER(SEARCH("경계값",K1102)),ISNUMBER(SEARCH("다른 풀이",K1102)),ISNUMBER(SEARCH("또풀기",K1102))),"복습대기",IF(OR(ISNUMBER(SEARCH("복습필요없음",K1102)),ISNUMBER(SEARCH("자력완벽",K1102))),"품(복습불필요)",IF(F1102&lt;&gt;"","품","미완료"))))))))))</f>
        <v/>
      </c>
      <c r="K1102" s="283" t="n"/>
      <c r="L1102" s="8" t="n"/>
      <c r="M1102" s="8">
        <f>IF(OR(LEFT(J1102,2)="보류", LEFT(J1102,4)="복습대기", LEFT(J1102,3)="복습1", LEFT(J1102,3)="복습2"), MAX($M$3:M1101)+1, "")</f>
        <v/>
      </c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</row>
    <row r="1103" ht="21.75" customHeight="1" s="209">
      <c r="A1103" s="112" t="n"/>
      <c r="B1103" s="159" t="n"/>
      <c r="C1103" s="159" t="n"/>
      <c r="D1103" s="8" t="n"/>
      <c r="E1103" s="8" t="n"/>
      <c r="F1103" s="160" t="n"/>
      <c r="G1103" s="161" t="n"/>
      <c r="H1103" s="161" t="n"/>
      <c r="I1103" s="161" t="n"/>
      <c r="J1103" s="162">
        <f>IF(OR(ISNUMBER(SEARCH("보류",K1103)),ISNUMBER(SEARCH("미룸",K1103)),ISNUMBER(SEARCH("나중에",K1103)),ISNUMBER(SEARCH("보류",L1103)),ISNUMBER(SEARCH("미룸",L1103)),ISNUMBER(SEARCH("나중에",L1103))),"보류(나중에 풀기)",IF(AND(F1103="",G1103="",H1103="",I1103=""),"미완료",IF(I1103&lt;&gt;"","복습3(마스터)",IF(H1103&lt;&gt;"","복습2",IF(G1103&lt;&gt;"","복습1",IF(ISNUMBER(SEARCH("제미나이",K1103)),"복습대기(AI도움)",IF(ISNUMBER(SEARCH("간당간당",K1103)),"복습대기(간당간당)",IF(OR(ISNUMBER(SEARCH("아이디어",K1103)),ISNUMBER(SEARCH("시간초과",K1103)),ISNUMBER(SEARCH("자료구조",K1103)),ISNUMBER(SEARCH("경계값",K1103)),ISNUMBER(SEARCH("다른 풀이",K1103)),ISNUMBER(SEARCH("또풀기",K1103))),"복습대기",IF(OR(ISNUMBER(SEARCH("복습필요없음",K1103)),ISNUMBER(SEARCH("자력완벽",K1103))),"품(복습불필요)",IF(F1103&lt;&gt;"","품","미완료"))))))))))</f>
        <v/>
      </c>
      <c r="K1103" s="283" t="n"/>
      <c r="L1103" s="8" t="n"/>
      <c r="M1103" s="8">
        <f>IF(OR(LEFT(J1103,2)="보류", LEFT(J1103,4)="복습대기", LEFT(J1103,3)="복습1", LEFT(J1103,3)="복습2"), MAX($M$3:M1102)+1, "")</f>
        <v/>
      </c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</row>
    <row r="1104" ht="21.75" customHeight="1" s="209">
      <c r="A1104" s="112" t="n"/>
      <c r="B1104" s="159" t="n"/>
      <c r="C1104" s="159" t="n"/>
      <c r="D1104" s="8" t="n"/>
      <c r="E1104" s="8" t="n"/>
      <c r="F1104" s="160" t="n"/>
      <c r="G1104" s="161" t="n"/>
      <c r="H1104" s="161" t="n"/>
      <c r="I1104" s="161" t="n"/>
      <c r="J1104" s="162">
        <f>IF(OR(ISNUMBER(SEARCH("보류",K1104)),ISNUMBER(SEARCH("미룸",K1104)),ISNUMBER(SEARCH("나중에",K1104)),ISNUMBER(SEARCH("보류",L1104)),ISNUMBER(SEARCH("미룸",L1104)),ISNUMBER(SEARCH("나중에",L1104))),"보류(나중에 풀기)",IF(AND(F1104="",G1104="",H1104="",I1104=""),"미완료",IF(I1104&lt;&gt;"","복습3(마스터)",IF(H1104&lt;&gt;"","복습2",IF(G1104&lt;&gt;"","복습1",IF(ISNUMBER(SEARCH("제미나이",K1104)),"복습대기(AI도움)",IF(ISNUMBER(SEARCH("간당간당",K1104)),"복습대기(간당간당)",IF(OR(ISNUMBER(SEARCH("아이디어",K1104)),ISNUMBER(SEARCH("시간초과",K1104)),ISNUMBER(SEARCH("자료구조",K1104)),ISNUMBER(SEARCH("경계값",K1104)),ISNUMBER(SEARCH("다른 풀이",K1104)),ISNUMBER(SEARCH("또풀기",K1104))),"복습대기",IF(OR(ISNUMBER(SEARCH("복습필요없음",K1104)),ISNUMBER(SEARCH("자력완벽",K1104))),"품(복습불필요)",IF(F1104&lt;&gt;"","품","미완료"))))))))))</f>
        <v/>
      </c>
      <c r="K1104" s="283" t="n"/>
      <c r="L1104" s="8" t="n"/>
      <c r="M1104" s="8">
        <f>IF(OR(LEFT(J1104,2)="보류", LEFT(J1104,4)="복습대기", LEFT(J1104,3)="복습1", LEFT(J1104,3)="복습2"), MAX($M$3:M1103)+1, "")</f>
        <v/>
      </c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</row>
    <row r="1105" ht="21.75" customHeight="1" s="209">
      <c r="A1105" s="112" t="n"/>
      <c r="B1105" s="159" t="n"/>
      <c r="C1105" s="159" t="n"/>
      <c r="D1105" s="8" t="n"/>
      <c r="E1105" s="8" t="n"/>
      <c r="F1105" s="160" t="n"/>
      <c r="G1105" s="161" t="n"/>
      <c r="H1105" s="161" t="n"/>
      <c r="I1105" s="161" t="n"/>
      <c r="J1105" s="162">
        <f>IF(OR(ISNUMBER(SEARCH("보류",K1105)),ISNUMBER(SEARCH("미룸",K1105)),ISNUMBER(SEARCH("나중에",K1105)),ISNUMBER(SEARCH("보류",L1105)),ISNUMBER(SEARCH("미룸",L1105)),ISNUMBER(SEARCH("나중에",L1105))),"보류(나중에 풀기)",IF(AND(F1105="",G1105="",H1105="",I1105=""),"미완료",IF(I1105&lt;&gt;"","복습3(마스터)",IF(H1105&lt;&gt;"","복습2",IF(G1105&lt;&gt;"","복습1",IF(ISNUMBER(SEARCH("제미나이",K1105)),"복습대기(AI도움)",IF(ISNUMBER(SEARCH("간당간당",K1105)),"복습대기(간당간당)",IF(OR(ISNUMBER(SEARCH("아이디어",K1105)),ISNUMBER(SEARCH("시간초과",K1105)),ISNUMBER(SEARCH("자료구조",K1105)),ISNUMBER(SEARCH("경계값",K1105)),ISNUMBER(SEARCH("다른 풀이",K1105)),ISNUMBER(SEARCH("또풀기",K1105))),"복습대기",IF(OR(ISNUMBER(SEARCH("복습필요없음",K1105)),ISNUMBER(SEARCH("자력완벽",K1105))),"품(복습불필요)",IF(F1105&lt;&gt;"","품","미완료"))))))))))</f>
        <v/>
      </c>
      <c r="K1105" s="283" t="n"/>
      <c r="L1105" s="8" t="n"/>
      <c r="M1105" s="8">
        <f>IF(OR(LEFT(J1105,2)="보류", LEFT(J1105,4)="복습대기", LEFT(J1105,3)="복습1", LEFT(J1105,3)="복습2"), MAX($M$3:M1104)+1, "")</f>
        <v/>
      </c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</row>
    <row r="1106" ht="21.75" customHeight="1" s="209">
      <c r="A1106" s="112" t="n"/>
      <c r="B1106" s="159" t="n"/>
      <c r="C1106" s="159" t="n"/>
      <c r="D1106" s="8" t="n"/>
      <c r="E1106" s="8" t="n"/>
      <c r="F1106" s="160" t="n"/>
      <c r="G1106" s="161" t="n"/>
      <c r="H1106" s="161" t="n"/>
      <c r="I1106" s="161" t="n"/>
      <c r="J1106" s="162">
        <f>IF(OR(ISNUMBER(SEARCH("보류",K1106)),ISNUMBER(SEARCH("미룸",K1106)),ISNUMBER(SEARCH("나중에",K1106)),ISNUMBER(SEARCH("보류",L1106)),ISNUMBER(SEARCH("미룸",L1106)),ISNUMBER(SEARCH("나중에",L1106))),"보류(나중에 풀기)",IF(AND(F1106="",G1106="",H1106="",I1106=""),"미완료",IF(I1106&lt;&gt;"","복습3(마스터)",IF(H1106&lt;&gt;"","복습2",IF(G1106&lt;&gt;"","복습1",IF(ISNUMBER(SEARCH("제미나이",K1106)),"복습대기(AI도움)",IF(ISNUMBER(SEARCH("간당간당",K1106)),"복습대기(간당간당)",IF(OR(ISNUMBER(SEARCH("아이디어",K1106)),ISNUMBER(SEARCH("시간초과",K1106)),ISNUMBER(SEARCH("자료구조",K1106)),ISNUMBER(SEARCH("경계값",K1106)),ISNUMBER(SEARCH("다른 풀이",K1106)),ISNUMBER(SEARCH("또풀기",K1106))),"복습대기",IF(OR(ISNUMBER(SEARCH("복습필요없음",K1106)),ISNUMBER(SEARCH("자력완벽",K1106))),"품(복습불필요)",IF(F1106&lt;&gt;"","품","미완료"))))))))))</f>
        <v/>
      </c>
      <c r="K1106" s="283" t="n"/>
      <c r="L1106" s="8" t="n"/>
      <c r="M1106" s="8">
        <f>IF(OR(LEFT(J1106,2)="보류", LEFT(J1106,4)="복습대기", LEFT(J1106,3)="복습1", LEFT(J1106,3)="복습2"), MAX($M$3:M1105)+1, "")</f>
        <v/>
      </c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</row>
    <row r="1107" ht="21.75" customHeight="1" s="209">
      <c r="A1107" s="112" t="n"/>
      <c r="B1107" s="159" t="n"/>
      <c r="C1107" s="159" t="n"/>
      <c r="D1107" s="8" t="n"/>
      <c r="E1107" s="8" t="n"/>
      <c r="F1107" s="160" t="n"/>
      <c r="G1107" s="161" t="n"/>
      <c r="H1107" s="161" t="n"/>
      <c r="I1107" s="161" t="n"/>
      <c r="J1107" s="162">
        <f>IF(OR(ISNUMBER(SEARCH("보류",K1107)),ISNUMBER(SEARCH("미룸",K1107)),ISNUMBER(SEARCH("나중에",K1107)),ISNUMBER(SEARCH("보류",L1107)),ISNUMBER(SEARCH("미룸",L1107)),ISNUMBER(SEARCH("나중에",L1107))),"보류(나중에 풀기)",IF(AND(F1107="",G1107="",H1107="",I1107=""),"미완료",IF(I1107&lt;&gt;"","복습3(마스터)",IF(H1107&lt;&gt;"","복습2",IF(G1107&lt;&gt;"","복습1",IF(ISNUMBER(SEARCH("제미나이",K1107)),"복습대기(AI도움)",IF(ISNUMBER(SEARCH("간당간당",K1107)),"복습대기(간당간당)",IF(OR(ISNUMBER(SEARCH("아이디어",K1107)),ISNUMBER(SEARCH("시간초과",K1107)),ISNUMBER(SEARCH("자료구조",K1107)),ISNUMBER(SEARCH("경계값",K1107)),ISNUMBER(SEARCH("다른 풀이",K1107)),ISNUMBER(SEARCH("또풀기",K1107))),"복습대기",IF(OR(ISNUMBER(SEARCH("복습필요없음",K1107)),ISNUMBER(SEARCH("자력완벽",K1107))),"품(복습불필요)",IF(F1107&lt;&gt;"","품","미완료"))))))))))</f>
        <v/>
      </c>
      <c r="K1107" s="283" t="n"/>
      <c r="L1107" s="8" t="n"/>
      <c r="M1107" s="8">
        <f>IF(OR(LEFT(J1107,2)="보류", LEFT(J1107,4)="복습대기", LEFT(J1107,3)="복습1", LEFT(J1107,3)="복습2"), MAX($M$3:M1106)+1, "")</f>
        <v/>
      </c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</row>
    <row r="1108" ht="21.75" customHeight="1" s="209">
      <c r="A1108" s="112" t="n"/>
      <c r="B1108" s="159" t="n"/>
      <c r="C1108" s="159" t="n"/>
      <c r="D1108" s="8" t="n"/>
      <c r="E1108" s="8" t="n"/>
      <c r="F1108" s="160" t="n"/>
      <c r="G1108" s="161" t="n"/>
      <c r="H1108" s="161" t="n"/>
      <c r="I1108" s="161" t="n"/>
      <c r="J1108" s="162">
        <f>IF(OR(ISNUMBER(SEARCH("보류",K1108)),ISNUMBER(SEARCH("미룸",K1108)),ISNUMBER(SEARCH("나중에",K1108)),ISNUMBER(SEARCH("보류",L1108)),ISNUMBER(SEARCH("미룸",L1108)),ISNUMBER(SEARCH("나중에",L1108))),"보류(나중에 풀기)",IF(AND(F1108="",G1108="",H1108="",I1108=""),"미완료",IF(I1108&lt;&gt;"","복습3(마스터)",IF(H1108&lt;&gt;"","복습2",IF(G1108&lt;&gt;"","복습1",IF(ISNUMBER(SEARCH("제미나이",K1108)),"복습대기(AI도움)",IF(ISNUMBER(SEARCH("간당간당",K1108)),"복습대기(간당간당)",IF(OR(ISNUMBER(SEARCH("아이디어",K1108)),ISNUMBER(SEARCH("시간초과",K1108)),ISNUMBER(SEARCH("자료구조",K1108)),ISNUMBER(SEARCH("경계값",K1108)),ISNUMBER(SEARCH("다른 풀이",K1108)),ISNUMBER(SEARCH("또풀기",K1108))),"복습대기",IF(OR(ISNUMBER(SEARCH("복습필요없음",K1108)),ISNUMBER(SEARCH("자력완벽",K1108))),"품(복습불필요)",IF(F1108&lt;&gt;"","품","미완료"))))))))))</f>
        <v/>
      </c>
      <c r="K1108" s="283" t="n"/>
      <c r="L1108" s="8" t="n"/>
      <c r="M1108" s="8">
        <f>IF(OR(LEFT(J1108,2)="보류", LEFT(J1108,4)="복습대기", LEFT(J1108,3)="복습1", LEFT(J1108,3)="복습2"), MAX($M$3:M1107)+1, "")</f>
        <v/>
      </c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</row>
    <row r="1109" ht="21.75" customHeight="1" s="209">
      <c r="A1109" s="112" t="n"/>
      <c r="B1109" s="159" t="n"/>
      <c r="C1109" s="159" t="n"/>
      <c r="D1109" s="8" t="n"/>
      <c r="E1109" s="8" t="n"/>
      <c r="F1109" s="160" t="n"/>
      <c r="G1109" s="161" t="n"/>
      <c r="H1109" s="161" t="n"/>
      <c r="I1109" s="161" t="n"/>
      <c r="J1109" s="162">
        <f>IF(OR(ISNUMBER(SEARCH("보류",K1109)),ISNUMBER(SEARCH("미룸",K1109)),ISNUMBER(SEARCH("나중에",K1109)),ISNUMBER(SEARCH("보류",L1109)),ISNUMBER(SEARCH("미룸",L1109)),ISNUMBER(SEARCH("나중에",L1109))),"보류(나중에 풀기)",IF(AND(F1109="",G1109="",H1109="",I1109=""),"미완료",IF(I1109&lt;&gt;"","복습3(마스터)",IF(H1109&lt;&gt;"","복습2",IF(G1109&lt;&gt;"","복습1",IF(ISNUMBER(SEARCH("제미나이",K1109)),"복습대기(AI도움)",IF(ISNUMBER(SEARCH("간당간당",K1109)),"복습대기(간당간당)",IF(OR(ISNUMBER(SEARCH("아이디어",K1109)),ISNUMBER(SEARCH("시간초과",K1109)),ISNUMBER(SEARCH("자료구조",K1109)),ISNUMBER(SEARCH("경계값",K1109)),ISNUMBER(SEARCH("다른 풀이",K1109)),ISNUMBER(SEARCH("또풀기",K1109))),"복습대기",IF(OR(ISNUMBER(SEARCH("복습필요없음",K1109)),ISNUMBER(SEARCH("자력완벽",K1109))),"품(복습불필요)",IF(F1109&lt;&gt;"","품","미완료"))))))))))</f>
        <v/>
      </c>
      <c r="K1109" s="283" t="n"/>
      <c r="L1109" s="8" t="n"/>
      <c r="M1109" s="8">
        <f>IF(OR(LEFT(J1109,2)="보류", LEFT(J1109,4)="복습대기", LEFT(J1109,3)="복습1", LEFT(J1109,3)="복습2"), MAX($M$3:M1108)+1, "")</f>
        <v/>
      </c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</row>
    <row r="1110" ht="21.75" customHeight="1" s="209">
      <c r="A1110" s="112" t="n"/>
      <c r="B1110" s="159" t="n"/>
      <c r="C1110" s="159" t="n"/>
      <c r="D1110" s="8" t="n"/>
      <c r="E1110" s="8" t="n"/>
      <c r="F1110" s="160" t="n"/>
      <c r="G1110" s="161" t="n"/>
      <c r="H1110" s="161" t="n"/>
      <c r="I1110" s="161" t="n"/>
      <c r="J1110" s="162">
        <f>IF(OR(ISNUMBER(SEARCH("보류",K1110)),ISNUMBER(SEARCH("미룸",K1110)),ISNUMBER(SEARCH("나중에",K1110)),ISNUMBER(SEARCH("보류",L1110)),ISNUMBER(SEARCH("미룸",L1110)),ISNUMBER(SEARCH("나중에",L1110))),"보류(나중에 풀기)",IF(AND(F1110="",G1110="",H1110="",I1110=""),"미완료",IF(I1110&lt;&gt;"","복습3(마스터)",IF(H1110&lt;&gt;"","복습2",IF(G1110&lt;&gt;"","복습1",IF(ISNUMBER(SEARCH("제미나이",K1110)),"복습대기(AI도움)",IF(ISNUMBER(SEARCH("간당간당",K1110)),"복습대기(간당간당)",IF(OR(ISNUMBER(SEARCH("아이디어",K1110)),ISNUMBER(SEARCH("시간초과",K1110)),ISNUMBER(SEARCH("자료구조",K1110)),ISNUMBER(SEARCH("경계값",K1110)),ISNUMBER(SEARCH("다른 풀이",K1110)),ISNUMBER(SEARCH("또풀기",K1110))),"복습대기",IF(OR(ISNUMBER(SEARCH("복습필요없음",K1110)),ISNUMBER(SEARCH("자력완벽",K1110))),"품(복습불필요)",IF(F1110&lt;&gt;"","품","미완료"))))))))))</f>
        <v/>
      </c>
      <c r="K1110" s="283" t="n"/>
      <c r="L1110" s="8" t="n"/>
      <c r="M1110" s="8">
        <f>IF(OR(LEFT(J1110,2)="보류", LEFT(J1110,4)="복습대기", LEFT(J1110,3)="복습1", LEFT(J1110,3)="복습2"), MAX($M$3:M1109)+1, "")</f>
        <v/>
      </c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</row>
    <row r="1111" ht="21.75" customHeight="1" s="209">
      <c r="A1111" s="112" t="n"/>
      <c r="B1111" s="159" t="n"/>
      <c r="C1111" s="159" t="n"/>
      <c r="D1111" s="8" t="n"/>
      <c r="E1111" s="8" t="n"/>
      <c r="F1111" s="160" t="n"/>
      <c r="G1111" s="161" t="n"/>
      <c r="H1111" s="161" t="n"/>
      <c r="I1111" s="161" t="n"/>
      <c r="J1111" s="162">
        <f>IF(OR(ISNUMBER(SEARCH("보류",K1111)),ISNUMBER(SEARCH("미룸",K1111)),ISNUMBER(SEARCH("나중에",K1111)),ISNUMBER(SEARCH("보류",L1111)),ISNUMBER(SEARCH("미룸",L1111)),ISNUMBER(SEARCH("나중에",L1111))),"보류(나중에 풀기)",IF(AND(F1111="",G1111="",H1111="",I1111=""),"미완료",IF(I1111&lt;&gt;"","복습3(마스터)",IF(H1111&lt;&gt;"","복습2",IF(G1111&lt;&gt;"","복습1",IF(ISNUMBER(SEARCH("제미나이",K1111)),"복습대기(AI도움)",IF(ISNUMBER(SEARCH("간당간당",K1111)),"복습대기(간당간당)",IF(OR(ISNUMBER(SEARCH("아이디어",K1111)),ISNUMBER(SEARCH("시간초과",K1111)),ISNUMBER(SEARCH("자료구조",K1111)),ISNUMBER(SEARCH("경계값",K1111)),ISNUMBER(SEARCH("다른 풀이",K1111)),ISNUMBER(SEARCH("또풀기",K1111))),"복습대기",IF(OR(ISNUMBER(SEARCH("복습필요없음",K1111)),ISNUMBER(SEARCH("자력완벽",K1111))),"품(복습불필요)",IF(F1111&lt;&gt;"","품","미완료"))))))))))</f>
        <v/>
      </c>
      <c r="K1111" s="283" t="n"/>
      <c r="L1111" s="8" t="n"/>
      <c r="M1111" s="8">
        <f>IF(OR(LEFT(J1111,2)="보류", LEFT(J1111,4)="복습대기", LEFT(J1111,3)="복습1", LEFT(J1111,3)="복습2"), MAX($M$3:M1110)+1, "")</f>
        <v/>
      </c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</row>
    <row r="1112" ht="21.75" customHeight="1" s="209">
      <c r="A1112" s="112" t="n"/>
      <c r="B1112" s="159" t="n"/>
      <c r="C1112" s="159" t="n"/>
      <c r="D1112" s="8" t="n"/>
      <c r="E1112" s="8" t="n"/>
      <c r="F1112" s="160" t="n"/>
      <c r="G1112" s="161" t="n"/>
      <c r="H1112" s="161" t="n"/>
      <c r="I1112" s="161" t="n"/>
      <c r="J1112" s="162">
        <f>IF(OR(ISNUMBER(SEARCH("보류",K1112)),ISNUMBER(SEARCH("미룸",K1112)),ISNUMBER(SEARCH("나중에",K1112)),ISNUMBER(SEARCH("보류",L1112)),ISNUMBER(SEARCH("미룸",L1112)),ISNUMBER(SEARCH("나중에",L1112))),"보류(나중에 풀기)",IF(AND(F1112="",G1112="",H1112="",I1112=""),"미완료",IF(I1112&lt;&gt;"","복습3(마스터)",IF(H1112&lt;&gt;"","복습2",IF(G1112&lt;&gt;"","복습1",IF(ISNUMBER(SEARCH("제미나이",K1112)),"복습대기(AI도움)",IF(ISNUMBER(SEARCH("간당간당",K1112)),"복습대기(간당간당)",IF(OR(ISNUMBER(SEARCH("아이디어",K1112)),ISNUMBER(SEARCH("시간초과",K1112)),ISNUMBER(SEARCH("자료구조",K1112)),ISNUMBER(SEARCH("경계값",K1112)),ISNUMBER(SEARCH("다른 풀이",K1112)),ISNUMBER(SEARCH("또풀기",K1112))),"복습대기",IF(OR(ISNUMBER(SEARCH("복습필요없음",K1112)),ISNUMBER(SEARCH("자력완벽",K1112))),"품(복습불필요)",IF(F1112&lt;&gt;"","품","미완료"))))))))))</f>
        <v/>
      </c>
      <c r="K1112" s="283" t="n"/>
      <c r="L1112" s="8" t="n"/>
      <c r="M1112" s="8">
        <f>IF(OR(LEFT(J1112,2)="보류", LEFT(J1112,4)="복습대기", LEFT(J1112,3)="복습1", LEFT(J1112,3)="복습2"), MAX($M$3:M1111)+1, "")</f>
        <v/>
      </c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</row>
    <row r="1113" ht="21.75" customHeight="1" s="209">
      <c r="A1113" s="112" t="n"/>
      <c r="B1113" s="159" t="n"/>
      <c r="C1113" s="159" t="n"/>
      <c r="D1113" s="8" t="n"/>
      <c r="E1113" s="8" t="n"/>
      <c r="F1113" s="160" t="n"/>
      <c r="G1113" s="161" t="n"/>
      <c r="H1113" s="161" t="n"/>
      <c r="I1113" s="161" t="n"/>
      <c r="J1113" s="162">
        <f>IF(OR(ISNUMBER(SEARCH("보류",K1113)),ISNUMBER(SEARCH("미룸",K1113)),ISNUMBER(SEARCH("나중에",K1113)),ISNUMBER(SEARCH("보류",L1113)),ISNUMBER(SEARCH("미룸",L1113)),ISNUMBER(SEARCH("나중에",L1113))),"보류(나중에 풀기)",IF(AND(F1113="",G1113="",H1113="",I1113=""),"미완료",IF(I1113&lt;&gt;"","복습3(마스터)",IF(H1113&lt;&gt;"","복습2",IF(G1113&lt;&gt;"","복습1",IF(ISNUMBER(SEARCH("제미나이",K1113)),"복습대기(AI도움)",IF(ISNUMBER(SEARCH("간당간당",K1113)),"복습대기(간당간당)",IF(OR(ISNUMBER(SEARCH("아이디어",K1113)),ISNUMBER(SEARCH("시간초과",K1113)),ISNUMBER(SEARCH("자료구조",K1113)),ISNUMBER(SEARCH("경계값",K1113)),ISNUMBER(SEARCH("다른 풀이",K1113)),ISNUMBER(SEARCH("또풀기",K1113))),"복습대기",IF(OR(ISNUMBER(SEARCH("복습필요없음",K1113)),ISNUMBER(SEARCH("자력완벽",K1113))),"품(복습불필요)",IF(F1113&lt;&gt;"","품","미완료"))))))))))</f>
        <v/>
      </c>
      <c r="K1113" s="283" t="n"/>
      <c r="L1113" s="8" t="n"/>
      <c r="M1113" s="8">
        <f>IF(OR(LEFT(J1113,2)="보류", LEFT(J1113,4)="복습대기", LEFT(J1113,3)="복습1", LEFT(J1113,3)="복습2"), MAX($M$3:M1112)+1, "")</f>
        <v/>
      </c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</row>
    <row r="1114" ht="21.75" customHeight="1" s="209">
      <c r="A1114" s="112" t="n"/>
      <c r="B1114" s="159" t="n"/>
      <c r="C1114" s="159" t="n"/>
      <c r="D1114" s="8" t="n"/>
      <c r="E1114" s="8" t="n"/>
      <c r="F1114" s="160" t="n"/>
      <c r="G1114" s="161" t="n"/>
      <c r="H1114" s="161" t="n"/>
      <c r="I1114" s="161" t="n"/>
      <c r="J1114" s="162">
        <f>IF(OR(ISNUMBER(SEARCH("보류",K1114)),ISNUMBER(SEARCH("미룸",K1114)),ISNUMBER(SEARCH("나중에",K1114)),ISNUMBER(SEARCH("보류",L1114)),ISNUMBER(SEARCH("미룸",L1114)),ISNUMBER(SEARCH("나중에",L1114))),"보류(나중에 풀기)",IF(AND(F1114="",G1114="",H1114="",I1114=""),"미완료",IF(I1114&lt;&gt;"","복습3(마스터)",IF(H1114&lt;&gt;"","복습2",IF(G1114&lt;&gt;"","복습1",IF(ISNUMBER(SEARCH("제미나이",K1114)),"복습대기(AI도움)",IF(ISNUMBER(SEARCH("간당간당",K1114)),"복습대기(간당간당)",IF(OR(ISNUMBER(SEARCH("아이디어",K1114)),ISNUMBER(SEARCH("시간초과",K1114)),ISNUMBER(SEARCH("자료구조",K1114)),ISNUMBER(SEARCH("경계값",K1114)),ISNUMBER(SEARCH("다른 풀이",K1114)),ISNUMBER(SEARCH("또풀기",K1114))),"복습대기",IF(OR(ISNUMBER(SEARCH("복습필요없음",K1114)),ISNUMBER(SEARCH("자력완벽",K1114))),"품(복습불필요)",IF(F1114&lt;&gt;"","품","미완료"))))))))))</f>
        <v/>
      </c>
      <c r="K1114" s="283" t="n"/>
      <c r="L1114" s="8" t="n"/>
      <c r="M1114" s="8">
        <f>IF(OR(LEFT(J1114,2)="보류", LEFT(J1114,4)="복습대기", LEFT(J1114,3)="복습1", LEFT(J1114,3)="복습2"), MAX($M$3:M1113)+1, "")</f>
        <v/>
      </c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</row>
    <row r="1115" ht="21.75" customHeight="1" s="209">
      <c r="A1115" s="112" t="n"/>
      <c r="B1115" s="159" t="n"/>
      <c r="C1115" s="159" t="n"/>
      <c r="D1115" s="8" t="n"/>
      <c r="E1115" s="8" t="n"/>
      <c r="F1115" s="160" t="n"/>
      <c r="G1115" s="161" t="n"/>
      <c r="H1115" s="161" t="n"/>
      <c r="I1115" s="161" t="n"/>
      <c r="J1115" s="162">
        <f>IF(OR(ISNUMBER(SEARCH("보류",K1115)),ISNUMBER(SEARCH("미룸",K1115)),ISNUMBER(SEARCH("나중에",K1115)),ISNUMBER(SEARCH("보류",L1115)),ISNUMBER(SEARCH("미룸",L1115)),ISNUMBER(SEARCH("나중에",L1115))),"보류(나중에 풀기)",IF(AND(F1115="",G1115="",H1115="",I1115=""),"미완료",IF(I1115&lt;&gt;"","복습3(마스터)",IF(H1115&lt;&gt;"","복습2",IF(G1115&lt;&gt;"","복습1",IF(ISNUMBER(SEARCH("제미나이",K1115)),"복습대기(AI도움)",IF(ISNUMBER(SEARCH("간당간당",K1115)),"복습대기(간당간당)",IF(OR(ISNUMBER(SEARCH("아이디어",K1115)),ISNUMBER(SEARCH("시간초과",K1115)),ISNUMBER(SEARCH("자료구조",K1115)),ISNUMBER(SEARCH("경계값",K1115)),ISNUMBER(SEARCH("다른 풀이",K1115)),ISNUMBER(SEARCH("또풀기",K1115))),"복습대기",IF(OR(ISNUMBER(SEARCH("복습필요없음",K1115)),ISNUMBER(SEARCH("자력완벽",K1115))),"품(복습불필요)",IF(F1115&lt;&gt;"","품","미완료"))))))))))</f>
        <v/>
      </c>
      <c r="K1115" s="283" t="n"/>
      <c r="L1115" s="8" t="n"/>
      <c r="M1115" s="8">
        <f>IF(OR(LEFT(J1115,2)="보류", LEFT(J1115,4)="복습대기", LEFT(J1115,3)="복습1", LEFT(J1115,3)="복습2"), MAX($M$3:M1114)+1, "")</f>
        <v/>
      </c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</row>
    <row r="1116" ht="21.75" customHeight="1" s="209">
      <c r="A1116" s="112" t="n"/>
      <c r="B1116" s="159" t="n"/>
      <c r="C1116" s="159" t="n"/>
      <c r="D1116" s="8" t="n"/>
      <c r="E1116" s="8" t="n"/>
      <c r="F1116" s="160" t="n"/>
      <c r="G1116" s="161" t="n"/>
      <c r="H1116" s="161" t="n"/>
      <c r="I1116" s="161" t="n"/>
      <c r="J1116" s="162">
        <f>IF(OR(ISNUMBER(SEARCH("보류",K1116)),ISNUMBER(SEARCH("미룸",K1116)),ISNUMBER(SEARCH("나중에",K1116)),ISNUMBER(SEARCH("보류",L1116)),ISNUMBER(SEARCH("미룸",L1116)),ISNUMBER(SEARCH("나중에",L1116))),"보류(나중에 풀기)",IF(AND(F1116="",G1116="",H1116="",I1116=""),"미완료",IF(I1116&lt;&gt;"","복습3(마스터)",IF(H1116&lt;&gt;"","복습2",IF(G1116&lt;&gt;"","복습1",IF(ISNUMBER(SEARCH("제미나이",K1116)),"복습대기(AI도움)",IF(ISNUMBER(SEARCH("간당간당",K1116)),"복습대기(간당간당)",IF(OR(ISNUMBER(SEARCH("아이디어",K1116)),ISNUMBER(SEARCH("시간초과",K1116)),ISNUMBER(SEARCH("자료구조",K1116)),ISNUMBER(SEARCH("경계값",K1116)),ISNUMBER(SEARCH("다른 풀이",K1116)),ISNUMBER(SEARCH("또풀기",K1116))),"복습대기",IF(OR(ISNUMBER(SEARCH("복습필요없음",K1116)),ISNUMBER(SEARCH("자력완벽",K1116))),"품(복습불필요)",IF(F1116&lt;&gt;"","품","미완료"))))))))))</f>
        <v/>
      </c>
      <c r="K1116" s="283" t="n"/>
      <c r="L1116" s="8" t="n"/>
      <c r="M1116" s="8">
        <f>IF(OR(LEFT(J1116,2)="보류", LEFT(J1116,4)="복습대기", LEFT(J1116,3)="복습1", LEFT(J1116,3)="복습2"), MAX($M$3:M1115)+1, "")</f>
        <v/>
      </c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</row>
    <row r="1117" ht="21.75" customHeight="1" s="209">
      <c r="A1117" s="112" t="n"/>
      <c r="B1117" s="159" t="n"/>
      <c r="C1117" s="159" t="n"/>
      <c r="D1117" s="8" t="n"/>
      <c r="E1117" s="8" t="n"/>
      <c r="F1117" s="160" t="n"/>
      <c r="G1117" s="161" t="n"/>
      <c r="H1117" s="161" t="n"/>
      <c r="I1117" s="161" t="n"/>
      <c r="J1117" s="162">
        <f>IF(OR(ISNUMBER(SEARCH("보류",K1117)),ISNUMBER(SEARCH("미룸",K1117)),ISNUMBER(SEARCH("나중에",K1117)),ISNUMBER(SEARCH("보류",L1117)),ISNUMBER(SEARCH("미룸",L1117)),ISNUMBER(SEARCH("나중에",L1117))),"보류(나중에 풀기)",IF(AND(F1117="",G1117="",H1117="",I1117=""),"미완료",IF(I1117&lt;&gt;"","복습3(마스터)",IF(H1117&lt;&gt;"","복습2",IF(G1117&lt;&gt;"","복습1",IF(ISNUMBER(SEARCH("제미나이",K1117)),"복습대기(AI도움)",IF(ISNUMBER(SEARCH("간당간당",K1117)),"복습대기(간당간당)",IF(OR(ISNUMBER(SEARCH("아이디어",K1117)),ISNUMBER(SEARCH("시간초과",K1117)),ISNUMBER(SEARCH("자료구조",K1117)),ISNUMBER(SEARCH("경계값",K1117)),ISNUMBER(SEARCH("다른 풀이",K1117)),ISNUMBER(SEARCH("또풀기",K1117))),"복습대기",IF(OR(ISNUMBER(SEARCH("복습필요없음",K1117)),ISNUMBER(SEARCH("자력완벽",K1117))),"품(복습불필요)",IF(F1117&lt;&gt;"","품","미완료"))))))))))</f>
        <v/>
      </c>
      <c r="K1117" s="283" t="n"/>
      <c r="L1117" s="8" t="n"/>
      <c r="M1117" s="8">
        <f>IF(OR(LEFT(J1117,2)="보류", LEFT(J1117,4)="복습대기", LEFT(J1117,3)="복습1", LEFT(J1117,3)="복습2"), MAX($M$3:M1116)+1, "")</f>
        <v/>
      </c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</row>
    <row r="1118" ht="21.75" customHeight="1" s="209">
      <c r="A1118" s="112" t="n"/>
      <c r="B1118" s="159" t="n"/>
      <c r="C1118" s="159" t="n"/>
      <c r="D1118" s="8" t="n"/>
      <c r="E1118" s="8" t="n"/>
      <c r="F1118" s="160" t="n"/>
      <c r="G1118" s="161" t="n"/>
      <c r="H1118" s="161" t="n"/>
      <c r="I1118" s="161" t="n"/>
      <c r="J1118" s="162">
        <f>IF(OR(ISNUMBER(SEARCH("보류",K1118)),ISNUMBER(SEARCH("미룸",K1118)),ISNUMBER(SEARCH("나중에",K1118)),ISNUMBER(SEARCH("보류",L1118)),ISNUMBER(SEARCH("미룸",L1118)),ISNUMBER(SEARCH("나중에",L1118))),"보류(나중에 풀기)",IF(AND(F1118="",G1118="",H1118="",I1118=""),"미완료",IF(I1118&lt;&gt;"","복습3(마스터)",IF(H1118&lt;&gt;"","복습2",IF(G1118&lt;&gt;"","복습1",IF(ISNUMBER(SEARCH("제미나이",K1118)),"복습대기(AI도움)",IF(ISNUMBER(SEARCH("간당간당",K1118)),"복습대기(간당간당)",IF(OR(ISNUMBER(SEARCH("아이디어",K1118)),ISNUMBER(SEARCH("시간초과",K1118)),ISNUMBER(SEARCH("자료구조",K1118)),ISNUMBER(SEARCH("경계값",K1118)),ISNUMBER(SEARCH("다른 풀이",K1118)),ISNUMBER(SEARCH("또풀기",K1118))),"복습대기",IF(OR(ISNUMBER(SEARCH("복습필요없음",K1118)),ISNUMBER(SEARCH("자력완벽",K1118))),"품(복습불필요)",IF(F1118&lt;&gt;"","품","미완료"))))))))))</f>
        <v/>
      </c>
      <c r="K1118" s="283" t="n"/>
      <c r="L1118" s="8" t="n"/>
      <c r="M1118" s="8">
        <f>IF(OR(LEFT(J1118,2)="보류", LEFT(J1118,4)="복습대기", LEFT(J1118,3)="복습1", LEFT(J1118,3)="복습2"), MAX($M$3:M1117)+1, "")</f>
        <v/>
      </c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</row>
    <row r="1119" ht="21.75" customHeight="1" s="209">
      <c r="A1119" s="112" t="n"/>
      <c r="B1119" s="159" t="n"/>
      <c r="C1119" s="159" t="n"/>
      <c r="D1119" s="8" t="n"/>
      <c r="E1119" s="8" t="n"/>
      <c r="F1119" s="160" t="n"/>
      <c r="G1119" s="161" t="n"/>
      <c r="H1119" s="161" t="n"/>
      <c r="I1119" s="161" t="n"/>
      <c r="J1119" s="162">
        <f>IF(OR(ISNUMBER(SEARCH("보류",K1119)),ISNUMBER(SEARCH("미룸",K1119)),ISNUMBER(SEARCH("나중에",K1119)),ISNUMBER(SEARCH("보류",L1119)),ISNUMBER(SEARCH("미룸",L1119)),ISNUMBER(SEARCH("나중에",L1119))),"보류(나중에 풀기)",IF(AND(F1119="",G1119="",H1119="",I1119=""),"미완료",IF(I1119&lt;&gt;"","복습3(마스터)",IF(H1119&lt;&gt;"","복습2",IF(G1119&lt;&gt;"","복습1",IF(ISNUMBER(SEARCH("제미나이",K1119)),"복습대기(AI도움)",IF(ISNUMBER(SEARCH("간당간당",K1119)),"복습대기(간당간당)",IF(OR(ISNUMBER(SEARCH("아이디어",K1119)),ISNUMBER(SEARCH("시간초과",K1119)),ISNUMBER(SEARCH("자료구조",K1119)),ISNUMBER(SEARCH("경계값",K1119)),ISNUMBER(SEARCH("다른 풀이",K1119)),ISNUMBER(SEARCH("또풀기",K1119))),"복습대기",IF(OR(ISNUMBER(SEARCH("복습필요없음",K1119)),ISNUMBER(SEARCH("자력완벽",K1119))),"품(복습불필요)",IF(F1119&lt;&gt;"","품","미완료"))))))))))</f>
        <v/>
      </c>
      <c r="K1119" s="283" t="n"/>
      <c r="L1119" s="8" t="n"/>
      <c r="M1119" s="8">
        <f>IF(OR(LEFT(J1119,2)="보류", LEFT(J1119,4)="복습대기", LEFT(J1119,3)="복습1", LEFT(J1119,3)="복습2"), MAX($M$3:M1118)+1, "")</f>
        <v/>
      </c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</row>
    <row r="1120" ht="21.75" customHeight="1" s="209">
      <c r="A1120" s="112" t="n"/>
      <c r="B1120" s="159" t="n"/>
      <c r="C1120" s="159" t="n"/>
      <c r="D1120" s="8" t="n"/>
      <c r="E1120" s="8" t="n"/>
      <c r="F1120" s="160" t="n"/>
      <c r="G1120" s="161" t="n"/>
      <c r="H1120" s="161" t="n"/>
      <c r="I1120" s="161" t="n"/>
      <c r="J1120" s="162">
        <f>IF(OR(ISNUMBER(SEARCH("보류",K1120)),ISNUMBER(SEARCH("미룸",K1120)),ISNUMBER(SEARCH("나중에",K1120)),ISNUMBER(SEARCH("보류",L1120)),ISNUMBER(SEARCH("미룸",L1120)),ISNUMBER(SEARCH("나중에",L1120))),"보류(나중에 풀기)",IF(AND(F1120="",G1120="",H1120="",I1120=""),"미완료",IF(I1120&lt;&gt;"","복습3(마스터)",IF(H1120&lt;&gt;"","복습2",IF(G1120&lt;&gt;"","복습1",IF(ISNUMBER(SEARCH("제미나이",K1120)),"복습대기(AI도움)",IF(ISNUMBER(SEARCH("간당간당",K1120)),"복습대기(간당간당)",IF(OR(ISNUMBER(SEARCH("아이디어",K1120)),ISNUMBER(SEARCH("시간초과",K1120)),ISNUMBER(SEARCH("자료구조",K1120)),ISNUMBER(SEARCH("경계값",K1120)),ISNUMBER(SEARCH("다른 풀이",K1120)),ISNUMBER(SEARCH("또풀기",K1120))),"복습대기",IF(OR(ISNUMBER(SEARCH("복습필요없음",K1120)),ISNUMBER(SEARCH("자력완벽",K1120))),"품(복습불필요)",IF(F1120&lt;&gt;"","품","미완료"))))))))))</f>
        <v/>
      </c>
      <c r="K1120" s="283" t="n"/>
      <c r="L1120" s="8" t="n"/>
      <c r="M1120" s="8">
        <f>IF(OR(LEFT(J1120,2)="보류", LEFT(J1120,4)="복습대기", LEFT(J1120,3)="복습1", LEFT(J1120,3)="복습2"), MAX($M$3:M1119)+1, "")</f>
        <v/>
      </c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</row>
    <row r="1121" ht="21.75" customHeight="1" s="209">
      <c r="A1121" s="112" t="n"/>
      <c r="B1121" s="159" t="n"/>
      <c r="C1121" s="159" t="n"/>
      <c r="D1121" s="8" t="n"/>
      <c r="E1121" s="8" t="n"/>
      <c r="F1121" s="160" t="n"/>
      <c r="G1121" s="161" t="n"/>
      <c r="H1121" s="161" t="n"/>
      <c r="I1121" s="161" t="n"/>
      <c r="J1121" s="162">
        <f>IF(OR(ISNUMBER(SEARCH("보류",K1121)),ISNUMBER(SEARCH("미룸",K1121)),ISNUMBER(SEARCH("나중에",K1121)),ISNUMBER(SEARCH("보류",L1121)),ISNUMBER(SEARCH("미룸",L1121)),ISNUMBER(SEARCH("나중에",L1121))),"보류(나중에 풀기)",IF(AND(F1121="",G1121="",H1121="",I1121=""),"미완료",IF(I1121&lt;&gt;"","복습3(마스터)",IF(H1121&lt;&gt;"","복습2",IF(G1121&lt;&gt;"","복습1",IF(ISNUMBER(SEARCH("제미나이",K1121)),"복습대기(AI도움)",IF(ISNUMBER(SEARCH("간당간당",K1121)),"복습대기(간당간당)",IF(OR(ISNUMBER(SEARCH("아이디어",K1121)),ISNUMBER(SEARCH("시간초과",K1121)),ISNUMBER(SEARCH("자료구조",K1121)),ISNUMBER(SEARCH("경계값",K1121)),ISNUMBER(SEARCH("다른 풀이",K1121)),ISNUMBER(SEARCH("또풀기",K1121))),"복습대기",IF(OR(ISNUMBER(SEARCH("복습필요없음",K1121)),ISNUMBER(SEARCH("자력완벽",K1121))),"품(복습불필요)",IF(F1121&lt;&gt;"","품","미완료"))))))))))</f>
        <v/>
      </c>
      <c r="K1121" s="283" t="n"/>
      <c r="L1121" s="8" t="n"/>
      <c r="M1121" s="8">
        <f>IF(OR(LEFT(J1121,2)="보류", LEFT(J1121,4)="복습대기", LEFT(J1121,3)="복습1", LEFT(J1121,3)="복습2"), MAX($M$3:M1120)+1, "")</f>
        <v/>
      </c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</row>
    <row r="1122" ht="21.75" customHeight="1" s="209">
      <c r="A1122" s="112" t="n"/>
      <c r="B1122" s="159" t="n"/>
      <c r="C1122" s="159" t="n"/>
      <c r="D1122" s="8" t="n"/>
      <c r="E1122" s="8" t="n"/>
      <c r="F1122" s="160" t="n"/>
      <c r="G1122" s="161" t="n"/>
      <c r="H1122" s="161" t="n"/>
      <c r="I1122" s="161" t="n"/>
      <c r="J1122" s="162">
        <f>IF(OR(ISNUMBER(SEARCH("보류",K1122)),ISNUMBER(SEARCH("미룸",K1122)),ISNUMBER(SEARCH("나중에",K1122)),ISNUMBER(SEARCH("보류",L1122)),ISNUMBER(SEARCH("미룸",L1122)),ISNUMBER(SEARCH("나중에",L1122))),"보류(나중에 풀기)",IF(AND(F1122="",G1122="",H1122="",I1122=""),"미완료",IF(I1122&lt;&gt;"","복습3(마스터)",IF(H1122&lt;&gt;"","복습2",IF(G1122&lt;&gt;"","복습1",IF(ISNUMBER(SEARCH("제미나이",K1122)),"복습대기(AI도움)",IF(ISNUMBER(SEARCH("간당간당",K1122)),"복습대기(간당간당)",IF(OR(ISNUMBER(SEARCH("아이디어",K1122)),ISNUMBER(SEARCH("시간초과",K1122)),ISNUMBER(SEARCH("자료구조",K1122)),ISNUMBER(SEARCH("경계값",K1122)),ISNUMBER(SEARCH("다른 풀이",K1122)),ISNUMBER(SEARCH("또풀기",K1122))),"복습대기",IF(OR(ISNUMBER(SEARCH("복습필요없음",K1122)),ISNUMBER(SEARCH("자력완벽",K1122))),"품(복습불필요)",IF(F1122&lt;&gt;"","품","미완료"))))))))))</f>
        <v/>
      </c>
      <c r="K1122" s="283" t="n"/>
      <c r="L1122" s="8" t="n"/>
      <c r="M1122" s="8">
        <f>IF(OR(LEFT(J1122,2)="보류", LEFT(J1122,4)="복습대기", LEFT(J1122,3)="복습1", LEFT(J1122,3)="복습2"), MAX($M$3:M1121)+1, "")</f>
        <v/>
      </c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</row>
    <row r="1123" ht="21.75" customHeight="1" s="209">
      <c r="A1123" s="112" t="n"/>
      <c r="B1123" s="159" t="n"/>
      <c r="C1123" s="159" t="n"/>
      <c r="D1123" s="8" t="n"/>
      <c r="E1123" s="8" t="n"/>
      <c r="F1123" s="160" t="n"/>
      <c r="G1123" s="161" t="n"/>
      <c r="H1123" s="161" t="n"/>
      <c r="I1123" s="161" t="n"/>
      <c r="J1123" s="162">
        <f>IF(OR(ISNUMBER(SEARCH("보류",K1123)),ISNUMBER(SEARCH("미룸",K1123)),ISNUMBER(SEARCH("나중에",K1123)),ISNUMBER(SEARCH("보류",L1123)),ISNUMBER(SEARCH("미룸",L1123)),ISNUMBER(SEARCH("나중에",L1123))),"보류(나중에 풀기)",IF(AND(F1123="",G1123="",H1123="",I1123=""),"미완료",IF(I1123&lt;&gt;"","복습3(마스터)",IF(H1123&lt;&gt;"","복습2",IF(G1123&lt;&gt;"","복습1",IF(ISNUMBER(SEARCH("제미나이",K1123)),"복습대기(AI도움)",IF(ISNUMBER(SEARCH("간당간당",K1123)),"복습대기(간당간당)",IF(OR(ISNUMBER(SEARCH("아이디어",K1123)),ISNUMBER(SEARCH("시간초과",K1123)),ISNUMBER(SEARCH("자료구조",K1123)),ISNUMBER(SEARCH("경계값",K1123)),ISNUMBER(SEARCH("다른 풀이",K1123)),ISNUMBER(SEARCH("또풀기",K1123))),"복습대기",IF(OR(ISNUMBER(SEARCH("복습필요없음",K1123)),ISNUMBER(SEARCH("자력완벽",K1123))),"품(복습불필요)",IF(F1123&lt;&gt;"","품","미완료"))))))))))</f>
        <v/>
      </c>
      <c r="K1123" s="283" t="n"/>
      <c r="L1123" s="8" t="n"/>
      <c r="M1123" s="8">
        <f>IF(OR(LEFT(J1123,2)="보류", LEFT(J1123,4)="복습대기", LEFT(J1123,3)="복습1", LEFT(J1123,3)="복습2"), MAX($M$3:M1122)+1, "")</f>
        <v/>
      </c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</row>
    <row r="1124" ht="21.75" customHeight="1" s="209">
      <c r="A1124" s="112" t="n"/>
      <c r="B1124" s="159" t="n"/>
      <c r="C1124" s="159" t="n"/>
      <c r="D1124" s="8" t="n"/>
      <c r="E1124" s="8" t="n"/>
      <c r="F1124" s="160" t="n"/>
      <c r="G1124" s="161" t="n"/>
      <c r="H1124" s="161" t="n"/>
      <c r="I1124" s="161" t="n"/>
      <c r="J1124" s="162">
        <f>IF(OR(ISNUMBER(SEARCH("보류",K1124)),ISNUMBER(SEARCH("미룸",K1124)),ISNUMBER(SEARCH("나중에",K1124)),ISNUMBER(SEARCH("보류",L1124)),ISNUMBER(SEARCH("미룸",L1124)),ISNUMBER(SEARCH("나중에",L1124))),"보류(나중에 풀기)",IF(AND(F1124="",G1124="",H1124="",I1124=""),"미완료",IF(I1124&lt;&gt;"","복습3(마스터)",IF(H1124&lt;&gt;"","복습2",IF(G1124&lt;&gt;"","복습1",IF(ISNUMBER(SEARCH("제미나이",K1124)),"복습대기(AI도움)",IF(ISNUMBER(SEARCH("간당간당",K1124)),"복습대기(간당간당)",IF(OR(ISNUMBER(SEARCH("아이디어",K1124)),ISNUMBER(SEARCH("시간초과",K1124)),ISNUMBER(SEARCH("자료구조",K1124)),ISNUMBER(SEARCH("경계값",K1124)),ISNUMBER(SEARCH("다른 풀이",K1124)),ISNUMBER(SEARCH("또풀기",K1124))),"복습대기",IF(OR(ISNUMBER(SEARCH("복습필요없음",K1124)),ISNUMBER(SEARCH("자력완벽",K1124))),"품(복습불필요)",IF(F1124&lt;&gt;"","품","미완료"))))))))))</f>
        <v/>
      </c>
      <c r="K1124" s="283" t="n"/>
      <c r="L1124" s="8" t="n"/>
      <c r="M1124" s="8">
        <f>IF(OR(LEFT(J1124,2)="보류", LEFT(J1124,4)="복습대기", LEFT(J1124,3)="복습1", LEFT(J1124,3)="복습2"), MAX($M$3:M1123)+1, "")</f>
        <v/>
      </c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</row>
    <row r="1125" ht="21.75" customHeight="1" s="209">
      <c r="A1125" s="112" t="n"/>
      <c r="B1125" s="159" t="n"/>
      <c r="C1125" s="159" t="n"/>
      <c r="D1125" s="8" t="n"/>
      <c r="E1125" s="8" t="n"/>
      <c r="F1125" s="160" t="n"/>
      <c r="G1125" s="161" t="n"/>
      <c r="H1125" s="161" t="n"/>
      <c r="I1125" s="161" t="n"/>
      <c r="J1125" s="162">
        <f>IF(OR(ISNUMBER(SEARCH("보류",K1125)),ISNUMBER(SEARCH("미룸",K1125)),ISNUMBER(SEARCH("나중에",K1125)),ISNUMBER(SEARCH("보류",L1125)),ISNUMBER(SEARCH("미룸",L1125)),ISNUMBER(SEARCH("나중에",L1125))),"보류(나중에 풀기)",IF(AND(F1125="",G1125="",H1125="",I1125=""),"미완료",IF(I1125&lt;&gt;"","복습3(마스터)",IF(H1125&lt;&gt;"","복습2",IF(G1125&lt;&gt;"","복습1",IF(ISNUMBER(SEARCH("제미나이",K1125)),"복습대기(AI도움)",IF(ISNUMBER(SEARCH("간당간당",K1125)),"복습대기(간당간당)",IF(OR(ISNUMBER(SEARCH("아이디어",K1125)),ISNUMBER(SEARCH("시간초과",K1125)),ISNUMBER(SEARCH("자료구조",K1125)),ISNUMBER(SEARCH("경계값",K1125)),ISNUMBER(SEARCH("다른 풀이",K1125)),ISNUMBER(SEARCH("또풀기",K1125))),"복습대기",IF(OR(ISNUMBER(SEARCH("복습필요없음",K1125)),ISNUMBER(SEARCH("자력완벽",K1125))),"품(복습불필요)",IF(F1125&lt;&gt;"","품","미완료"))))))))))</f>
        <v/>
      </c>
      <c r="K1125" s="283" t="n"/>
      <c r="L1125" s="8" t="n"/>
      <c r="M1125" s="8">
        <f>IF(OR(LEFT(J1125,2)="보류", LEFT(J1125,4)="복습대기", LEFT(J1125,3)="복습1", LEFT(J1125,3)="복습2"), MAX($M$3:M1124)+1, "")</f>
        <v/>
      </c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</row>
    <row r="1126" ht="21.75" customHeight="1" s="209">
      <c r="A1126" s="112" t="n"/>
      <c r="B1126" s="159" t="n"/>
      <c r="C1126" s="159" t="n"/>
      <c r="D1126" s="8" t="n"/>
      <c r="E1126" s="8" t="n"/>
      <c r="F1126" s="160" t="n"/>
      <c r="G1126" s="161" t="n"/>
      <c r="H1126" s="161" t="n"/>
      <c r="I1126" s="161" t="n"/>
      <c r="J1126" s="162">
        <f>IF(OR(ISNUMBER(SEARCH("보류",K1126)),ISNUMBER(SEARCH("미룸",K1126)),ISNUMBER(SEARCH("나중에",K1126)),ISNUMBER(SEARCH("보류",L1126)),ISNUMBER(SEARCH("미룸",L1126)),ISNUMBER(SEARCH("나중에",L1126))),"보류(나중에 풀기)",IF(AND(F1126="",G1126="",H1126="",I1126=""),"미완료",IF(I1126&lt;&gt;"","복습3(마스터)",IF(H1126&lt;&gt;"","복습2",IF(G1126&lt;&gt;"","복습1",IF(ISNUMBER(SEARCH("제미나이",K1126)),"복습대기(AI도움)",IF(ISNUMBER(SEARCH("간당간당",K1126)),"복습대기(간당간당)",IF(OR(ISNUMBER(SEARCH("아이디어",K1126)),ISNUMBER(SEARCH("시간초과",K1126)),ISNUMBER(SEARCH("자료구조",K1126)),ISNUMBER(SEARCH("경계값",K1126)),ISNUMBER(SEARCH("다른 풀이",K1126)),ISNUMBER(SEARCH("또풀기",K1126))),"복습대기",IF(OR(ISNUMBER(SEARCH("복습필요없음",K1126)),ISNUMBER(SEARCH("자력완벽",K1126))),"품(복습불필요)",IF(F1126&lt;&gt;"","품","미완료"))))))))))</f>
        <v/>
      </c>
      <c r="K1126" s="283" t="n"/>
      <c r="L1126" s="8" t="n"/>
      <c r="M1126" s="8">
        <f>IF(OR(LEFT(J1126,2)="보류", LEFT(J1126,4)="복습대기", LEFT(J1126,3)="복습1", LEFT(J1126,3)="복습2"), MAX($M$3:M1125)+1, "")</f>
        <v/>
      </c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</row>
    <row r="1127" ht="21.75" customHeight="1" s="209">
      <c r="A1127" s="112" t="n"/>
      <c r="B1127" s="159" t="n"/>
      <c r="C1127" s="159" t="n"/>
      <c r="D1127" s="8" t="n"/>
      <c r="E1127" s="8" t="n"/>
      <c r="F1127" s="160" t="n"/>
      <c r="G1127" s="161" t="n"/>
      <c r="H1127" s="161" t="n"/>
      <c r="I1127" s="161" t="n"/>
      <c r="J1127" s="162">
        <f>IF(OR(ISNUMBER(SEARCH("보류",K1127)),ISNUMBER(SEARCH("미룸",K1127)),ISNUMBER(SEARCH("나중에",K1127)),ISNUMBER(SEARCH("보류",L1127)),ISNUMBER(SEARCH("미룸",L1127)),ISNUMBER(SEARCH("나중에",L1127))),"보류(나중에 풀기)",IF(AND(F1127="",G1127="",H1127="",I1127=""),"미완료",IF(I1127&lt;&gt;"","복습3(마스터)",IF(H1127&lt;&gt;"","복습2",IF(G1127&lt;&gt;"","복습1",IF(ISNUMBER(SEARCH("제미나이",K1127)),"복습대기(AI도움)",IF(ISNUMBER(SEARCH("간당간당",K1127)),"복습대기(간당간당)",IF(OR(ISNUMBER(SEARCH("아이디어",K1127)),ISNUMBER(SEARCH("시간초과",K1127)),ISNUMBER(SEARCH("자료구조",K1127)),ISNUMBER(SEARCH("경계값",K1127)),ISNUMBER(SEARCH("다른 풀이",K1127)),ISNUMBER(SEARCH("또풀기",K1127))),"복습대기",IF(OR(ISNUMBER(SEARCH("복습필요없음",K1127)),ISNUMBER(SEARCH("자력완벽",K1127))),"품(복습불필요)",IF(F1127&lt;&gt;"","품","미완료"))))))))))</f>
        <v/>
      </c>
      <c r="K1127" s="283" t="n"/>
      <c r="L1127" s="8" t="n"/>
      <c r="M1127" s="8">
        <f>IF(OR(LEFT(J1127,2)="보류", LEFT(J1127,4)="복습대기", LEFT(J1127,3)="복습1", LEFT(J1127,3)="복습2"), MAX($M$3:M1126)+1, "")</f>
        <v/>
      </c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</row>
    <row r="1128" ht="21.75" customHeight="1" s="209">
      <c r="A1128" s="112" t="n"/>
      <c r="B1128" s="159" t="n"/>
      <c r="C1128" s="159" t="n"/>
      <c r="D1128" s="8" t="n"/>
      <c r="E1128" s="8" t="n"/>
      <c r="F1128" s="160" t="n"/>
      <c r="G1128" s="161" t="n"/>
      <c r="H1128" s="161" t="n"/>
      <c r="I1128" s="161" t="n"/>
      <c r="J1128" s="162">
        <f>IF(OR(ISNUMBER(SEARCH("보류",K1128)),ISNUMBER(SEARCH("미룸",K1128)),ISNUMBER(SEARCH("나중에",K1128)),ISNUMBER(SEARCH("보류",L1128)),ISNUMBER(SEARCH("미룸",L1128)),ISNUMBER(SEARCH("나중에",L1128))),"보류(나중에 풀기)",IF(AND(F1128="",G1128="",H1128="",I1128=""),"미완료",IF(I1128&lt;&gt;"","복습3(마스터)",IF(H1128&lt;&gt;"","복습2",IF(G1128&lt;&gt;"","복습1",IF(ISNUMBER(SEARCH("제미나이",K1128)),"복습대기(AI도움)",IF(ISNUMBER(SEARCH("간당간당",K1128)),"복습대기(간당간당)",IF(OR(ISNUMBER(SEARCH("아이디어",K1128)),ISNUMBER(SEARCH("시간초과",K1128)),ISNUMBER(SEARCH("자료구조",K1128)),ISNUMBER(SEARCH("경계값",K1128)),ISNUMBER(SEARCH("다른 풀이",K1128)),ISNUMBER(SEARCH("또풀기",K1128))),"복습대기",IF(OR(ISNUMBER(SEARCH("복습필요없음",K1128)),ISNUMBER(SEARCH("자력완벽",K1128))),"품(복습불필요)",IF(F1128&lt;&gt;"","품","미완료"))))))))))</f>
        <v/>
      </c>
      <c r="K1128" s="283" t="n"/>
      <c r="L1128" s="8" t="n"/>
      <c r="M1128" s="8">
        <f>IF(OR(LEFT(J1128,2)="보류", LEFT(J1128,4)="복습대기", LEFT(J1128,3)="복습1", LEFT(J1128,3)="복습2"), MAX($M$3:M1127)+1, "")</f>
        <v/>
      </c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</row>
    <row r="1129" ht="21.75" customHeight="1" s="209">
      <c r="A1129" s="112" t="n"/>
      <c r="B1129" s="159" t="n"/>
      <c r="C1129" s="159" t="n"/>
      <c r="D1129" s="8" t="n"/>
      <c r="E1129" s="8" t="n"/>
      <c r="F1129" s="160" t="n"/>
      <c r="G1129" s="161" t="n"/>
      <c r="H1129" s="161" t="n"/>
      <c r="I1129" s="161" t="n"/>
      <c r="J1129" s="162">
        <f>IF(OR(ISNUMBER(SEARCH("보류",K1129)),ISNUMBER(SEARCH("미룸",K1129)),ISNUMBER(SEARCH("나중에",K1129)),ISNUMBER(SEARCH("보류",L1129)),ISNUMBER(SEARCH("미룸",L1129)),ISNUMBER(SEARCH("나중에",L1129))),"보류(나중에 풀기)",IF(AND(F1129="",G1129="",H1129="",I1129=""),"미완료",IF(I1129&lt;&gt;"","복습3(마스터)",IF(H1129&lt;&gt;"","복습2",IF(G1129&lt;&gt;"","복습1",IF(ISNUMBER(SEARCH("제미나이",K1129)),"복습대기(AI도움)",IF(ISNUMBER(SEARCH("간당간당",K1129)),"복습대기(간당간당)",IF(OR(ISNUMBER(SEARCH("아이디어",K1129)),ISNUMBER(SEARCH("시간초과",K1129)),ISNUMBER(SEARCH("자료구조",K1129)),ISNUMBER(SEARCH("경계값",K1129)),ISNUMBER(SEARCH("다른 풀이",K1129)),ISNUMBER(SEARCH("또풀기",K1129))),"복습대기",IF(OR(ISNUMBER(SEARCH("복습필요없음",K1129)),ISNUMBER(SEARCH("자력완벽",K1129))),"품(복습불필요)",IF(F1129&lt;&gt;"","품","미완료"))))))))))</f>
        <v/>
      </c>
      <c r="K1129" s="283" t="n"/>
      <c r="L1129" s="8" t="n"/>
      <c r="M1129" s="8">
        <f>IF(OR(LEFT(J1129,2)="보류", LEFT(J1129,4)="복습대기", LEFT(J1129,3)="복습1", LEFT(J1129,3)="복습2"), MAX($M$3:M1128)+1, "")</f>
        <v/>
      </c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</row>
    <row r="1130" ht="21.75" customHeight="1" s="209">
      <c r="A1130" s="112" t="n"/>
      <c r="B1130" s="159" t="n"/>
      <c r="C1130" s="159" t="n"/>
      <c r="D1130" s="8" t="n"/>
      <c r="E1130" s="8" t="n"/>
      <c r="F1130" s="160" t="n"/>
      <c r="G1130" s="161" t="n"/>
      <c r="H1130" s="161" t="n"/>
      <c r="I1130" s="161" t="n"/>
      <c r="J1130" s="162">
        <f>IF(OR(ISNUMBER(SEARCH("보류",K1130)),ISNUMBER(SEARCH("미룸",K1130)),ISNUMBER(SEARCH("나중에",K1130)),ISNUMBER(SEARCH("보류",L1130)),ISNUMBER(SEARCH("미룸",L1130)),ISNUMBER(SEARCH("나중에",L1130))),"보류(나중에 풀기)",IF(AND(F1130="",G1130="",H1130="",I1130=""),"미완료",IF(I1130&lt;&gt;"","복습3(마스터)",IF(H1130&lt;&gt;"","복습2",IF(G1130&lt;&gt;"","복습1",IF(ISNUMBER(SEARCH("제미나이",K1130)),"복습대기(AI도움)",IF(ISNUMBER(SEARCH("간당간당",K1130)),"복습대기(간당간당)",IF(OR(ISNUMBER(SEARCH("아이디어",K1130)),ISNUMBER(SEARCH("시간초과",K1130)),ISNUMBER(SEARCH("자료구조",K1130)),ISNUMBER(SEARCH("경계값",K1130)),ISNUMBER(SEARCH("다른 풀이",K1130)),ISNUMBER(SEARCH("또풀기",K1130))),"복습대기",IF(OR(ISNUMBER(SEARCH("복습필요없음",K1130)),ISNUMBER(SEARCH("자력완벽",K1130))),"품(복습불필요)",IF(F1130&lt;&gt;"","품","미완료"))))))))))</f>
        <v/>
      </c>
      <c r="K1130" s="283" t="n"/>
      <c r="L1130" s="8" t="n"/>
      <c r="M1130" s="8">
        <f>IF(OR(LEFT(J1130,2)="보류", LEFT(J1130,4)="복습대기", LEFT(J1130,3)="복습1", LEFT(J1130,3)="복습2"), MAX($M$3:M1129)+1, "")</f>
        <v/>
      </c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</row>
    <row r="1131" ht="21.75" customHeight="1" s="209">
      <c r="A1131" s="112" t="n"/>
      <c r="B1131" s="159" t="n"/>
      <c r="C1131" s="159" t="n"/>
      <c r="D1131" s="8" t="n"/>
      <c r="E1131" s="8" t="n"/>
      <c r="F1131" s="160" t="n"/>
      <c r="G1131" s="161" t="n"/>
      <c r="H1131" s="161" t="n"/>
      <c r="I1131" s="161" t="n"/>
      <c r="J1131" s="162">
        <f>IF(OR(ISNUMBER(SEARCH("보류",K1131)),ISNUMBER(SEARCH("미룸",K1131)),ISNUMBER(SEARCH("나중에",K1131)),ISNUMBER(SEARCH("보류",L1131)),ISNUMBER(SEARCH("미룸",L1131)),ISNUMBER(SEARCH("나중에",L1131))),"보류(나중에 풀기)",IF(AND(F1131="",G1131="",H1131="",I1131=""),"미완료",IF(I1131&lt;&gt;"","복습3(마스터)",IF(H1131&lt;&gt;"","복습2",IF(G1131&lt;&gt;"","복습1",IF(ISNUMBER(SEARCH("제미나이",K1131)),"복습대기(AI도움)",IF(ISNUMBER(SEARCH("간당간당",K1131)),"복습대기(간당간당)",IF(OR(ISNUMBER(SEARCH("아이디어",K1131)),ISNUMBER(SEARCH("시간초과",K1131)),ISNUMBER(SEARCH("자료구조",K1131)),ISNUMBER(SEARCH("경계값",K1131)),ISNUMBER(SEARCH("다른 풀이",K1131)),ISNUMBER(SEARCH("또풀기",K1131))),"복습대기",IF(OR(ISNUMBER(SEARCH("복습필요없음",K1131)),ISNUMBER(SEARCH("자력완벽",K1131))),"품(복습불필요)",IF(F1131&lt;&gt;"","품","미완료"))))))))))</f>
        <v/>
      </c>
      <c r="K1131" s="283" t="n"/>
      <c r="L1131" s="8" t="n"/>
      <c r="M1131" s="8">
        <f>IF(OR(LEFT(J1131,2)="보류", LEFT(J1131,4)="복습대기", LEFT(J1131,3)="복습1", LEFT(J1131,3)="복습2"), MAX($M$3:M1130)+1, "")</f>
        <v/>
      </c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</row>
    <row r="1132" ht="21.75" customHeight="1" s="209">
      <c r="A1132" s="112" t="n"/>
      <c r="B1132" s="159" t="n"/>
      <c r="C1132" s="159" t="n"/>
      <c r="D1132" s="8" t="n"/>
      <c r="E1132" s="8" t="n"/>
      <c r="F1132" s="160" t="n"/>
      <c r="G1132" s="161" t="n"/>
      <c r="H1132" s="161" t="n"/>
      <c r="I1132" s="161" t="n"/>
      <c r="J1132" s="162">
        <f>IF(OR(ISNUMBER(SEARCH("보류",K1132)),ISNUMBER(SEARCH("미룸",K1132)),ISNUMBER(SEARCH("나중에",K1132)),ISNUMBER(SEARCH("보류",L1132)),ISNUMBER(SEARCH("미룸",L1132)),ISNUMBER(SEARCH("나중에",L1132))),"보류(나중에 풀기)",IF(AND(F1132="",G1132="",H1132="",I1132=""),"미완료",IF(I1132&lt;&gt;"","복습3(마스터)",IF(H1132&lt;&gt;"","복습2",IF(G1132&lt;&gt;"","복습1",IF(ISNUMBER(SEARCH("제미나이",K1132)),"복습대기(AI도움)",IF(ISNUMBER(SEARCH("간당간당",K1132)),"복습대기(간당간당)",IF(OR(ISNUMBER(SEARCH("아이디어",K1132)),ISNUMBER(SEARCH("시간초과",K1132)),ISNUMBER(SEARCH("자료구조",K1132)),ISNUMBER(SEARCH("경계값",K1132)),ISNUMBER(SEARCH("다른 풀이",K1132)),ISNUMBER(SEARCH("또풀기",K1132))),"복습대기",IF(OR(ISNUMBER(SEARCH("복습필요없음",K1132)),ISNUMBER(SEARCH("자력완벽",K1132))),"품(복습불필요)",IF(F1132&lt;&gt;"","품","미완료"))))))))))</f>
        <v/>
      </c>
      <c r="K1132" s="283" t="n"/>
      <c r="L1132" s="8" t="n"/>
      <c r="M1132" s="8">
        <f>IF(OR(LEFT(J1132,2)="보류", LEFT(J1132,4)="복습대기", LEFT(J1132,3)="복습1", LEFT(J1132,3)="복습2"), MAX($M$3:M1131)+1, "")</f>
        <v/>
      </c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</row>
    <row r="1133" ht="21.75" customHeight="1" s="209">
      <c r="A1133" s="112" t="n"/>
      <c r="B1133" s="159" t="n"/>
      <c r="C1133" s="159" t="n"/>
      <c r="D1133" s="8" t="n"/>
      <c r="E1133" s="8" t="n"/>
      <c r="F1133" s="160" t="n"/>
      <c r="G1133" s="161" t="n"/>
      <c r="H1133" s="161" t="n"/>
      <c r="I1133" s="161" t="n"/>
      <c r="J1133" s="162">
        <f>IF(OR(ISNUMBER(SEARCH("보류",K1133)),ISNUMBER(SEARCH("미룸",K1133)),ISNUMBER(SEARCH("나중에",K1133)),ISNUMBER(SEARCH("보류",L1133)),ISNUMBER(SEARCH("미룸",L1133)),ISNUMBER(SEARCH("나중에",L1133))),"보류(나중에 풀기)",IF(AND(F1133="",G1133="",H1133="",I1133=""),"미완료",IF(I1133&lt;&gt;"","복습3(마스터)",IF(H1133&lt;&gt;"","복습2",IF(G1133&lt;&gt;"","복습1",IF(ISNUMBER(SEARCH("제미나이",K1133)),"복습대기(AI도움)",IF(ISNUMBER(SEARCH("간당간당",K1133)),"복습대기(간당간당)",IF(OR(ISNUMBER(SEARCH("아이디어",K1133)),ISNUMBER(SEARCH("시간초과",K1133)),ISNUMBER(SEARCH("자료구조",K1133)),ISNUMBER(SEARCH("경계값",K1133)),ISNUMBER(SEARCH("다른 풀이",K1133)),ISNUMBER(SEARCH("또풀기",K1133))),"복습대기",IF(OR(ISNUMBER(SEARCH("복습필요없음",K1133)),ISNUMBER(SEARCH("자력완벽",K1133))),"품(복습불필요)",IF(F1133&lt;&gt;"","품","미완료"))))))))))</f>
        <v/>
      </c>
      <c r="K1133" s="283" t="n"/>
      <c r="L1133" s="8" t="n"/>
      <c r="M1133" s="8">
        <f>IF(OR(LEFT(J1133,2)="보류", LEFT(J1133,4)="복습대기", LEFT(J1133,3)="복습1", LEFT(J1133,3)="복습2"), MAX($M$3:M1132)+1, "")</f>
        <v/>
      </c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</row>
    <row r="1134" ht="21.75" customHeight="1" s="209">
      <c r="A1134" s="112" t="n"/>
      <c r="B1134" s="159" t="n"/>
      <c r="C1134" s="159" t="n"/>
      <c r="D1134" s="8" t="n"/>
      <c r="E1134" s="8" t="n"/>
      <c r="F1134" s="160" t="n"/>
      <c r="G1134" s="161" t="n"/>
      <c r="H1134" s="161" t="n"/>
      <c r="I1134" s="161" t="n"/>
      <c r="J1134" s="162">
        <f>IF(OR(ISNUMBER(SEARCH("보류",K1134)),ISNUMBER(SEARCH("미룸",K1134)),ISNUMBER(SEARCH("나중에",K1134)),ISNUMBER(SEARCH("보류",L1134)),ISNUMBER(SEARCH("미룸",L1134)),ISNUMBER(SEARCH("나중에",L1134))),"보류(나중에 풀기)",IF(AND(F1134="",G1134="",H1134="",I1134=""),"미완료",IF(I1134&lt;&gt;"","복습3(마스터)",IF(H1134&lt;&gt;"","복습2",IF(G1134&lt;&gt;"","복습1",IF(ISNUMBER(SEARCH("제미나이",K1134)),"복습대기(AI도움)",IF(ISNUMBER(SEARCH("간당간당",K1134)),"복습대기(간당간당)",IF(OR(ISNUMBER(SEARCH("아이디어",K1134)),ISNUMBER(SEARCH("시간초과",K1134)),ISNUMBER(SEARCH("자료구조",K1134)),ISNUMBER(SEARCH("경계값",K1134)),ISNUMBER(SEARCH("다른 풀이",K1134)),ISNUMBER(SEARCH("또풀기",K1134))),"복습대기",IF(OR(ISNUMBER(SEARCH("복습필요없음",K1134)),ISNUMBER(SEARCH("자력완벽",K1134))),"품(복습불필요)",IF(F1134&lt;&gt;"","품","미완료"))))))))))</f>
        <v/>
      </c>
      <c r="K1134" s="283" t="n"/>
      <c r="L1134" s="8" t="n"/>
      <c r="M1134" s="8">
        <f>IF(OR(LEFT(J1134,2)="보류", LEFT(J1134,4)="복습대기", LEFT(J1134,3)="복습1", LEFT(J1134,3)="복습2"), MAX($M$3:M1133)+1, "")</f>
        <v/>
      </c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</row>
    <row r="1135" ht="21.75" customHeight="1" s="209">
      <c r="A1135" s="112" t="n"/>
      <c r="B1135" s="159" t="n"/>
      <c r="C1135" s="159" t="n"/>
      <c r="D1135" s="8" t="n"/>
      <c r="E1135" s="8" t="n"/>
      <c r="F1135" s="160" t="n"/>
      <c r="G1135" s="161" t="n"/>
      <c r="H1135" s="161" t="n"/>
      <c r="I1135" s="161" t="n"/>
      <c r="J1135" s="162">
        <f>IF(OR(ISNUMBER(SEARCH("보류",K1135)),ISNUMBER(SEARCH("미룸",K1135)),ISNUMBER(SEARCH("나중에",K1135)),ISNUMBER(SEARCH("보류",L1135)),ISNUMBER(SEARCH("미룸",L1135)),ISNUMBER(SEARCH("나중에",L1135))),"보류(나중에 풀기)",IF(AND(F1135="",G1135="",H1135="",I1135=""),"미완료",IF(I1135&lt;&gt;"","복습3(마스터)",IF(H1135&lt;&gt;"","복습2",IF(G1135&lt;&gt;"","복습1",IF(ISNUMBER(SEARCH("제미나이",K1135)),"복습대기(AI도움)",IF(ISNUMBER(SEARCH("간당간당",K1135)),"복습대기(간당간당)",IF(OR(ISNUMBER(SEARCH("아이디어",K1135)),ISNUMBER(SEARCH("시간초과",K1135)),ISNUMBER(SEARCH("자료구조",K1135)),ISNUMBER(SEARCH("경계값",K1135)),ISNUMBER(SEARCH("다른 풀이",K1135)),ISNUMBER(SEARCH("또풀기",K1135))),"복습대기",IF(OR(ISNUMBER(SEARCH("복습필요없음",K1135)),ISNUMBER(SEARCH("자력완벽",K1135))),"품(복습불필요)",IF(F1135&lt;&gt;"","품","미완료"))))))))))</f>
        <v/>
      </c>
      <c r="K1135" s="283" t="n"/>
      <c r="L1135" s="8" t="n"/>
      <c r="M1135" s="8">
        <f>IF(OR(LEFT(J1135,2)="보류", LEFT(J1135,4)="복습대기", LEFT(J1135,3)="복습1", LEFT(J1135,3)="복습2"), MAX($M$3:M1134)+1, "")</f>
        <v/>
      </c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</row>
    <row r="1136" ht="21.75" customHeight="1" s="209">
      <c r="A1136" s="112" t="n"/>
      <c r="B1136" s="159" t="n"/>
      <c r="C1136" s="159" t="n"/>
      <c r="D1136" s="8" t="n"/>
      <c r="E1136" s="8" t="n"/>
      <c r="F1136" s="160" t="n"/>
      <c r="G1136" s="161" t="n"/>
      <c r="H1136" s="161" t="n"/>
      <c r="I1136" s="161" t="n"/>
      <c r="J1136" s="162">
        <f>IF(OR(ISNUMBER(SEARCH("보류",K1136)),ISNUMBER(SEARCH("미룸",K1136)),ISNUMBER(SEARCH("나중에",K1136)),ISNUMBER(SEARCH("보류",L1136)),ISNUMBER(SEARCH("미룸",L1136)),ISNUMBER(SEARCH("나중에",L1136))),"보류(나중에 풀기)",IF(AND(F1136="",G1136="",H1136="",I1136=""),"미완료",IF(I1136&lt;&gt;"","복습3(마스터)",IF(H1136&lt;&gt;"","복습2",IF(G1136&lt;&gt;"","복습1",IF(ISNUMBER(SEARCH("제미나이",K1136)),"복습대기(AI도움)",IF(ISNUMBER(SEARCH("간당간당",K1136)),"복습대기(간당간당)",IF(OR(ISNUMBER(SEARCH("아이디어",K1136)),ISNUMBER(SEARCH("시간초과",K1136)),ISNUMBER(SEARCH("자료구조",K1136)),ISNUMBER(SEARCH("경계값",K1136)),ISNUMBER(SEARCH("다른 풀이",K1136)),ISNUMBER(SEARCH("또풀기",K1136))),"복습대기",IF(OR(ISNUMBER(SEARCH("복습필요없음",K1136)),ISNUMBER(SEARCH("자력완벽",K1136))),"품(복습불필요)",IF(F1136&lt;&gt;"","품","미완료"))))))))))</f>
        <v/>
      </c>
      <c r="K1136" s="283" t="n"/>
      <c r="L1136" s="8" t="n"/>
      <c r="M1136" s="8">
        <f>IF(OR(LEFT(J1136,2)="보류", LEFT(J1136,4)="복습대기", LEFT(J1136,3)="복습1", LEFT(J1136,3)="복습2"), MAX($M$3:M1135)+1, "")</f>
        <v/>
      </c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</row>
    <row r="1137" ht="21.75" customHeight="1" s="209">
      <c r="A1137" s="112" t="n"/>
      <c r="B1137" s="159" t="n"/>
      <c r="C1137" s="159" t="n"/>
      <c r="D1137" s="8" t="n"/>
      <c r="E1137" s="8" t="n"/>
      <c r="F1137" s="160" t="n"/>
      <c r="G1137" s="161" t="n"/>
      <c r="H1137" s="161" t="n"/>
      <c r="I1137" s="161" t="n"/>
      <c r="J1137" s="162">
        <f>IF(OR(ISNUMBER(SEARCH("보류",K1137)),ISNUMBER(SEARCH("미룸",K1137)),ISNUMBER(SEARCH("나중에",K1137)),ISNUMBER(SEARCH("보류",L1137)),ISNUMBER(SEARCH("미룸",L1137)),ISNUMBER(SEARCH("나중에",L1137))),"보류(나중에 풀기)",IF(AND(F1137="",G1137="",H1137="",I1137=""),"미완료",IF(I1137&lt;&gt;"","복습3(마스터)",IF(H1137&lt;&gt;"","복습2",IF(G1137&lt;&gt;"","복습1",IF(ISNUMBER(SEARCH("제미나이",K1137)),"복습대기(AI도움)",IF(ISNUMBER(SEARCH("간당간당",K1137)),"복습대기(간당간당)",IF(OR(ISNUMBER(SEARCH("아이디어",K1137)),ISNUMBER(SEARCH("시간초과",K1137)),ISNUMBER(SEARCH("자료구조",K1137)),ISNUMBER(SEARCH("경계값",K1137)),ISNUMBER(SEARCH("다른 풀이",K1137)),ISNUMBER(SEARCH("또풀기",K1137))),"복습대기",IF(OR(ISNUMBER(SEARCH("복습필요없음",K1137)),ISNUMBER(SEARCH("자력완벽",K1137))),"품(복습불필요)",IF(F1137&lt;&gt;"","품","미완료"))))))))))</f>
        <v/>
      </c>
      <c r="K1137" s="283" t="n"/>
      <c r="L1137" s="8" t="n"/>
      <c r="M1137" s="8">
        <f>IF(OR(LEFT(J1137,2)="보류", LEFT(J1137,4)="복습대기", LEFT(J1137,3)="복습1", LEFT(J1137,3)="복습2"), MAX($M$3:M1136)+1, "")</f>
        <v/>
      </c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</row>
    <row r="1138" ht="21.75" customHeight="1" s="209">
      <c r="A1138" s="112" t="n"/>
      <c r="B1138" s="159" t="n"/>
      <c r="C1138" s="159" t="n"/>
      <c r="D1138" s="8" t="n"/>
      <c r="E1138" s="8" t="n"/>
      <c r="F1138" s="160" t="n"/>
      <c r="G1138" s="161" t="n"/>
      <c r="H1138" s="161" t="n"/>
      <c r="I1138" s="161" t="n"/>
      <c r="J1138" s="162">
        <f>IF(OR(ISNUMBER(SEARCH("보류",K1138)),ISNUMBER(SEARCH("미룸",K1138)),ISNUMBER(SEARCH("나중에",K1138)),ISNUMBER(SEARCH("보류",L1138)),ISNUMBER(SEARCH("미룸",L1138)),ISNUMBER(SEARCH("나중에",L1138))),"보류(나중에 풀기)",IF(AND(F1138="",G1138="",H1138="",I1138=""),"미완료",IF(I1138&lt;&gt;"","복습3(마스터)",IF(H1138&lt;&gt;"","복습2",IF(G1138&lt;&gt;"","복습1",IF(ISNUMBER(SEARCH("제미나이",K1138)),"복습대기(AI도움)",IF(ISNUMBER(SEARCH("간당간당",K1138)),"복습대기(간당간당)",IF(OR(ISNUMBER(SEARCH("아이디어",K1138)),ISNUMBER(SEARCH("시간초과",K1138)),ISNUMBER(SEARCH("자료구조",K1138)),ISNUMBER(SEARCH("경계값",K1138)),ISNUMBER(SEARCH("다른 풀이",K1138)),ISNUMBER(SEARCH("또풀기",K1138))),"복습대기",IF(OR(ISNUMBER(SEARCH("복습필요없음",K1138)),ISNUMBER(SEARCH("자력완벽",K1138))),"품(복습불필요)",IF(F1138&lt;&gt;"","품","미완료"))))))))))</f>
        <v/>
      </c>
      <c r="K1138" s="283" t="n"/>
      <c r="L1138" s="8" t="n"/>
      <c r="M1138" s="8">
        <f>IF(OR(LEFT(J1138,2)="보류", LEFT(J1138,4)="복습대기", LEFT(J1138,3)="복습1", LEFT(J1138,3)="복습2"), MAX($M$3:M1137)+1, "")</f>
        <v/>
      </c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</row>
    <row r="1139" ht="21.75" customHeight="1" s="209">
      <c r="A1139" s="112" t="n"/>
      <c r="B1139" s="159" t="n"/>
      <c r="C1139" s="159" t="n"/>
      <c r="D1139" s="8" t="n"/>
      <c r="E1139" s="8" t="n"/>
      <c r="F1139" s="160" t="n"/>
      <c r="G1139" s="161" t="n"/>
      <c r="H1139" s="161" t="n"/>
      <c r="I1139" s="161" t="n"/>
      <c r="J1139" s="162">
        <f>IF(OR(ISNUMBER(SEARCH("보류",K1139)),ISNUMBER(SEARCH("미룸",K1139)),ISNUMBER(SEARCH("나중에",K1139)),ISNUMBER(SEARCH("보류",L1139)),ISNUMBER(SEARCH("미룸",L1139)),ISNUMBER(SEARCH("나중에",L1139))),"보류(나중에 풀기)",IF(AND(F1139="",G1139="",H1139="",I1139=""),"미완료",IF(I1139&lt;&gt;"","복습3(마스터)",IF(H1139&lt;&gt;"","복습2",IF(G1139&lt;&gt;"","복습1",IF(ISNUMBER(SEARCH("제미나이",K1139)),"복습대기(AI도움)",IF(ISNUMBER(SEARCH("간당간당",K1139)),"복습대기(간당간당)",IF(OR(ISNUMBER(SEARCH("아이디어",K1139)),ISNUMBER(SEARCH("시간초과",K1139)),ISNUMBER(SEARCH("자료구조",K1139)),ISNUMBER(SEARCH("경계값",K1139)),ISNUMBER(SEARCH("다른 풀이",K1139)),ISNUMBER(SEARCH("또풀기",K1139))),"복습대기",IF(OR(ISNUMBER(SEARCH("복습필요없음",K1139)),ISNUMBER(SEARCH("자력완벽",K1139))),"품(복습불필요)",IF(F1139&lt;&gt;"","품","미완료"))))))))))</f>
        <v/>
      </c>
      <c r="K1139" s="283" t="n"/>
      <c r="L1139" s="8" t="n"/>
      <c r="M1139" s="8">
        <f>IF(OR(LEFT(J1139,2)="보류", LEFT(J1139,4)="복습대기", LEFT(J1139,3)="복습1", LEFT(J1139,3)="복습2"), MAX($M$3:M1138)+1, "")</f>
        <v/>
      </c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</row>
    <row r="1140" ht="21.75" customHeight="1" s="209">
      <c r="A1140" s="112" t="n"/>
      <c r="B1140" s="159" t="n"/>
      <c r="C1140" s="159" t="n"/>
      <c r="D1140" s="8" t="n"/>
      <c r="E1140" s="8" t="n"/>
      <c r="F1140" s="160" t="n"/>
      <c r="G1140" s="161" t="n"/>
      <c r="H1140" s="161" t="n"/>
      <c r="I1140" s="161" t="n"/>
      <c r="J1140" s="162">
        <f>IF(OR(ISNUMBER(SEARCH("보류",K1140)),ISNUMBER(SEARCH("미룸",K1140)),ISNUMBER(SEARCH("나중에",K1140)),ISNUMBER(SEARCH("보류",L1140)),ISNUMBER(SEARCH("미룸",L1140)),ISNUMBER(SEARCH("나중에",L1140))),"보류(나중에 풀기)",IF(AND(F1140="",G1140="",H1140="",I1140=""),"미완료",IF(I1140&lt;&gt;"","복습3(마스터)",IF(H1140&lt;&gt;"","복습2",IF(G1140&lt;&gt;"","복습1",IF(ISNUMBER(SEARCH("제미나이",K1140)),"복습대기(AI도움)",IF(ISNUMBER(SEARCH("간당간당",K1140)),"복습대기(간당간당)",IF(OR(ISNUMBER(SEARCH("아이디어",K1140)),ISNUMBER(SEARCH("시간초과",K1140)),ISNUMBER(SEARCH("자료구조",K1140)),ISNUMBER(SEARCH("경계값",K1140)),ISNUMBER(SEARCH("다른 풀이",K1140)),ISNUMBER(SEARCH("또풀기",K1140))),"복습대기",IF(OR(ISNUMBER(SEARCH("복습필요없음",K1140)),ISNUMBER(SEARCH("자력완벽",K1140))),"품(복습불필요)",IF(F1140&lt;&gt;"","품","미완료"))))))))))</f>
        <v/>
      </c>
      <c r="K1140" s="283" t="n"/>
      <c r="L1140" s="8" t="n"/>
      <c r="M1140" s="8">
        <f>IF(OR(LEFT(J1140,2)="보류", LEFT(J1140,4)="복습대기", LEFT(J1140,3)="복습1", LEFT(J1140,3)="복습2"), MAX($M$3:M1139)+1, "")</f>
        <v/>
      </c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</row>
    <row r="1141" ht="21.75" customHeight="1" s="209">
      <c r="A1141" s="112" t="n"/>
      <c r="B1141" s="159" t="n"/>
      <c r="C1141" s="159" t="n"/>
      <c r="D1141" s="8" t="n"/>
      <c r="E1141" s="8" t="n"/>
      <c r="F1141" s="160" t="n"/>
      <c r="G1141" s="161" t="n"/>
      <c r="H1141" s="161" t="n"/>
      <c r="I1141" s="161" t="n"/>
      <c r="J1141" s="162">
        <f>IF(OR(ISNUMBER(SEARCH("보류",K1141)),ISNUMBER(SEARCH("미룸",K1141)),ISNUMBER(SEARCH("나중에",K1141)),ISNUMBER(SEARCH("보류",L1141)),ISNUMBER(SEARCH("미룸",L1141)),ISNUMBER(SEARCH("나중에",L1141))),"보류(나중에 풀기)",IF(AND(F1141="",G1141="",H1141="",I1141=""),"미완료",IF(I1141&lt;&gt;"","복습3(마스터)",IF(H1141&lt;&gt;"","복습2",IF(G1141&lt;&gt;"","복습1",IF(ISNUMBER(SEARCH("제미나이",K1141)),"복습대기(AI도움)",IF(ISNUMBER(SEARCH("간당간당",K1141)),"복습대기(간당간당)",IF(OR(ISNUMBER(SEARCH("아이디어",K1141)),ISNUMBER(SEARCH("시간초과",K1141)),ISNUMBER(SEARCH("자료구조",K1141)),ISNUMBER(SEARCH("경계값",K1141)),ISNUMBER(SEARCH("다른 풀이",K1141)),ISNUMBER(SEARCH("또풀기",K1141))),"복습대기",IF(OR(ISNUMBER(SEARCH("복습필요없음",K1141)),ISNUMBER(SEARCH("자력완벽",K1141))),"품(복습불필요)",IF(F1141&lt;&gt;"","품","미완료"))))))))))</f>
        <v/>
      </c>
      <c r="K1141" s="283" t="n"/>
      <c r="L1141" s="8" t="n"/>
      <c r="M1141" s="8">
        <f>IF(OR(LEFT(J1141,2)="보류", LEFT(J1141,4)="복습대기", LEFT(J1141,3)="복습1", LEFT(J1141,3)="복습2"), MAX($M$3:M1140)+1, "")</f>
        <v/>
      </c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</row>
    <row r="1142" ht="21.75" customHeight="1" s="209">
      <c r="A1142" s="112" t="n"/>
      <c r="B1142" s="159" t="n"/>
      <c r="C1142" s="159" t="n"/>
      <c r="D1142" s="8" t="n"/>
      <c r="E1142" s="8" t="n"/>
      <c r="F1142" s="160" t="n"/>
      <c r="G1142" s="161" t="n"/>
      <c r="H1142" s="161" t="n"/>
      <c r="I1142" s="161" t="n"/>
      <c r="J1142" s="162">
        <f>IF(OR(ISNUMBER(SEARCH("보류",K1142)),ISNUMBER(SEARCH("미룸",K1142)),ISNUMBER(SEARCH("나중에",K1142)),ISNUMBER(SEARCH("보류",L1142)),ISNUMBER(SEARCH("미룸",L1142)),ISNUMBER(SEARCH("나중에",L1142))),"보류(나중에 풀기)",IF(AND(F1142="",G1142="",H1142="",I1142=""),"미완료",IF(I1142&lt;&gt;"","복습3(마스터)",IF(H1142&lt;&gt;"","복습2",IF(G1142&lt;&gt;"","복습1",IF(ISNUMBER(SEARCH("제미나이",K1142)),"복습대기(AI도움)",IF(ISNUMBER(SEARCH("간당간당",K1142)),"복습대기(간당간당)",IF(OR(ISNUMBER(SEARCH("아이디어",K1142)),ISNUMBER(SEARCH("시간초과",K1142)),ISNUMBER(SEARCH("자료구조",K1142)),ISNUMBER(SEARCH("경계값",K1142)),ISNUMBER(SEARCH("다른 풀이",K1142)),ISNUMBER(SEARCH("또풀기",K1142))),"복습대기",IF(OR(ISNUMBER(SEARCH("복습필요없음",K1142)),ISNUMBER(SEARCH("자력완벽",K1142))),"품(복습불필요)",IF(F1142&lt;&gt;"","품","미완료"))))))))))</f>
        <v/>
      </c>
      <c r="K1142" s="283" t="n"/>
      <c r="L1142" s="8" t="n"/>
      <c r="M1142" s="8">
        <f>IF(OR(LEFT(J1142,2)="보류", LEFT(J1142,4)="복습대기", LEFT(J1142,3)="복습1", LEFT(J1142,3)="복습2"), MAX($M$3:M1141)+1, "")</f>
        <v/>
      </c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</row>
    <row r="1143" ht="21.75" customHeight="1" s="209">
      <c r="A1143" s="112" t="n"/>
      <c r="B1143" s="159" t="n"/>
      <c r="C1143" s="159" t="n"/>
      <c r="D1143" s="8" t="n"/>
      <c r="E1143" s="8" t="n"/>
      <c r="F1143" s="160" t="n"/>
      <c r="G1143" s="161" t="n"/>
      <c r="H1143" s="161" t="n"/>
      <c r="I1143" s="161" t="n"/>
      <c r="J1143" s="162">
        <f>IF(OR(ISNUMBER(SEARCH("보류",K1143)),ISNUMBER(SEARCH("미룸",K1143)),ISNUMBER(SEARCH("나중에",K1143)),ISNUMBER(SEARCH("보류",L1143)),ISNUMBER(SEARCH("미룸",L1143)),ISNUMBER(SEARCH("나중에",L1143))),"보류(나중에 풀기)",IF(AND(F1143="",G1143="",H1143="",I1143=""),"미완료",IF(I1143&lt;&gt;"","복습3(마스터)",IF(H1143&lt;&gt;"","복습2",IF(G1143&lt;&gt;"","복습1",IF(ISNUMBER(SEARCH("제미나이",K1143)),"복습대기(AI도움)",IF(ISNUMBER(SEARCH("간당간당",K1143)),"복습대기(간당간당)",IF(OR(ISNUMBER(SEARCH("아이디어",K1143)),ISNUMBER(SEARCH("시간초과",K1143)),ISNUMBER(SEARCH("자료구조",K1143)),ISNUMBER(SEARCH("경계값",K1143)),ISNUMBER(SEARCH("다른 풀이",K1143)),ISNUMBER(SEARCH("또풀기",K1143))),"복습대기",IF(OR(ISNUMBER(SEARCH("복습필요없음",K1143)),ISNUMBER(SEARCH("자력완벽",K1143))),"품(복습불필요)",IF(F1143&lt;&gt;"","품","미완료"))))))))))</f>
        <v/>
      </c>
      <c r="K1143" s="283" t="n"/>
      <c r="L1143" s="8" t="n"/>
      <c r="M1143" s="8">
        <f>IF(OR(LEFT(J1143,2)="보류", LEFT(J1143,4)="복습대기", LEFT(J1143,3)="복습1", LEFT(J1143,3)="복습2"), MAX($M$3:M1142)+1, "")</f>
        <v/>
      </c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</row>
    <row r="1144" ht="21.75" customHeight="1" s="209">
      <c r="A1144" s="112" t="n"/>
      <c r="B1144" s="159" t="n"/>
      <c r="C1144" s="159" t="n"/>
      <c r="D1144" s="8" t="n"/>
      <c r="E1144" s="8" t="n"/>
      <c r="F1144" s="160" t="n"/>
      <c r="G1144" s="161" t="n"/>
      <c r="H1144" s="161" t="n"/>
      <c r="I1144" s="161" t="n"/>
      <c r="J1144" s="162">
        <f>IF(OR(ISNUMBER(SEARCH("보류",K1144)),ISNUMBER(SEARCH("미룸",K1144)),ISNUMBER(SEARCH("나중에",K1144)),ISNUMBER(SEARCH("보류",L1144)),ISNUMBER(SEARCH("미룸",L1144)),ISNUMBER(SEARCH("나중에",L1144))),"보류(나중에 풀기)",IF(AND(F1144="",G1144="",H1144="",I1144=""),"미완료",IF(I1144&lt;&gt;"","복습3(마스터)",IF(H1144&lt;&gt;"","복습2",IF(G1144&lt;&gt;"","복습1",IF(ISNUMBER(SEARCH("제미나이",K1144)),"복습대기(AI도움)",IF(ISNUMBER(SEARCH("간당간당",K1144)),"복습대기(간당간당)",IF(OR(ISNUMBER(SEARCH("아이디어",K1144)),ISNUMBER(SEARCH("시간초과",K1144)),ISNUMBER(SEARCH("자료구조",K1144)),ISNUMBER(SEARCH("경계값",K1144)),ISNUMBER(SEARCH("다른 풀이",K1144)),ISNUMBER(SEARCH("또풀기",K1144))),"복습대기",IF(OR(ISNUMBER(SEARCH("복습필요없음",K1144)),ISNUMBER(SEARCH("자력완벽",K1144))),"품(복습불필요)",IF(F1144&lt;&gt;"","품","미완료"))))))))))</f>
        <v/>
      </c>
      <c r="K1144" s="283" t="n"/>
      <c r="L1144" s="8" t="n"/>
      <c r="M1144" s="8">
        <f>IF(OR(LEFT(J1144,2)="보류", LEFT(J1144,4)="복습대기", LEFT(J1144,3)="복습1", LEFT(J1144,3)="복습2"), MAX($M$3:M1143)+1, "")</f>
        <v/>
      </c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</row>
    <row r="1145" ht="21.75" customHeight="1" s="209">
      <c r="A1145" s="112" t="n"/>
      <c r="B1145" s="159" t="n"/>
      <c r="C1145" s="159" t="n"/>
      <c r="D1145" s="8" t="n"/>
      <c r="E1145" s="8" t="n"/>
      <c r="F1145" s="160" t="n"/>
      <c r="G1145" s="161" t="n"/>
      <c r="H1145" s="161" t="n"/>
      <c r="I1145" s="161" t="n"/>
      <c r="J1145" s="162">
        <f>IF(OR(ISNUMBER(SEARCH("보류",K1145)),ISNUMBER(SEARCH("미룸",K1145)),ISNUMBER(SEARCH("나중에",K1145)),ISNUMBER(SEARCH("보류",L1145)),ISNUMBER(SEARCH("미룸",L1145)),ISNUMBER(SEARCH("나중에",L1145))),"보류(나중에 풀기)",IF(AND(F1145="",G1145="",H1145="",I1145=""),"미완료",IF(I1145&lt;&gt;"","복습3(마스터)",IF(H1145&lt;&gt;"","복습2",IF(G1145&lt;&gt;"","복습1",IF(ISNUMBER(SEARCH("제미나이",K1145)),"복습대기(AI도움)",IF(ISNUMBER(SEARCH("간당간당",K1145)),"복습대기(간당간당)",IF(OR(ISNUMBER(SEARCH("아이디어",K1145)),ISNUMBER(SEARCH("시간초과",K1145)),ISNUMBER(SEARCH("자료구조",K1145)),ISNUMBER(SEARCH("경계값",K1145)),ISNUMBER(SEARCH("다른 풀이",K1145)),ISNUMBER(SEARCH("또풀기",K1145))),"복습대기",IF(OR(ISNUMBER(SEARCH("복습필요없음",K1145)),ISNUMBER(SEARCH("자력완벽",K1145))),"품(복습불필요)",IF(F1145&lt;&gt;"","품","미완료"))))))))))</f>
        <v/>
      </c>
      <c r="K1145" s="283" t="n"/>
      <c r="L1145" s="8" t="n"/>
      <c r="M1145" s="8">
        <f>IF(OR(LEFT(J1145,2)="보류", LEFT(J1145,4)="복습대기", LEFT(J1145,3)="복습1", LEFT(J1145,3)="복습2"), MAX($M$3:M1144)+1, "")</f>
        <v/>
      </c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</row>
    <row r="1146" ht="21.75" customHeight="1" s="209">
      <c r="A1146" s="112" t="n"/>
      <c r="B1146" s="159" t="n"/>
      <c r="C1146" s="159" t="n"/>
      <c r="D1146" s="8" t="n"/>
      <c r="E1146" s="8" t="n"/>
      <c r="F1146" s="160" t="n"/>
      <c r="G1146" s="161" t="n"/>
      <c r="H1146" s="161" t="n"/>
      <c r="I1146" s="161" t="n"/>
      <c r="J1146" s="162">
        <f>IF(OR(ISNUMBER(SEARCH("보류",K1146)),ISNUMBER(SEARCH("미룸",K1146)),ISNUMBER(SEARCH("나중에",K1146)),ISNUMBER(SEARCH("보류",L1146)),ISNUMBER(SEARCH("미룸",L1146)),ISNUMBER(SEARCH("나중에",L1146))),"보류(나중에 풀기)",IF(AND(F1146="",G1146="",H1146="",I1146=""),"미완료",IF(I1146&lt;&gt;"","복습3(마스터)",IF(H1146&lt;&gt;"","복습2",IF(G1146&lt;&gt;"","복습1",IF(ISNUMBER(SEARCH("제미나이",K1146)),"복습대기(AI도움)",IF(ISNUMBER(SEARCH("간당간당",K1146)),"복습대기(간당간당)",IF(OR(ISNUMBER(SEARCH("아이디어",K1146)),ISNUMBER(SEARCH("시간초과",K1146)),ISNUMBER(SEARCH("자료구조",K1146)),ISNUMBER(SEARCH("경계값",K1146)),ISNUMBER(SEARCH("다른 풀이",K1146)),ISNUMBER(SEARCH("또풀기",K1146))),"복습대기",IF(OR(ISNUMBER(SEARCH("복습필요없음",K1146)),ISNUMBER(SEARCH("자력완벽",K1146))),"품(복습불필요)",IF(F1146&lt;&gt;"","품","미완료"))))))))))</f>
        <v/>
      </c>
      <c r="K1146" s="283" t="n"/>
      <c r="L1146" s="8" t="n"/>
      <c r="M1146" s="8">
        <f>IF(OR(LEFT(J1146,2)="보류", LEFT(J1146,4)="복습대기", LEFT(J1146,3)="복습1", LEFT(J1146,3)="복습2"), MAX($M$3:M1145)+1, "")</f>
        <v/>
      </c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</row>
    <row r="1147" ht="21.75" customHeight="1" s="209">
      <c r="A1147" s="112" t="n"/>
      <c r="B1147" s="159" t="n"/>
      <c r="C1147" s="159" t="n"/>
      <c r="D1147" s="8" t="n"/>
      <c r="E1147" s="8" t="n"/>
      <c r="F1147" s="160" t="n"/>
      <c r="G1147" s="161" t="n"/>
      <c r="H1147" s="161" t="n"/>
      <c r="I1147" s="161" t="n"/>
      <c r="J1147" s="162">
        <f>IF(OR(ISNUMBER(SEARCH("보류",K1147)),ISNUMBER(SEARCH("미룸",K1147)),ISNUMBER(SEARCH("나중에",K1147)),ISNUMBER(SEARCH("보류",L1147)),ISNUMBER(SEARCH("미룸",L1147)),ISNUMBER(SEARCH("나중에",L1147))),"보류(나중에 풀기)",IF(AND(F1147="",G1147="",H1147="",I1147=""),"미완료",IF(I1147&lt;&gt;"","복습3(마스터)",IF(H1147&lt;&gt;"","복습2",IF(G1147&lt;&gt;"","복습1",IF(ISNUMBER(SEARCH("제미나이",K1147)),"복습대기(AI도움)",IF(ISNUMBER(SEARCH("간당간당",K1147)),"복습대기(간당간당)",IF(OR(ISNUMBER(SEARCH("아이디어",K1147)),ISNUMBER(SEARCH("시간초과",K1147)),ISNUMBER(SEARCH("자료구조",K1147)),ISNUMBER(SEARCH("경계값",K1147)),ISNUMBER(SEARCH("다른 풀이",K1147)),ISNUMBER(SEARCH("또풀기",K1147))),"복습대기",IF(OR(ISNUMBER(SEARCH("복습필요없음",K1147)),ISNUMBER(SEARCH("자력완벽",K1147))),"품(복습불필요)",IF(F1147&lt;&gt;"","품","미완료"))))))))))</f>
        <v/>
      </c>
      <c r="K1147" s="283" t="n"/>
      <c r="L1147" s="8" t="n"/>
      <c r="M1147" s="8">
        <f>IF(OR(LEFT(J1147,2)="보류", LEFT(J1147,4)="복습대기", LEFT(J1147,3)="복습1", LEFT(J1147,3)="복습2"), MAX($M$3:M1146)+1, "")</f>
        <v/>
      </c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</row>
    <row r="1148" ht="21.75" customHeight="1" s="209">
      <c r="A1148" s="112" t="n"/>
      <c r="B1148" s="159" t="n"/>
      <c r="C1148" s="159" t="n"/>
      <c r="D1148" s="8" t="n"/>
      <c r="E1148" s="8" t="n"/>
      <c r="F1148" s="160" t="n"/>
      <c r="G1148" s="161" t="n"/>
      <c r="H1148" s="161" t="n"/>
      <c r="I1148" s="161" t="n"/>
      <c r="J1148" s="162">
        <f>IF(OR(ISNUMBER(SEARCH("보류",K1148)),ISNUMBER(SEARCH("미룸",K1148)),ISNUMBER(SEARCH("나중에",K1148)),ISNUMBER(SEARCH("보류",L1148)),ISNUMBER(SEARCH("미룸",L1148)),ISNUMBER(SEARCH("나중에",L1148))),"보류(나중에 풀기)",IF(AND(F1148="",G1148="",H1148="",I1148=""),"미완료",IF(I1148&lt;&gt;"","복습3(마스터)",IF(H1148&lt;&gt;"","복습2",IF(G1148&lt;&gt;"","복습1",IF(ISNUMBER(SEARCH("제미나이",K1148)),"복습대기(AI도움)",IF(ISNUMBER(SEARCH("간당간당",K1148)),"복습대기(간당간당)",IF(OR(ISNUMBER(SEARCH("아이디어",K1148)),ISNUMBER(SEARCH("시간초과",K1148)),ISNUMBER(SEARCH("자료구조",K1148)),ISNUMBER(SEARCH("경계값",K1148)),ISNUMBER(SEARCH("다른 풀이",K1148)),ISNUMBER(SEARCH("또풀기",K1148))),"복습대기",IF(OR(ISNUMBER(SEARCH("복습필요없음",K1148)),ISNUMBER(SEARCH("자력완벽",K1148))),"품(복습불필요)",IF(F1148&lt;&gt;"","품","미완료"))))))))))</f>
        <v/>
      </c>
      <c r="K1148" s="283" t="n"/>
      <c r="L1148" s="8" t="n"/>
      <c r="M1148" s="8">
        <f>IF(OR(LEFT(J1148,2)="보류", LEFT(J1148,4)="복습대기", LEFT(J1148,3)="복습1", LEFT(J1148,3)="복습2"), MAX($M$3:M1147)+1, "")</f>
        <v/>
      </c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</row>
    <row r="1149" ht="21.75" customHeight="1" s="209">
      <c r="A1149" s="112" t="n"/>
      <c r="B1149" s="159" t="n"/>
      <c r="C1149" s="159" t="n"/>
      <c r="D1149" s="8" t="n"/>
      <c r="E1149" s="8" t="n"/>
      <c r="F1149" s="160" t="n"/>
      <c r="G1149" s="161" t="n"/>
      <c r="H1149" s="161" t="n"/>
      <c r="I1149" s="161" t="n"/>
      <c r="J1149" s="162">
        <f>IF(OR(ISNUMBER(SEARCH("보류",K1149)),ISNUMBER(SEARCH("미룸",K1149)),ISNUMBER(SEARCH("나중에",K1149)),ISNUMBER(SEARCH("보류",L1149)),ISNUMBER(SEARCH("미룸",L1149)),ISNUMBER(SEARCH("나중에",L1149))),"보류(나중에 풀기)",IF(AND(F1149="",G1149="",H1149="",I1149=""),"미완료",IF(I1149&lt;&gt;"","복습3(마스터)",IF(H1149&lt;&gt;"","복습2",IF(G1149&lt;&gt;"","복습1",IF(ISNUMBER(SEARCH("제미나이",K1149)),"복습대기(AI도움)",IF(ISNUMBER(SEARCH("간당간당",K1149)),"복습대기(간당간당)",IF(OR(ISNUMBER(SEARCH("아이디어",K1149)),ISNUMBER(SEARCH("시간초과",K1149)),ISNUMBER(SEARCH("자료구조",K1149)),ISNUMBER(SEARCH("경계값",K1149)),ISNUMBER(SEARCH("다른 풀이",K1149)),ISNUMBER(SEARCH("또풀기",K1149))),"복습대기",IF(OR(ISNUMBER(SEARCH("복습필요없음",K1149)),ISNUMBER(SEARCH("자력완벽",K1149))),"품(복습불필요)",IF(F1149&lt;&gt;"","품","미완료"))))))))))</f>
        <v/>
      </c>
      <c r="K1149" s="283" t="n"/>
      <c r="L1149" s="8" t="n"/>
      <c r="M1149" s="8">
        <f>IF(OR(LEFT(J1149,2)="보류", LEFT(J1149,4)="복습대기", LEFT(J1149,3)="복습1", LEFT(J1149,3)="복습2"), MAX($M$3:M1148)+1, "")</f>
        <v/>
      </c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</row>
    <row r="1150" ht="21.75" customHeight="1" s="209">
      <c r="A1150" s="112" t="n"/>
      <c r="B1150" s="159" t="n"/>
      <c r="C1150" s="159" t="n"/>
      <c r="D1150" s="8" t="n"/>
      <c r="E1150" s="8" t="n"/>
      <c r="F1150" s="160" t="n"/>
      <c r="G1150" s="161" t="n"/>
      <c r="H1150" s="161" t="n"/>
      <c r="I1150" s="161" t="n"/>
      <c r="J1150" s="162">
        <f>IF(OR(ISNUMBER(SEARCH("보류",K1150)),ISNUMBER(SEARCH("미룸",K1150)),ISNUMBER(SEARCH("나중에",K1150)),ISNUMBER(SEARCH("보류",L1150)),ISNUMBER(SEARCH("미룸",L1150)),ISNUMBER(SEARCH("나중에",L1150))),"보류(나중에 풀기)",IF(AND(F1150="",G1150="",H1150="",I1150=""),"미완료",IF(I1150&lt;&gt;"","복습3(마스터)",IF(H1150&lt;&gt;"","복습2",IF(G1150&lt;&gt;"","복습1",IF(ISNUMBER(SEARCH("제미나이",K1150)),"복습대기(AI도움)",IF(ISNUMBER(SEARCH("간당간당",K1150)),"복습대기(간당간당)",IF(OR(ISNUMBER(SEARCH("아이디어",K1150)),ISNUMBER(SEARCH("시간초과",K1150)),ISNUMBER(SEARCH("자료구조",K1150)),ISNUMBER(SEARCH("경계값",K1150)),ISNUMBER(SEARCH("다른 풀이",K1150)),ISNUMBER(SEARCH("또풀기",K1150))),"복습대기",IF(OR(ISNUMBER(SEARCH("복습필요없음",K1150)),ISNUMBER(SEARCH("자력완벽",K1150))),"품(복습불필요)",IF(F1150&lt;&gt;"","품","미완료"))))))))))</f>
        <v/>
      </c>
      <c r="K1150" s="283" t="n"/>
      <c r="L1150" s="8" t="n"/>
      <c r="M1150" s="8">
        <f>IF(OR(LEFT(J1150,2)="보류", LEFT(J1150,4)="복습대기", LEFT(J1150,3)="복습1", LEFT(J1150,3)="복습2"), MAX($M$3:M1149)+1, "")</f>
        <v/>
      </c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</row>
    <row r="1151" ht="21.75" customHeight="1" s="209">
      <c r="A1151" s="112" t="n"/>
      <c r="B1151" s="159" t="n"/>
      <c r="C1151" s="159" t="n"/>
      <c r="D1151" s="8" t="n"/>
      <c r="E1151" s="8" t="n"/>
      <c r="F1151" s="160" t="n"/>
      <c r="G1151" s="161" t="n"/>
      <c r="H1151" s="161" t="n"/>
      <c r="I1151" s="161" t="n"/>
      <c r="J1151" s="162">
        <f>IF(OR(ISNUMBER(SEARCH("보류",K1151)),ISNUMBER(SEARCH("미룸",K1151)),ISNUMBER(SEARCH("나중에",K1151)),ISNUMBER(SEARCH("보류",L1151)),ISNUMBER(SEARCH("미룸",L1151)),ISNUMBER(SEARCH("나중에",L1151))),"보류(나중에 풀기)",IF(AND(F1151="",G1151="",H1151="",I1151=""),"미완료",IF(I1151&lt;&gt;"","복습3(마스터)",IF(H1151&lt;&gt;"","복습2",IF(G1151&lt;&gt;"","복습1",IF(ISNUMBER(SEARCH("제미나이",K1151)),"복습대기(AI도움)",IF(ISNUMBER(SEARCH("간당간당",K1151)),"복습대기(간당간당)",IF(OR(ISNUMBER(SEARCH("아이디어",K1151)),ISNUMBER(SEARCH("시간초과",K1151)),ISNUMBER(SEARCH("자료구조",K1151)),ISNUMBER(SEARCH("경계값",K1151)),ISNUMBER(SEARCH("다른 풀이",K1151)),ISNUMBER(SEARCH("또풀기",K1151))),"복습대기",IF(OR(ISNUMBER(SEARCH("복습필요없음",K1151)),ISNUMBER(SEARCH("자력완벽",K1151))),"품(복습불필요)",IF(F1151&lt;&gt;"","품","미완료"))))))))))</f>
        <v/>
      </c>
      <c r="K1151" s="283" t="n"/>
      <c r="L1151" s="8" t="n"/>
      <c r="M1151" s="8">
        <f>IF(OR(LEFT(J1151,2)="보류", LEFT(J1151,4)="복습대기", LEFT(J1151,3)="복습1", LEFT(J1151,3)="복습2"), MAX($M$3:M1150)+1, "")</f>
        <v/>
      </c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</row>
    <row r="1152" ht="21.75" customHeight="1" s="209">
      <c r="A1152" s="112" t="n"/>
      <c r="B1152" s="159" t="n"/>
      <c r="C1152" s="159" t="n"/>
      <c r="D1152" s="8" t="n"/>
      <c r="E1152" s="8" t="n"/>
      <c r="F1152" s="160" t="n"/>
      <c r="G1152" s="161" t="n"/>
      <c r="H1152" s="161" t="n"/>
      <c r="I1152" s="161" t="n"/>
      <c r="J1152" s="162">
        <f>IF(OR(ISNUMBER(SEARCH("보류",K1152)),ISNUMBER(SEARCH("미룸",K1152)),ISNUMBER(SEARCH("나중에",K1152)),ISNUMBER(SEARCH("보류",L1152)),ISNUMBER(SEARCH("미룸",L1152)),ISNUMBER(SEARCH("나중에",L1152))),"보류(나중에 풀기)",IF(AND(F1152="",G1152="",H1152="",I1152=""),"미완료",IF(I1152&lt;&gt;"","복습3(마스터)",IF(H1152&lt;&gt;"","복습2",IF(G1152&lt;&gt;"","복습1",IF(ISNUMBER(SEARCH("제미나이",K1152)),"복습대기(AI도움)",IF(ISNUMBER(SEARCH("간당간당",K1152)),"복습대기(간당간당)",IF(OR(ISNUMBER(SEARCH("아이디어",K1152)),ISNUMBER(SEARCH("시간초과",K1152)),ISNUMBER(SEARCH("자료구조",K1152)),ISNUMBER(SEARCH("경계값",K1152)),ISNUMBER(SEARCH("다른 풀이",K1152)),ISNUMBER(SEARCH("또풀기",K1152))),"복습대기",IF(OR(ISNUMBER(SEARCH("복습필요없음",K1152)),ISNUMBER(SEARCH("자력완벽",K1152))),"품(복습불필요)",IF(F1152&lt;&gt;"","품","미완료"))))))))))</f>
        <v/>
      </c>
      <c r="K1152" s="283" t="n"/>
      <c r="L1152" s="8" t="n"/>
      <c r="M1152" s="8">
        <f>IF(OR(LEFT(J1152,2)="보류", LEFT(J1152,4)="복습대기", LEFT(J1152,3)="복습1", LEFT(J1152,3)="복습2"), MAX($M$3:M1151)+1, "")</f>
        <v/>
      </c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</row>
    <row r="1153" ht="21.75" customHeight="1" s="209">
      <c r="A1153" s="112" t="n"/>
      <c r="B1153" s="159" t="n"/>
      <c r="C1153" s="159" t="n"/>
      <c r="D1153" s="8" t="n"/>
      <c r="E1153" s="8" t="n"/>
      <c r="F1153" s="160" t="n"/>
      <c r="G1153" s="161" t="n"/>
      <c r="H1153" s="161" t="n"/>
      <c r="I1153" s="161" t="n"/>
      <c r="J1153" s="162">
        <f>IF(OR(ISNUMBER(SEARCH("보류",K1153)),ISNUMBER(SEARCH("미룸",K1153)),ISNUMBER(SEARCH("나중에",K1153)),ISNUMBER(SEARCH("보류",L1153)),ISNUMBER(SEARCH("미룸",L1153)),ISNUMBER(SEARCH("나중에",L1153))),"보류(나중에 풀기)",IF(AND(F1153="",G1153="",H1153="",I1153=""),"미완료",IF(I1153&lt;&gt;"","복습3(마스터)",IF(H1153&lt;&gt;"","복습2",IF(G1153&lt;&gt;"","복습1",IF(ISNUMBER(SEARCH("제미나이",K1153)),"복습대기(AI도움)",IF(ISNUMBER(SEARCH("간당간당",K1153)),"복습대기(간당간당)",IF(OR(ISNUMBER(SEARCH("아이디어",K1153)),ISNUMBER(SEARCH("시간초과",K1153)),ISNUMBER(SEARCH("자료구조",K1153)),ISNUMBER(SEARCH("경계값",K1153)),ISNUMBER(SEARCH("다른 풀이",K1153)),ISNUMBER(SEARCH("또풀기",K1153))),"복습대기",IF(OR(ISNUMBER(SEARCH("복습필요없음",K1153)),ISNUMBER(SEARCH("자력완벽",K1153))),"품(복습불필요)",IF(F1153&lt;&gt;"","품","미완료"))))))))))</f>
        <v/>
      </c>
      <c r="K1153" s="283" t="n"/>
      <c r="L1153" s="8" t="n"/>
      <c r="M1153" s="8">
        <f>IF(OR(LEFT(J1153,2)="보류", LEFT(J1153,4)="복습대기", LEFT(J1153,3)="복습1", LEFT(J1153,3)="복습2"), MAX($M$3:M1152)+1, "")</f>
        <v/>
      </c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</row>
    <row r="1154" ht="21.75" customHeight="1" s="209">
      <c r="A1154" s="112" t="n"/>
      <c r="B1154" s="159" t="n"/>
      <c r="C1154" s="159" t="n"/>
      <c r="D1154" s="8" t="n"/>
      <c r="E1154" s="8" t="n"/>
      <c r="F1154" s="160" t="n"/>
      <c r="G1154" s="161" t="n"/>
      <c r="H1154" s="161" t="n"/>
      <c r="I1154" s="161" t="n"/>
      <c r="J1154" s="162">
        <f>IF(OR(ISNUMBER(SEARCH("보류",K1154)),ISNUMBER(SEARCH("미룸",K1154)),ISNUMBER(SEARCH("나중에",K1154)),ISNUMBER(SEARCH("보류",L1154)),ISNUMBER(SEARCH("미룸",L1154)),ISNUMBER(SEARCH("나중에",L1154))),"보류(나중에 풀기)",IF(AND(F1154="",G1154="",H1154="",I1154=""),"미완료",IF(I1154&lt;&gt;"","복습3(마스터)",IF(H1154&lt;&gt;"","복습2",IF(G1154&lt;&gt;"","복습1",IF(ISNUMBER(SEARCH("제미나이",K1154)),"복습대기(AI도움)",IF(ISNUMBER(SEARCH("간당간당",K1154)),"복습대기(간당간당)",IF(OR(ISNUMBER(SEARCH("아이디어",K1154)),ISNUMBER(SEARCH("시간초과",K1154)),ISNUMBER(SEARCH("자료구조",K1154)),ISNUMBER(SEARCH("경계값",K1154)),ISNUMBER(SEARCH("다른 풀이",K1154)),ISNUMBER(SEARCH("또풀기",K1154))),"복습대기",IF(OR(ISNUMBER(SEARCH("복습필요없음",K1154)),ISNUMBER(SEARCH("자력완벽",K1154))),"품(복습불필요)",IF(F1154&lt;&gt;"","품","미완료"))))))))))</f>
        <v/>
      </c>
      <c r="K1154" s="283" t="n"/>
      <c r="L1154" s="8" t="n"/>
      <c r="M1154" s="8">
        <f>IF(OR(LEFT(J1154,2)="보류", LEFT(J1154,4)="복습대기", LEFT(J1154,3)="복습1", LEFT(J1154,3)="복습2"), MAX($M$3:M1153)+1, "")</f>
        <v/>
      </c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</row>
    <row r="1155" ht="21.75" customHeight="1" s="209">
      <c r="A1155" s="112" t="n"/>
      <c r="B1155" s="159" t="n"/>
      <c r="C1155" s="159" t="n"/>
      <c r="D1155" s="8" t="n"/>
      <c r="E1155" s="8" t="n"/>
      <c r="F1155" s="160" t="n"/>
      <c r="G1155" s="161" t="n"/>
      <c r="H1155" s="161" t="n"/>
      <c r="I1155" s="161" t="n"/>
      <c r="J1155" s="162">
        <f>IF(OR(ISNUMBER(SEARCH("보류",K1155)),ISNUMBER(SEARCH("미룸",K1155)),ISNUMBER(SEARCH("나중에",K1155)),ISNUMBER(SEARCH("보류",L1155)),ISNUMBER(SEARCH("미룸",L1155)),ISNUMBER(SEARCH("나중에",L1155))),"보류(나중에 풀기)",IF(AND(F1155="",G1155="",H1155="",I1155=""),"미완료",IF(I1155&lt;&gt;"","복습3(마스터)",IF(H1155&lt;&gt;"","복습2",IF(G1155&lt;&gt;"","복습1",IF(ISNUMBER(SEARCH("제미나이",K1155)),"복습대기(AI도움)",IF(ISNUMBER(SEARCH("간당간당",K1155)),"복습대기(간당간당)",IF(OR(ISNUMBER(SEARCH("아이디어",K1155)),ISNUMBER(SEARCH("시간초과",K1155)),ISNUMBER(SEARCH("자료구조",K1155)),ISNUMBER(SEARCH("경계값",K1155)),ISNUMBER(SEARCH("다른 풀이",K1155)),ISNUMBER(SEARCH("또풀기",K1155))),"복습대기",IF(OR(ISNUMBER(SEARCH("복습필요없음",K1155)),ISNUMBER(SEARCH("자력완벽",K1155))),"품(복습불필요)",IF(F1155&lt;&gt;"","품","미완료"))))))))))</f>
        <v/>
      </c>
      <c r="K1155" s="283" t="n"/>
      <c r="L1155" s="8" t="n"/>
      <c r="M1155" s="8">
        <f>IF(OR(LEFT(J1155,2)="보류", LEFT(J1155,4)="복습대기", LEFT(J1155,3)="복습1", LEFT(J1155,3)="복습2"), MAX($M$3:M1154)+1, "")</f>
        <v/>
      </c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</row>
    <row r="1156" ht="21.75" customHeight="1" s="209">
      <c r="A1156" s="112" t="n"/>
      <c r="B1156" s="159" t="n"/>
      <c r="C1156" s="159" t="n"/>
      <c r="D1156" s="8" t="n"/>
      <c r="E1156" s="8" t="n"/>
      <c r="F1156" s="160" t="n"/>
      <c r="G1156" s="161" t="n"/>
      <c r="H1156" s="161" t="n"/>
      <c r="I1156" s="161" t="n"/>
      <c r="J1156" s="162">
        <f>IF(OR(ISNUMBER(SEARCH("보류",K1156)),ISNUMBER(SEARCH("미룸",K1156)),ISNUMBER(SEARCH("나중에",K1156)),ISNUMBER(SEARCH("보류",L1156)),ISNUMBER(SEARCH("미룸",L1156)),ISNUMBER(SEARCH("나중에",L1156))),"보류(나중에 풀기)",IF(AND(F1156="",G1156="",H1156="",I1156=""),"미완료",IF(I1156&lt;&gt;"","복습3(마스터)",IF(H1156&lt;&gt;"","복습2",IF(G1156&lt;&gt;"","복습1",IF(ISNUMBER(SEARCH("제미나이",K1156)),"복습대기(AI도움)",IF(ISNUMBER(SEARCH("간당간당",K1156)),"복습대기(간당간당)",IF(OR(ISNUMBER(SEARCH("아이디어",K1156)),ISNUMBER(SEARCH("시간초과",K1156)),ISNUMBER(SEARCH("자료구조",K1156)),ISNUMBER(SEARCH("경계값",K1156)),ISNUMBER(SEARCH("다른 풀이",K1156)),ISNUMBER(SEARCH("또풀기",K1156))),"복습대기",IF(OR(ISNUMBER(SEARCH("복습필요없음",K1156)),ISNUMBER(SEARCH("자력완벽",K1156))),"품(복습불필요)",IF(F1156&lt;&gt;"","품","미완료"))))))))))</f>
        <v/>
      </c>
      <c r="K1156" s="283" t="n"/>
      <c r="L1156" s="8" t="n"/>
      <c r="M1156" s="8">
        <f>IF(OR(LEFT(J1156,2)="보류", LEFT(J1156,4)="복습대기", LEFT(J1156,3)="복습1", LEFT(J1156,3)="복습2"), MAX($M$3:M1155)+1, "")</f>
        <v/>
      </c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</row>
    <row r="1157" ht="21.75" customHeight="1" s="209">
      <c r="A1157" s="112" t="n"/>
      <c r="B1157" s="159" t="n"/>
      <c r="C1157" s="159" t="n"/>
      <c r="D1157" s="8" t="n"/>
      <c r="E1157" s="8" t="n"/>
      <c r="F1157" s="160" t="n"/>
      <c r="G1157" s="161" t="n"/>
      <c r="H1157" s="161" t="n"/>
      <c r="I1157" s="161" t="n"/>
      <c r="J1157" s="162">
        <f>IF(OR(ISNUMBER(SEARCH("보류",K1157)),ISNUMBER(SEARCH("미룸",K1157)),ISNUMBER(SEARCH("나중에",K1157)),ISNUMBER(SEARCH("보류",L1157)),ISNUMBER(SEARCH("미룸",L1157)),ISNUMBER(SEARCH("나중에",L1157))),"보류(나중에 풀기)",IF(AND(F1157="",G1157="",H1157="",I1157=""),"미완료",IF(I1157&lt;&gt;"","복습3(마스터)",IF(H1157&lt;&gt;"","복습2",IF(G1157&lt;&gt;"","복습1",IF(ISNUMBER(SEARCH("제미나이",K1157)),"복습대기(AI도움)",IF(ISNUMBER(SEARCH("간당간당",K1157)),"복습대기(간당간당)",IF(OR(ISNUMBER(SEARCH("아이디어",K1157)),ISNUMBER(SEARCH("시간초과",K1157)),ISNUMBER(SEARCH("자료구조",K1157)),ISNUMBER(SEARCH("경계값",K1157)),ISNUMBER(SEARCH("다른 풀이",K1157)),ISNUMBER(SEARCH("또풀기",K1157))),"복습대기",IF(OR(ISNUMBER(SEARCH("복습필요없음",K1157)),ISNUMBER(SEARCH("자력완벽",K1157))),"품(복습불필요)",IF(F1157&lt;&gt;"","품","미완료"))))))))))</f>
        <v/>
      </c>
      <c r="K1157" s="283" t="n"/>
      <c r="L1157" s="8" t="n"/>
      <c r="M1157" s="8">
        <f>IF(OR(LEFT(J1157,2)="보류", LEFT(J1157,4)="복습대기", LEFT(J1157,3)="복습1", LEFT(J1157,3)="복습2"), MAX($M$3:M1156)+1, "")</f>
        <v/>
      </c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</row>
    <row r="1158" ht="21.75" customHeight="1" s="209">
      <c r="A1158" s="112" t="n"/>
      <c r="B1158" s="159" t="n"/>
      <c r="C1158" s="159" t="n"/>
      <c r="D1158" s="8" t="n"/>
      <c r="E1158" s="8" t="n"/>
      <c r="F1158" s="160" t="n"/>
      <c r="G1158" s="161" t="n"/>
      <c r="H1158" s="161" t="n"/>
      <c r="I1158" s="161" t="n"/>
      <c r="J1158" s="162">
        <f>IF(OR(ISNUMBER(SEARCH("보류",K1158)),ISNUMBER(SEARCH("미룸",K1158)),ISNUMBER(SEARCH("나중에",K1158)),ISNUMBER(SEARCH("보류",L1158)),ISNUMBER(SEARCH("미룸",L1158)),ISNUMBER(SEARCH("나중에",L1158))),"보류(나중에 풀기)",IF(AND(F1158="",G1158="",H1158="",I1158=""),"미완료",IF(I1158&lt;&gt;"","복습3(마스터)",IF(H1158&lt;&gt;"","복습2",IF(G1158&lt;&gt;"","복습1",IF(ISNUMBER(SEARCH("제미나이",K1158)),"복습대기(AI도움)",IF(ISNUMBER(SEARCH("간당간당",K1158)),"복습대기(간당간당)",IF(OR(ISNUMBER(SEARCH("아이디어",K1158)),ISNUMBER(SEARCH("시간초과",K1158)),ISNUMBER(SEARCH("자료구조",K1158)),ISNUMBER(SEARCH("경계값",K1158)),ISNUMBER(SEARCH("다른 풀이",K1158)),ISNUMBER(SEARCH("또풀기",K1158))),"복습대기",IF(OR(ISNUMBER(SEARCH("복습필요없음",K1158)),ISNUMBER(SEARCH("자력완벽",K1158))),"품(복습불필요)",IF(F1158&lt;&gt;"","품","미완료"))))))))))</f>
        <v/>
      </c>
      <c r="K1158" s="283" t="n"/>
      <c r="L1158" s="8" t="n"/>
      <c r="M1158" s="8">
        <f>IF(OR(LEFT(J1158,2)="보류", LEFT(J1158,4)="복습대기", LEFT(J1158,3)="복습1", LEFT(J1158,3)="복습2"), MAX($M$3:M1157)+1, "")</f>
        <v/>
      </c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</row>
    <row r="1159" ht="21.75" customHeight="1" s="209">
      <c r="A1159" s="112" t="n"/>
      <c r="B1159" s="159" t="n"/>
      <c r="C1159" s="159" t="n"/>
      <c r="D1159" s="8" t="n"/>
      <c r="E1159" s="8" t="n"/>
      <c r="F1159" s="160" t="n"/>
      <c r="G1159" s="161" t="n"/>
      <c r="H1159" s="161" t="n"/>
      <c r="I1159" s="161" t="n"/>
      <c r="J1159" s="162">
        <f>IF(OR(ISNUMBER(SEARCH("보류",K1159)),ISNUMBER(SEARCH("미룸",K1159)),ISNUMBER(SEARCH("나중에",K1159)),ISNUMBER(SEARCH("보류",L1159)),ISNUMBER(SEARCH("미룸",L1159)),ISNUMBER(SEARCH("나중에",L1159))),"보류(나중에 풀기)",IF(AND(F1159="",G1159="",H1159="",I1159=""),"미완료",IF(I1159&lt;&gt;"","복습3(마스터)",IF(H1159&lt;&gt;"","복습2",IF(G1159&lt;&gt;"","복습1",IF(ISNUMBER(SEARCH("제미나이",K1159)),"복습대기(AI도움)",IF(ISNUMBER(SEARCH("간당간당",K1159)),"복습대기(간당간당)",IF(OR(ISNUMBER(SEARCH("아이디어",K1159)),ISNUMBER(SEARCH("시간초과",K1159)),ISNUMBER(SEARCH("자료구조",K1159)),ISNUMBER(SEARCH("경계값",K1159)),ISNUMBER(SEARCH("다른 풀이",K1159)),ISNUMBER(SEARCH("또풀기",K1159))),"복습대기",IF(OR(ISNUMBER(SEARCH("복습필요없음",K1159)),ISNUMBER(SEARCH("자력완벽",K1159))),"품(복습불필요)",IF(F1159&lt;&gt;"","품","미완료"))))))))))</f>
        <v/>
      </c>
      <c r="K1159" s="283" t="n"/>
      <c r="L1159" s="8" t="n"/>
      <c r="M1159" s="8">
        <f>IF(OR(LEFT(J1159,2)="보류", LEFT(J1159,4)="복습대기", LEFT(J1159,3)="복습1", LEFT(J1159,3)="복습2"), MAX($M$3:M1158)+1, "")</f>
        <v/>
      </c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</row>
    <row r="1160" ht="21.75" customHeight="1" s="209">
      <c r="A1160" s="112" t="n"/>
      <c r="B1160" s="159" t="n"/>
      <c r="C1160" s="159" t="n"/>
      <c r="D1160" s="8" t="n"/>
      <c r="E1160" s="8" t="n"/>
      <c r="F1160" s="160" t="n"/>
      <c r="G1160" s="161" t="n"/>
      <c r="H1160" s="161" t="n"/>
      <c r="I1160" s="161" t="n"/>
      <c r="J1160" s="162">
        <f>IF(OR(ISNUMBER(SEARCH("보류",K1160)),ISNUMBER(SEARCH("미룸",K1160)),ISNUMBER(SEARCH("나중에",K1160)),ISNUMBER(SEARCH("보류",L1160)),ISNUMBER(SEARCH("미룸",L1160)),ISNUMBER(SEARCH("나중에",L1160))),"보류(나중에 풀기)",IF(AND(F1160="",G1160="",H1160="",I1160=""),"미완료",IF(I1160&lt;&gt;"","복습3(마스터)",IF(H1160&lt;&gt;"","복습2",IF(G1160&lt;&gt;"","복습1",IF(ISNUMBER(SEARCH("제미나이",K1160)),"복습대기(AI도움)",IF(ISNUMBER(SEARCH("간당간당",K1160)),"복습대기(간당간당)",IF(OR(ISNUMBER(SEARCH("아이디어",K1160)),ISNUMBER(SEARCH("시간초과",K1160)),ISNUMBER(SEARCH("자료구조",K1160)),ISNUMBER(SEARCH("경계값",K1160)),ISNUMBER(SEARCH("다른 풀이",K1160)),ISNUMBER(SEARCH("또풀기",K1160))),"복습대기",IF(OR(ISNUMBER(SEARCH("복습필요없음",K1160)),ISNUMBER(SEARCH("자력완벽",K1160))),"품(복습불필요)",IF(F1160&lt;&gt;"","품","미완료"))))))))))</f>
        <v/>
      </c>
      <c r="K1160" s="283" t="n"/>
      <c r="L1160" s="8" t="n"/>
      <c r="M1160" s="8">
        <f>IF(OR(LEFT(J1160,2)="보류", LEFT(J1160,4)="복습대기", LEFT(J1160,3)="복습1", LEFT(J1160,3)="복습2"), MAX($M$3:M1159)+1, "")</f>
        <v/>
      </c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</row>
    <row r="1161" ht="21.75" customHeight="1" s="209">
      <c r="A1161" s="112" t="n"/>
      <c r="B1161" s="159" t="n"/>
      <c r="C1161" s="159" t="n"/>
      <c r="D1161" s="8" t="n"/>
      <c r="E1161" s="8" t="n"/>
      <c r="F1161" s="160" t="n"/>
      <c r="G1161" s="161" t="n"/>
      <c r="H1161" s="161" t="n"/>
      <c r="I1161" s="161" t="n"/>
      <c r="J1161" s="162">
        <f>IF(OR(ISNUMBER(SEARCH("보류",K1161)),ISNUMBER(SEARCH("미룸",K1161)),ISNUMBER(SEARCH("나중에",K1161)),ISNUMBER(SEARCH("보류",L1161)),ISNUMBER(SEARCH("미룸",L1161)),ISNUMBER(SEARCH("나중에",L1161))),"보류(나중에 풀기)",IF(AND(F1161="",G1161="",H1161="",I1161=""),"미완료",IF(I1161&lt;&gt;"","복습3(마스터)",IF(H1161&lt;&gt;"","복습2",IF(G1161&lt;&gt;"","복습1",IF(ISNUMBER(SEARCH("제미나이",K1161)),"복습대기(AI도움)",IF(ISNUMBER(SEARCH("간당간당",K1161)),"복습대기(간당간당)",IF(OR(ISNUMBER(SEARCH("아이디어",K1161)),ISNUMBER(SEARCH("시간초과",K1161)),ISNUMBER(SEARCH("자료구조",K1161)),ISNUMBER(SEARCH("경계값",K1161)),ISNUMBER(SEARCH("다른 풀이",K1161)),ISNUMBER(SEARCH("또풀기",K1161))),"복습대기",IF(OR(ISNUMBER(SEARCH("복습필요없음",K1161)),ISNUMBER(SEARCH("자력완벽",K1161))),"품(복습불필요)",IF(F1161&lt;&gt;"","품","미완료"))))))))))</f>
        <v/>
      </c>
      <c r="K1161" s="283" t="n"/>
      <c r="L1161" s="8" t="n"/>
      <c r="M1161" s="8">
        <f>IF(OR(LEFT(J1161,2)="보류", LEFT(J1161,4)="복습대기", LEFT(J1161,3)="복습1", LEFT(J1161,3)="복습2"), MAX($M$3:M1160)+1, "")</f>
        <v/>
      </c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</row>
    <row r="1162" ht="21.75" customHeight="1" s="209">
      <c r="A1162" s="112" t="n"/>
      <c r="B1162" s="159" t="n"/>
      <c r="C1162" s="159" t="n"/>
      <c r="D1162" s="8" t="n"/>
      <c r="E1162" s="8" t="n"/>
      <c r="F1162" s="160" t="n"/>
      <c r="G1162" s="161" t="n"/>
      <c r="H1162" s="161" t="n"/>
      <c r="I1162" s="161" t="n"/>
      <c r="J1162" s="162">
        <f>IF(OR(ISNUMBER(SEARCH("보류",K1162)),ISNUMBER(SEARCH("미룸",K1162)),ISNUMBER(SEARCH("나중에",K1162)),ISNUMBER(SEARCH("보류",L1162)),ISNUMBER(SEARCH("미룸",L1162)),ISNUMBER(SEARCH("나중에",L1162))),"보류(나중에 풀기)",IF(AND(F1162="",G1162="",H1162="",I1162=""),"미완료",IF(I1162&lt;&gt;"","복습3(마스터)",IF(H1162&lt;&gt;"","복습2",IF(G1162&lt;&gt;"","복습1",IF(ISNUMBER(SEARCH("제미나이",K1162)),"복습대기(AI도움)",IF(ISNUMBER(SEARCH("간당간당",K1162)),"복습대기(간당간당)",IF(OR(ISNUMBER(SEARCH("아이디어",K1162)),ISNUMBER(SEARCH("시간초과",K1162)),ISNUMBER(SEARCH("자료구조",K1162)),ISNUMBER(SEARCH("경계값",K1162)),ISNUMBER(SEARCH("다른 풀이",K1162)),ISNUMBER(SEARCH("또풀기",K1162))),"복습대기",IF(OR(ISNUMBER(SEARCH("복습필요없음",K1162)),ISNUMBER(SEARCH("자력완벽",K1162))),"품(복습불필요)",IF(F1162&lt;&gt;"","품","미완료"))))))))))</f>
        <v/>
      </c>
      <c r="K1162" s="283" t="n"/>
      <c r="L1162" s="8" t="n"/>
      <c r="M1162" s="8">
        <f>IF(OR(LEFT(J1162,2)="보류", LEFT(J1162,4)="복습대기", LEFT(J1162,3)="복습1", LEFT(J1162,3)="복습2"), MAX($M$3:M1161)+1, "")</f>
        <v/>
      </c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</row>
    <row r="1163" ht="21.75" customHeight="1" s="209">
      <c r="A1163" s="112" t="n"/>
      <c r="B1163" s="159" t="n"/>
      <c r="C1163" s="159" t="n"/>
      <c r="D1163" s="8" t="n"/>
      <c r="E1163" s="8" t="n"/>
      <c r="F1163" s="160" t="n"/>
      <c r="G1163" s="161" t="n"/>
      <c r="H1163" s="161" t="n"/>
      <c r="I1163" s="161" t="n"/>
      <c r="J1163" s="162">
        <f>IF(OR(ISNUMBER(SEARCH("보류",K1163)),ISNUMBER(SEARCH("미룸",K1163)),ISNUMBER(SEARCH("나중에",K1163)),ISNUMBER(SEARCH("보류",L1163)),ISNUMBER(SEARCH("미룸",L1163)),ISNUMBER(SEARCH("나중에",L1163))),"보류(나중에 풀기)",IF(AND(F1163="",G1163="",H1163="",I1163=""),"미완료",IF(I1163&lt;&gt;"","복습3(마스터)",IF(H1163&lt;&gt;"","복습2",IF(G1163&lt;&gt;"","복습1",IF(ISNUMBER(SEARCH("제미나이",K1163)),"복습대기(AI도움)",IF(ISNUMBER(SEARCH("간당간당",K1163)),"복습대기(간당간당)",IF(OR(ISNUMBER(SEARCH("아이디어",K1163)),ISNUMBER(SEARCH("시간초과",K1163)),ISNUMBER(SEARCH("자료구조",K1163)),ISNUMBER(SEARCH("경계값",K1163)),ISNUMBER(SEARCH("다른 풀이",K1163)),ISNUMBER(SEARCH("또풀기",K1163))),"복습대기",IF(OR(ISNUMBER(SEARCH("복습필요없음",K1163)),ISNUMBER(SEARCH("자력완벽",K1163))),"품(복습불필요)",IF(F1163&lt;&gt;"","품","미완료"))))))))))</f>
        <v/>
      </c>
      <c r="K1163" s="283" t="n"/>
      <c r="L1163" s="8" t="n"/>
      <c r="M1163" s="8">
        <f>IF(OR(LEFT(J1163,2)="보류", LEFT(J1163,4)="복습대기", LEFT(J1163,3)="복습1", LEFT(J1163,3)="복습2"), MAX($M$3:M1162)+1, "")</f>
        <v/>
      </c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</row>
    <row r="1164" ht="21.75" customHeight="1" s="209">
      <c r="A1164" s="112" t="n"/>
      <c r="B1164" s="159" t="n"/>
      <c r="C1164" s="159" t="n"/>
      <c r="D1164" s="8" t="n"/>
      <c r="E1164" s="8" t="n"/>
      <c r="F1164" s="160" t="n"/>
      <c r="G1164" s="161" t="n"/>
      <c r="H1164" s="161" t="n"/>
      <c r="I1164" s="161" t="n"/>
      <c r="J1164" s="162">
        <f>IF(OR(ISNUMBER(SEARCH("보류",K1164)),ISNUMBER(SEARCH("미룸",K1164)),ISNUMBER(SEARCH("나중에",K1164)),ISNUMBER(SEARCH("보류",L1164)),ISNUMBER(SEARCH("미룸",L1164)),ISNUMBER(SEARCH("나중에",L1164))),"보류(나중에 풀기)",IF(AND(F1164="",G1164="",H1164="",I1164=""),"미완료",IF(I1164&lt;&gt;"","복습3(마스터)",IF(H1164&lt;&gt;"","복습2",IF(G1164&lt;&gt;"","복습1",IF(ISNUMBER(SEARCH("제미나이",K1164)),"복습대기(AI도움)",IF(ISNUMBER(SEARCH("간당간당",K1164)),"복습대기(간당간당)",IF(OR(ISNUMBER(SEARCH("아이디어",K1164)),ISNUMBER(SEARCH("시간초과",K1164)),ISNUMBER(SEARCH("자료구조",K1164)),ISNUMBER(SEARCH("경계값",K1164)),ISNUMBER(SEARCH("다른 풀이",K1164)),ISNUMBER(SEARCH("또풀기",K1164))),"복습대기",IF(OR(ISNUMBER(SEARCH("복습필요없음",K1164)),ISNUMBER(SEARCH("자력완벽",K1164))),"품(복습불필요)",IF(F1164&lt;&gt;"","품","미완료"))))))))))</f>
        <v/>
      </c>
      <c r="K1164" s="283" t="n"/>
      <c r="L1164" s="8" t="n"/>
      <c r="M1164" s="8">
        <f>IF(OR(LEFT(J1164,2)="보류", LEFT(J1164,4)="복습대기", LEFT(J1164,3)="복습1", LEFT(J1164,3)="복습2"), MAX($M$3:M1163)+1, "")</f>
        <v/>
      </c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</row>
    <row r="1165" ht="21.75" customHeight="1" s="209">
      <c r="A1165" s="112" t="n"/>
      <c r="B1165" s="159" t="n"/>
      <c r="C1165" s="159" t="n"/>
      <c r="D1165" s="8" t="n"/>
      <c r="E1165" s="8" t="n"/>
      <c r="F1165" s="160" t="n"/>
      <c r="G1165" s="161" t="n"/>
      <c r="H1165" s="161" t="n"/>
      <c r="I1165" s="161" t="n"/>
      <c r="J1165" s="162">
        <f>IF(OR(ISNUMBER(SEARCH("보류",K1165)),ISNUMBER(SEARCH("미룸",K1165)),ISNUMBER(SEARCH("나중에",K1165)),ISNUMBER(SEARCH("보류",L1165)),ISNUMBER(SEARCH("미룸",L1165)),ISNUMBER(SEARCH("나중에",L1165))),"보류(나중에 풀기)",IF(AND(F1165="",G1165="",H1165="",I1165=""),"미완료",IF(I1165&lt;&gt;"","복습3(마스터)",IF(H1165&lt;&gt;"","복습2",IF(G1165&lt;&gt;"","복습1",IF(ISNUMBER(SEARCH("제미나이",K1165)),"복습대기(AI도움)",IF(ISNUMBER(SEARCH("간당간당",K1165)),"복습대기(간당간당)",IF(OR(ISNUMBER(SEARCH("아이디어",K1165)),ISNUMBER(SEARCH("시간초과",K1165)),ISNUMBER(SEARCH("자료구조",K1165)),ISNUMBER(SEARCH("경계값",K1165)),ISNUMBER(SEARCH("다른 풀이",K1165)),ISNUMBER(SEARCH("또풀기",K1165))),"복습대기",IF(OR(ISNUMBER(SEARCH("복습필요없음",K1165)),ISNUMBER(SEARCH("자력완벽",K1165))),"품(복습불필요)",IF(F1165&lt;&gt;"","품","미완료"))))))))))</f>
        <v/>
      </c>
      <c r="K1165" s="283" t="n"/>
      <c r="L1165" s="8" t="n"/>
      <c r="M1165" s="8">
        <f>IF(OR(LEFT(J1165,2)="보류", LEFT(J1165,4)="복습대기", LEFT(J1165,3)="복습1", LEFT(J1165,3)="복습2"), MAX($M$3:M1164)+1, "")</f>
        <v/>
      </c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</row>
    <row r="1166" ht="21.75" customHeight="1" s="209">
      <c r="A1166" s="112" t="n"/>
      <c r="B1166" s="159" t="n"/>
      <c r="C1166" s="159" t="n"/>
      <c r="D1166" s="8" t="n"/>
      <c r="E1166" s="8" t="n"/>
      <c r="F1166" s="160" t="n"/>
      <c r="G1166" s="161" t="n"/>
      <c r="H1166" s="161" t="n"/>
      <c r="I1166" s="161" t="n"/>
      <c r="J1166" s="162">
        <f>IF(OR(ISNUMBER(SEARCH("보류",K1166)),ISNUMBER(SEARCH("미룸",K1166)),ISNUMBER(SEARCH("나중에",K1166)),ISNUMBER(SEARCH("보류",L1166)),ISNUMBER(SEARCH("미룸",L1166)),ISNUMBER(SEARCH("나중에",L1166))),"보류(나중에 풀기)",IF(AND(F1166="",G1166="",H1166="",I1166=""),"미완료",IF(I1166&lt;&gt;"","복습3(마스터)",IF(H1166&lt;&gt;"","복습2",IF(G1166&lt;&gt;"","복습1",IF(ISNUMBER(SEARCH("제미나이",K1166)),"복습대기(AI도움)",IF(ISNUMBER(SEARCH("간당간당",K1166)),"복습대기(간당간당)",IF(OR(ISNUMBER(SEARCH("아이디어",K1166)),ISNUMBER(SEARCH("시간초과",K1166)),ISNUMBER(SEARCH("자료구조",K1166)),ISNUMBER(SEARCH("경계값",K1166)),ISNUMBER(SEARCH("다른 풀이",K1166)),ISNUMBER(SEARCH("또풀기",K1166))),"복습대기",IF(OR(ISNUMBER(SEARCH("복습필요없음",K1166)),ISNUMBER(SEARCH("자력완벽",K1166))),"품(복습불필요)",IF(F1166&lt;&gt;"","품","미완료"))))))))))</f>
        <v/>
      </c>
      <c r="K1166" s="283" t="n"/>
      <c r="L1166" s="8" t="n"/>
      <c r="M1166" s="8">
        <f>IF(OR(LEFT(J1166,2)="보류", LEFT(J1166,4)="복습대기", LEFT(J1166,3)="복습1", LEFT(J1166,3)="복습2"), MAX($M$3:M1165)+1, "")</f>
        <v/>
      </c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</row>
    <row r="1167" ht="21.75" customHeight="1" s="209">
      <c r="A1167" s="112" t="n"/>
      <c r="B1167" s="159" t="n"/>
      <c r="C1167" s="159" t="n"/>
      <c r="D1167" s="8" t="n"/>
      <c r="E1167" s="8" t="n"/>
      <c r="F1167" s="160" t="n"/>
      <c r="G1167" s="161" t="n"/>
      <c r="H1167" s="161" t="n"/>
      <c r="I1167" s="161" t="n"/>
      <c r="J1167" s="162">
        <f>IF(OR(ISNUMBER(SEARCH("보류",K1167)),ISNUMBER(SEARCH("미룸",K1167)),ISNUMBER(SEARCH("나중에",K1167)),ISNUMBER(SEARCH("보류",L1167)),ISNUMBER(SEARCH("미룸",L1167)),ISNUMBER(SEARCH("나중에",L1167))),"보류(나중에 풀기)",IF(AND(F1167="",G1167="",H1167="",I1167=""),"미완료",IF(I1167&lt;&gt;"","복습3(마스터)",IF(H1167&lt;&gt;"","복습2",IF(G1167&lt;&gt;"","복습1",IF(ISNUMBER(SEARCH("제미나이",K1167)),"복습대기(AI도움)",IF(ISNUMBER(SEARCH("간당간당",K1167)),"복습대기(간당간당)",IF(OR(ISNUMBER(SEARCH("아이디어",K1167)),ISNUMBER(SEARCH("시간초과",K1167)),ISNUMBER(SEARCH("자료구조",K1167)),ISNUMBER(SEARCH("경계값",K1167)),ISNUMBER(SEARCH("다른 풀이",K1167)),ISNUMBER(SEARCH("또풀기",K1167))),"복습대기",IF(OR(ISNUMBER(SEARCH("복습필요없음",K1167)),ISNUMBER(SEARCH("자력완벽",K1167))),"품(복습불필요)",IF(F1167&lt;&gt;"","품","미완료"))))))))))</f>
        <v/>
      </c>
      <c r="K1167" s="283" t="n"/>
      <c r="L1167" s="8" t="n"/>
      <c r="M1167" s="8">
        <f>IF(OR(LEFT(J1167,2)="보류", LEFT(J1167,4)="복습대기", LEFT(J1167,3)="복습1", LEFT(J1167,3)="복습2"), MAX($M$3:M1166)+1, "")</f>
        <v/>
      </c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</row>
    <row r="1168" ht="21.75" customHeight="1" s="209">
      <c r="A1168" s="112" t="n"/>
      <c r="B1168" s="159" t="n"/>
      <c r="C1168" s="159" t="n"/>
      <c r="D1168" s="8" t="n"/>
      <c r="E1168" s="8" t="n"/>
      <c r="F1168" s="160" t="n"/>
      <c r="G1168" s="161" t="n"/>
      <c r="H1168" s="161" t="n"/>
      <c r="I1168" s="161" t="n"/>
      <c r="J1168" s="162">
        <f>IF(OR(ISNUMBER(SEARCH("보류",K1168)),ISNUMBER(SEARCH("미룸",K1168)),ISNUMBER(SEARCH("나중에",K1168)),ISNUMBER(SEARCH("보류",L1168)),ISNUMBER(SEARCH("미룸",L1168)),ISNUMBER(SEARCH("나중에",L1168))),"보류(나중에 풀기)",IF(AND(F1168="",G1168="",H1168="",I1168=""),"미완료",IF(I1168&lt;&gt;"","복습3(마스터)",IF(H1168&lt;&gt;"","복습2",IF(G1168&lt;&gt;"","복습1",IF(ISNUMBER(SEARCH("제미나이",K1168)),"복습대기(AI도움)",IF(ISNUMBER(SEARCH("간당간당",K1168)),"복습대기(간당간당)",IF(OR(ISNUMBER(SEARCH("아이디어",K1168)),ISNUMBER(SEARCH("시간초과",K1168)),ISNUMBER(SEARCH("자료구조",K1168)),ISNUMBER(SEARCH("경계값",K1168)),ISNUMBER(SEARCH("다른 풀이",K1168)),ISNUMBER(SEARCH("또풀기",K1168))),"복습대기",IF(OR(ISNUMBER(SEARCH("복습필요없음",K1168)),ISNUMBER(SEARCH("자력완벽",K1168))),"품(복습불필요)",IF(F1168&lt;&gt;"","품","미완료"))))))))))</f>
        <v/>
      </c>
      <c r="K1168" s="283" t="n"/>
      <c r="L1168" s="8" t="n"/>
      <c r="M1168" s="8">
        <f>IF(OR(LEFT(J1168,2)="보류", LEFT(J1168,4)="복습대기", LEFT(J1168,3)="복습1", LEFT(J1168,3)="복습2"), MAX($M$3:M1167)+1, "")</f>
        <v/>
      </c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</row>
    <row r="1169" ht="21.75" customHeight="1" s="209">
      <c r="A1169" s="112" t="n"/>
      <c r="B1169" s="159" t="n"/>
      <c r="C1169" s="159" t="n"/>
      <c r="D1169" s="8" t="n"/>
      <c r="E1169" s="8" t="n"/>
      <c r="F1169" s="160" t="n"/>
      <c r="G1169" s="161" t="n"/>
      <c r="H1169" s="161" t="n"/>
      <c r="I1169" s="161" t="n"/>
      <c r="J1169" s="162">
        <f>IF(OR(ISNUMBER(SEARCH("보류",K1169)),ISNUMBER(SEARCH("미룸",K1169)),ISNUMBER(SEARCH("나중에",K1169)),ISNUMBER(SEARCH("보류",L1169)),ISNUMBER(SEARCH("미룸",L1169)),ISNUMBER(SEARCH("나중에",L1169))),"보류(나중에 풀기)",IF(AND(F1169="",G1169="",H1169="",I1169=""),"미완료",IF(I1169&lt;&gt;"","복습3(마스터)",IF(H1169&lt;&gt;"","복습2",IF(G1169&lt;&gt;"","복습1",IF(ISNUMBER(SEARCH("제미나이",K1169)),"복습대기(AI도움)",IF(ISNUMBER(SEARCH("간당간당",K1169)),"복습대기(간당간당)",IF(OR(ISNUMBER(SEARCH("아이디어",K1169)),ISNUMBER(SEARCH("시간초과",K1169)),ISNUMBER(SEARCH("자료구조",K1169)),ISNUMBER(SEARCH("경계값",K1169)),ISNUMBER(SEARCH("다른 풀이",K1169)),ISNUMBER(SEARCH("또풀기",K1169))),"복습대기",IF(OR(ISNUMBER(SEARCH("복습필요없음",K1169)),ISNUMBER(SEARCH("자력완벽",K1169))),"품(복습불필요)",IF(F1169&lt;&gt;"","품","미완료"))))))))))</f>
        <v/>
      </c>
      <c r="K1169" s="283" t="n"/>
      <c r="L1169" s="8" t="n"/>
      <c r="M1169" s="8">
        <f>IF(OR(LEFT(J1169,2)="보류", LEFT(J1169,4)="복습대기", LEFT(J1169,3)="복습1", LEFT(J1169,3)="복습2"), MAX($M$3:M1168)+1, "")</f>
        <v/>
      </c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</row>
    <row r="1170" ht="21.75" customHeight="1" s="209">
      <c r="A1170" s="112" t="n"/>
      <c r="B1170" s="159" t="n"/>
      <c r="C1170" s="159" t="n"/>
      <c r="D1170" s="8" t="n"/>
      <c r="E1170" s="8" t="n"/>
      <c r="F1170" s="160" t="n"/>
      <c r="G1170" s="161" t="n"/>
      <c r="H1170" s="161" t="n"/>
      <c r="I1170" s="161" t="n"/>
      <c r="J1170" s="162">
        <f>IF(OR(ISNUMBER(SEARCH("보류",K1170)),ISNUMBER(SEARCH("미룸",K1170)),ISNUMBER(SEARCH("나중에",K1170)),ISNUMBER(SEARCH("보류",L1170)),ISNUMBER(SEARCH("미룸",L1170)),ISNUMBER(SEARCH("나중에",L1170))),"보류(나중에 풀기)",IF(AND(F1170="",G1170="",H1170="",I1170=""),"미완료",IF(I1170&lt;&gt;"","복습3(마스터)",IF(H1170&lt;&gt;"","복습2",IF(G1170&lt;&gt;"","복습1",IF(ISNUMBER(SEARCH("제미나이",K1170)),"복습대기(AI도움)",IF(ISNUMBER(SEARCH("간당간당",K1170)),"복습대기(간당간당)",IF(OR(ISNUMBER(SEARCH("아이디어",K1170)),ISNUMBER(SEARCH("시간초과",K1170)),ISNUMBER(SEARCH("자료구조",K1170)),ISNUMBER(SEARCH("경계값",K1170)),ISNUMBER(SEARCH("다른 풀이",K1170)),ISNUMBER(SEARCH("또풀기",K1170))),"복습대기",IF(OR(ISNUMBER(SEARCH("복습필요없음",K1170)),ISNUMBER(SEARCH("자력완벽",K1170))),"품(복습불필요)",IF(F1170&lt;&gt;"","품","미완료"))))))))))</f>
        <v/>
      </c>
      <c r="K1170" s="283" t="n"/>
      <c r="L1170" s="8" t="n"/>
      <c r="M1170" s="8">
        <f>IF(OR(LEFT(J1170,2)="보류", LEFT(J1170,4)="복습대기", LEFT(J1170,3)="복습1", LEFT(J1170,3)="복습2"), MAX($M$3:M1169)+1, "")</f>
        <v/>
      </c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</row>
    <row r="1171" ht="21.75" customHeight="1" s="209">
      <c r="A1171" s="112" t="n"/>
      <c r="B1171" s="159" t="n"/>
      <c r="C1171" s="159" t="n"/>
      <c r="D1171" s="8" t="n"/>
      <c r="E1171" s="8" t="n"/>
      <c r="F1171" s="160" t="n"/>
      <c r="G1171" s="161" t="n"/>
      <c r="H1171" s="161" t="n"/>
      <c r="I1171" s="161" t="n"/>
      <c r="J1171" s="162">
        <f>IF(OR(ISNUMBER(SEARCH("보류",K1171)),ISNUMBER(SEARCH("미룸",K1171)),ISNUMBER(SEARCH("나중에",K1171)),ISNUMBER(SEARCH("보류",L1171)),ISNUMBER(SEARCH("미룸",L1171)),ISNUMBER(SEARCH("나중에",L1171))),"보류(나중에 풀기)",IF(AND(F1171="",G1171="",H1171="",I1171=""),"미완료",IF(I1171&lt;&gt;"","복습3(마스터)",IF(H1171&lt;&gt;"","복습2",IF(G1171&lt;&gt;"","복습1",IF(ISNUMBER(SEARCH("제미나이",K1171)),"복습대기(AI도움)",IF(ISNUMBER(SEARCH("간당간당",K1171)),"복습대기(간당간당)",IF(OR(ISNUMBER(SEARCH("아이디어",K1171)),ISNUMBER(SEARCH("시간초과",K1171)),ISNUMBER(SEARCH("자료구조",K1171)),ISNUMBER(SEARCH("경계값",K1171)),ISNUMBER(SEARCH("다른 풀이",K1171)),ISNUMBER(SEARCH("또풀기",K1171))),"복습대기",IF(OR(ISNUMBER(SEARCH("복습필요없음",K1171)),ISNUMBER(SEARCH("자력완벽",K1171))),"품(복습불필요)",IF(F1171&lt;&gt;"","품","미완료"))))))))))</f>
        <v/>
      </c>
      <c r="K1171" s="283" t="n"/>
      <c r="L1171" s="8" t="n"/>
      <c r="M1171" s="8">
        <f>IF(OR(LEFT(J1171,2)="보류", LEFT(J1171,4)="복습대기", LEFT(J1171,3)="복습1", LEFT(J1171,3)="복습2"), MAX($M$3:M1170)+1, "")</f>
        <v/>
      </c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</row>
    <row r="1172" ht="21.75" customHeight="1" s="209">
      <c r="A1172" s="112" t="n"/>
      <c r="B1172" s="159" t="n"/>
      <c r="C1172" s="159" t="n"/>
      <c r="D1172" s="8" t="n"/>
      <c r="E1172" s="8" t="n"/>
      <c r="F1172" s="160" t="n"/>
      <c r="G1172" s="161" t="n"/>
      <c r="H1172" s="161" t="n"/>
      <c r="I1172" s="161" t="n"/>
      <c r="J1172" s="162">
        <f>IF(OR(ISNUMBER(SEARCH("보류",K1172)),ISNUMBER(SEARCH("미룸",K1172)),ISNUMBER(SEARCH("나중에",K1172)),ISNUMBER(SEARCH("보류",L1172)),ISNUMBER(SEARCH("미룸",L1172)),ISNUMBER(SEARCH("나중에",L1172))),"보류(나중에 풀기)",IF(AND(F1172="",G1172="",H1172="",I1172=""),"미완료",IF(I1172&lt;&gt;"","복습3(마스터)",IF(H1172&lt;&gt;"","복습2",IF(G1172&lt;&gt;"","복습1",IF(ISNUMBER(SEARCH("제미나이",K1172)),"복습대기(AI도움)",IF(ISNUMBER(SEARCH("간당간당",K1172)),"복습대기(간당간당)",IF(OR(ISNUMBER(SEARCH("아이디어",K1172)),ISNUMBER(SEARCH("시간초과",K1172)),ISNUMBER(SEARCH("자료구조",K1172)),ISNUMBER(SEARCH("경계값",K1172)),ISNUMBER(SEARCH("다른 풀이",K1172)),ISNUMBER(SEARCH("또풀기",K1172))),"복습대기",IF(OR(ISNUMBER(SEARCH("복습필요없음",K1172)),ISNUMBER(SEARCH("자력완벽",K1172))),"품(복습불필요)",IF(F1172&lt;&gt;"","품","미완료"))))))))))</f>
        <v/>
      </c>
      <c r="K1172" s="283" t="n"/>
      <c r="L1172" s="8" t="n"/>
      <c r="M1172" s="8">
        <f>IF(OR(LEFT(J1172,2)="보류", LEFT(J1172,4)="복습대기", LEFT(J1172,3)="복습1", LEFT(J1172,3)="복습2"), MAX($M$3:M1171)+1, "")</f>
        <v/>
      </c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</row>
    <row r="1173" ht="21.75" customHeight="1" s="209">
      <c r="A1173" s="112" t="n"/>
      <c r="B1173" s="159" t="n"/>
      <c r="C1173" s="159" t="n"/>
      <c r="D1173" s="8" t="n"/>
      <c r="E1173" s="8" t="n"/>
      <c r="F1173" s="160" t="n"/>
      <c r="G1173" s="161" t="n"/>
      <c r="H1173" s="161" t="n"/>
      <c r="I1173" s="161" t="n"/>
      <c r="J1173" s="162">
        <f>IF(OR(ISNUMBER(SEARCH("보류",K1173)),ISNUMBER(SEARCH("미룸",K1173)),ISNUMBER(SEARCH("나중에",K1173)),ISNUMBER(SEARCH("보류",L1173)),ISNUMBER(SEARCH("미룸",L1173)),ISNUMBER(SEARCH("나중에",L1173))),"보류(나중에 풀기)",IF(AND(F1173="",G1173="",H1173="",I1173=""),"미완료",IF(I1173&lt;&gt;"","복습3(마스터)",IF(H1173&lt;&gt;"","복습2",IF(G1173&lt;&gt;"","복습1",IF(ISNUMBER(SEARCH("제미나이",K1173)),"복습대기(AI도움)",IF(ISNUMBER(SEARCH("간당간당",K1173)),"복습대기(간당간당)",IF(OR(ISNUMBER(SEARCH("아이디어",K1173)),ISNUMBER(SEARCH("시간초과",K1173)),ISNUMBER(SEARCH("자료구조",K1173)),ISNUMBER(SEARCH("경계값",K1173)),ISNUMBER(SEARCH("다른 풀이",K1173)),ISNUMBER(SEARCH("또풀기",K1173))),"복습대기",IF(OR(ISNUMBER(SEARCH("복습필요없음",K1173)),ISNUMBER(SEARCH("자력완벽",K1173))),"품(복습불필요)",IF(F1173&lt;&gt;"","품","미완료"))))))))))</f>
        <v/>
      </c>
      <c r="K1173" s="283" t="n"/>
      <c r="L1173" s="8" t="n"/>
      <c r="M1173" s="8">
        <f>IF(OR(LEFT(J1173,2)="보류", LEFT(J1173,4)="복습대기", LEFT(J1173,3)="복습1", LEFT(J1173,3)="복습2"), MAX($M$3:M1172)+1, "")</f>
        <v/>
      </c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</row>
    <row r="1174" ht="21.75" customHeight="1" s="209">
      <c r="A1174" s="112" t="n"/>
      <c r="B1174" s="159" t="n"/>
      <c r="C1174" s="159" t="n"/>
      <c r="D1174" s="8" t="n"/>
      <c r="E1174" s="8" t="n"/>
      <c r="F1174" s="160" t="n"/>
      <c r="G1174" s="161" t="n"/>
      <c r="H1174" s="161" t="n"/>
      <c r="I1174" s="161" t="n"/>
      <c r="J1174" s="162">
        <f>IF(OR(ISNUMBER(SEARCH("보류",K1174)),ISNUMBER(SEARCH("미룸",K1174)),ISNUMBER(SEARCH("나중에",K1174)),ISNUMBER(SEARCH("보류",L1174)),ISNUMBER(SEARCH("미룸",L1174)),ISNUMBER(SEARCH("나중에",L1174))),"보류(나중에 풀기)",IF(AND(F1174="",G1174="",H1174="",I1174=""),"미완료",IF(I1174&lt;&gt;"","복습3(마스터)",IF(H1174&lt;&gt;"","복습2",IF(G1174&lt;&gt;"","복습1",IF(ISNUMBER(SEARCH("제미나이",K1174)),"복습대기(AI도움)",IF(ISNUMBER(SEARCH("간당간당",K1174)),"복습대기(간당간당)",IF(OR(ISNUMBER(SEARCH("아이디어",K1174)),ISNUMBER(SEARCH("시간초과",K1174)),ISNUMBER(SEARCH("자료구조",K1174)),ISNUMBER(SEARCH("경계값",K1174)),ISNUMBER(SEARCH("다른 풀이",K1174)),ISNUMBER(SEARCH("또풀기",K1174))),"복습대기",IF(OR(ISNUMBER(SEARCH("복습필요없음",K1174)),ISNUMBER(SEARCH("자력완벽",K1174))),"품(복습불필요)",IF(F1174&lt;&gt;"","품","미완료"))))))))))</f>
        <v/>
      </c>
      <c r="K1174" s="283" t="n"/>
      <c r="L1174" s="8" t="n"/>
      <c r="M1174" s="8">
        <f>IF(OR(LEFT(J1174,2)="보류", LEFT(J1174,4)="복습대기", LEFT(J1174,3)="복습1", LEFT(J1174,3)="복습2"), MAX($M$3:M1173)+1, "")</f>
        <v/>
      </c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</row>
    <row r="1175" ht="21.75" customHeight="1" s="209">
      <c r="A1175" s="112" t="n"/>
      <c r="B1175" s="159" t="n"/>
      <c r="C1175" s="159" t="n"/>
      <c r="D1175" s="8" t="n"/>
      <c r="E1175" s="8" t="n"/>
      <c r="F1175" s="160" t="n"/>
      <c r="G1175" s="161" t="n"/>
      <c r="H1175" s="161" t="n"/>
      <c r="I1175" s="161" t="n"/>
      <c r="J1175" s="162">
        <f>IF(OR(ISNUMBER(SEARCH("보류",K1175)),ISNUMBER(SEARCH("미룸",K1175)),ISNUMBER(SEARCH("나중에",K1175)),ISNUMBER(SEARCH("보류",L1175)),ISNUMBER(SEARCH("미룸",L1175)),ISNUMBER(SEARCH("나중에",L1175))),"보류(나중에 풀기)",IF(AND(F1175="",G1175="",H1175="",I1175=""),"미완료",IF(I1175&lt;&gt;"","복습3(마스터)",IF(H1175&lt;&gt;"","복습2",IF(G1175&lt;&gt;"","복습1",IF(ISNUMBER(SEARCH("제미나이",K1175)),"복습대기(AI도움)",IF(ISNUMBER(SEARCH("간당간당",K1175)),"복습대기(간당간당)",IF(OR(ISNUMBER(SEARCH("아이디어",K1175)),ISNUMBER(SEARCH("시간초과",K1175)),ISNUMBER(SEARCH("자료구조",K1175)),ISNUMBER(SEARCH("경계값",K1175)),ISNUMBER(SEARCH("다른 풀이",K1175)),ISNUMBER(SEARCH("또풀기",K1175))),"복습대기",IF(OR(ISNUMBER(SEARCH("복습필요없음",K1175)),ISNUMBER(SEARCH("자력완벽",K1175))),"품(복습불필요)",IF(F1175&lt;&gt;"","품","미완료"))))))))))</f>
        <v/>
      </c>
      <c r="K1175" s="283" t="n"/>
      <c r="L1175" s="8" t="n"/>
      <c r="M1175" s="8">
        <f>IF(OR(LEFT(J1175,2)="보류", LEFT(J1175,4)="복습대기", LEFT(J1175,3)="복습1", LEFT(J1175,3)="복습2"), MAX($M$3:M1174)+1, "")</f>
        <v/>
      </c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</row>
    <row r="1176" ht="21.75" customHeight="1" s="209">
      <c r="A1176" s="112" t="n"/>
      <c r="B1176" s="159" t="n"/>
      <c r="C1176" s="159" t="n"/>
      <c r="D1176" s="8" t="n"/>
      <c r="E1176" s="8" t="n"/>
      <c r="F1176" s="160" t="n"/>
      <c r="G1176" s="161" t="n"/>
      <c r="H1176" s="161" t="n"/>
      <c r="I1176" s="161" t="n"/>
      <c r="J1176" s="162">
        <f>IF(OR(ISNUMBER(SEARCH("보류",K1176)),ISNUMBER(SEARCH("미룸",K1176)),ISNUMBER(SEARCH("나중에",K1176)),ISNUMBER(SEARCH("보류",L1176)),ISNUMBER(SEARCH("미룸",L1176)),ISNUMBER(SEARCH("나중에",L1176))),"보류(나중에 풀기)",IF(AND(F1176="",G1176="",H1176="",I1176=""),"미완료",IF(I1176&lt;&gt;"","복습3(마스터)",IF(H1176&lt;&gt;"","복습2",IF(G1176&lt;&gt;"","복습1",IF(ISNUMBER(SEARCH("제미나이",K1176)),"복습대기(AI도움)",IF(ISNUMBER(SEARCH("간당간당",K1176)),"복습대기(간당간당)",IF(OR(ISNUMBER(SEARCH("아이디어",K1176)),ISNUMBER(SEARCH("시간초과",K1176)),ISNUMBER(SEARCH("자료구조",K1176)),ISNUMBER(SEARCH("경계값",K1176)),ISNUMBER(SEARCH("다른 풀이",K1176)),ISNUMBER(SEARCH("또풀기",K1176))),"복습대기",IF(OR(ISNUMBER(SEARCH("복습필요없음",K1176)),ISNUMBER(SEARCH("자력완벽",K1176))),"품(복습불필요)",IF(F1176&lt;&gt;"","품","미완료"))))))))))</f>
        <v/>
      </c>
      <c r="K1176" s="283" t="n"/>
      <c r="L1176" s="8" t="n"/>
      <c r="M1176" s="8">
        <f>IF(OR(LEFT(J1176,2)="보류", LEFT(J1176,4)="복습대기", LEFT(J1176,3)="복습1", LEFT(J1176,3)="복습2"), MAX($M$3:M1175)+1, "")</f>
        <v/>
      </c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</row>
    <row r="1177" ht="21.75" customHeight="1" s="209">
      <c r="A1177" s="112" t="n"/>
      <c r="B1177" s="159" t="n"/>
      <c r="C1177" s="159" t="n"/>
      <c r="D1177" s="8" t="n"/>
      <c r="E1177" s="8" t="n"/>
      <c r="F1177" s="160" t="n"/>
      <c r="G1177" s="161" t="n"/>
      <c r="H1177" s="161" t="n"/>
      <c r="I1177" s="161" t="n"/>
      <c r="J1177" s="162">
        <f>IF(OR(ISNUMBER(SEARCH("보류",K1177)),ISNUMBER(SEARCH("미룸",K1177)),ISNUMBER(SEARCH("나중에",K1177)),ISNUMBER(SEARCH("보류",L1177)),ISNUMBER(SEARCH("미룸",L1177)),ISNUMBER(SEARCH("나중에",L1177))),"보류(나중에 풀기)",IF(AND(F1177="",G1177="",H1177="",I1177=""),"미완료",IF(I1177&lt;&gt;"","복습3(마스터)",IF(H1177&lt;&gt;"","복습2",IF(G1177&lt;&gt;"","복습1",IF(ISNUMBER(SEARCH("제미나이",K1177)),"복습대기(AI도움)",IF(ISNUMBER(SEARCH("간당간당",K1177)),"복습대기(간당간당)",IF(OR(ISNUMBER(SEARCH("아이디어",K1177)),ISNUMBER(SEARCH("시간초과",K1177)),ISNUMBER(SEARCH("자료구조",K1177)),ISNUMBER(SEARCH("경계값",K1177)),ISNUMBER(SEARCH("다른 풀이",K1177)),ISNUMBER(SEARCH("또풀기",K1177))),"복습대기",IF(OR(ISNUMBER(SEARCH("복습필요없음",K1177)),ISNUMBER(SEARCH("자력완벽",K1177))),"품(복습불필요)",IF(F1177&lt;&gt;"","품","미완료"))))))))))</f>
        <v/>
      </c>
      <c r="K1177" s="283" t="n"/>
      <c r="L1177" s="8" t="n"/>
      <c r="M1177" s="8">
        <f>IF(OR(LEFT(J1177,2)="보류", LEFT(J1177,4)="복습대기", LEFT(J1177,3)="복습1", LEFT(J1177,3)="복습2"), MAX($M$3:M1176)+1, "")</f>
        <v/>
      </c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</row>
    <row r="1178" ht="21.75" customHeight="1" s="209">
      <c r="A1178" s="112" t="n"/>
      <c r="B1178" s="159" t="n"/>
      <c r="C1178" s="159" t="n"/>
      <c r="D1178" s="8" t="n"/>
      <c r="E1178" s="8" t="n"/>
      <c r="F1178" s="160" t="n"/>
      <c r="G1178" s="161" t="n"/>
      <c r="H1178" s="161" t="n"/>
      <c r="I1178" s="161" t="n"/>
      <c r="J1178" s="162">
        <f>IF(OR(ISNUMBER(SEARCH("보류",K1178)),ISNUMBER(SEARCH("미룸",K1178)),ISNUMBER(SEARCH("나중에",K1178)),ISNUMBER(SEARCH("보류",L1178)),ISNUMBER(SEARCH("미룸",L1178)),ISNUMBER(SEARCH("나중에",L1178))),"보류(나중에 풀기)",IF(AND(F1178="",G1178="",H1178="",I1178=""),"미완료",IF(I1178&lt;&gt;"","복습3(마스터)",IF(H1178&lt;&gt;"","복습2",IF(G1178&lt;&gt;"","복습1",IF(ISNUMBER(SEARCH("제미나이",K1178)),"복습대기(AI도움)",IF(ISNUMBER(SEARCH("간당간당",K1178)),"복습대기(간당간당)",IF(OR(ISNUMBER(SEARCH("아이디어",K1178)),ISNUMBER(SEARCH("시간초과",K1178)),ISNUMBER(SEARCH("자료구조",K1178)),ISNUMBER(SEARCH("경계값",K1178)),ISNUMBER(SEARCH("다른 풀이",K1178)),ISNUMBER(SEARCH("또풀기",K1178))),"복습대기",IF(OR(ISNUMBER(SEARCH("복습필요없음",K1178)),ISNUMBER(SEARCH("자력완벽",K1178))),"품(복습불필요)",IF(F1178&lt;&gt;"","품","미완료"))))))))))</f>
        <v/>
      </c>
      <c r="K1178" s="283" t="n"/>
      <c r="L1178" s="8" t="n"/>
      <c r="M1178" s="8">
        <f>IF(OR(LEFT(J1178,2)="보류", LEFT(J1178,4)="복습대기", LEFT(J1178,3)="복습1", LEFT(J1178,3)="복습2"), MAX($M$3:M1177)+1, "")</f>
        <v/>
      </c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</row>
    <row r="1179" ht="21.75" customHeight="1" s="209">
      <c r="A1179" s="112" t="n"/>
      <c r="B1179" s="159" t="n"/>
      <c r="C1179" s="159" t="n"/>
      <c r="D1179" s="8" t="n"/>
      <c r="E1179" s="8" t="n"/>
      <c r="F1179" s="160" t="n"/>
      <c r="G1179" s="161" t="n"/>
      <c r="H1179" s="161" t="n"/>
      <c r="I1179" s="161" t="n"/>
      <c r="J1179" s="162">
        <f>IF(OR(ISNUMBER(SEARCH("보류",K1179)),ISNUMBER(SEARCH("미룸",K1179)),ISNUMBER(SEARCH("나중에",K1179)),ISNUMBER(SEARCH("보류",L1179)),ISNUMBER(SEARCH("미룸",L1179)),ISNUMBER(SEARCH("나중에",L1179))),"보류(나중에 풀기)",IF(AND(F1179="",G1179="",H1179="",I1179=""),"미완료",IF(I1179&lt;&gt;"","복습3(마스터)",IF(H1179&lt;&gt;"","복습2",IF(G1179&lt;&gt;"","복습1",IF(ISNUMBER(SEARCH("제미나이",K1179)),"복습대기(AI도움)",IF(ISNUMBER(SEARCH("간당간당",K1179)),"복습대기(간당간당)",IF(OR(ISNUMBER(SEARCH("아이디어",K1179)),ISNUMBER(SEARCH("시간초과",K1179)),ISNUMBER(SEARCH("자료구조",K1179)),ISNUMBER(SEARCH("경계값",K1179)),ISNUMBER(SEARCH("다른 풀이",K1179)),ISNUMBER(SEARCH("또풀기",K1179))),"복습대기",IF(OR(ISNUMBER(SEARCH("복습필요없음",K1179)),ISNUMBER(SEARCH("자력완벽",K1179))),"품(복습불필요)",IF(F1179&lt;&gt;"","품","미완료"))))))))))</f>
        <v/>
      </c>
      <c r="K1179" s="283" t="n"/>
      <c r="L1179" s="8" t="n"/>
      <c r="M1179" s="8">
        <f>IF(OR(LEFT(J1179,2)="보류", LEFT(J1179,4)="복습대기", LEFT(J1179,3)="복습1", LEFT(J1179,3)="복습2"), MAX($M$3:M1178)+1, "")</f>
        <v/>
      </c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</row>
    <row r="1180" ht="21.75" customHeight="1" s="209">
      <c r="A1180" s="112" t="n"/>
      <c r="B1180" s="159" t="n"/>
      <c r="C1180" s="159" t="n"/>
      <c r="D1180" s="8" t="n"/>
      <c r="E1180" s="8" t="n"/>
      <c r="F1180" s="160" t="n"/>
      <c r="G1180" s="161" t="n"/>
      <c r="H1180" s="161" t="n"/>
      <c r="I1180" s="161" t="n"/>
      <c r="J1180" s="162">
        <f>IF(OR(ISNUMBER(SEARCH("보류",K1180)),ISNUMBER(SEARCH("미룸",K1180)),ISNUMBER(SEARCH("나중에",K1180)),ISNUMBER(SEARCH("보류",L1180)),ISNUMBER(SEARCH("미룸",L1180)),ISNUMBER(SEARCH("나중에",L1180))),"보류(나중에 풀기)",IF(AND(F1180="",G1180="",H1180="",I1180=""),"미완료",IF(I1180&lt;&gt;"","복습3(마스터)",IF(H1180&lt;&gt;"","복습2",IF(G1180&lt;&gt;"","복습1",IF(ISNUMBER(SEARCH("제미나이",K1180)),"복습대기(AI도움)",IF(ISNUMBER(SEARCH("간당간당",K1180)),"복습대기(간당간당)",IF(OR(ISNUMBER(SEARCH("아이디어",K1180)),ISNUMBER(SEARCH("시간초과",K1180)),ISNUMBER(SEARCH("자료구조",K1180)),ISNUMBER(SEARCH("경계값",K1180)),ISNUMBER(SEARCH("다른 풀이",K1180)),ISNUMBER(SEARCH("또풀기",K1180))),"복습대기",IF(OR(ISNUMBER(SEARCH("복습필요없음",K1180)),ISNUMBER(SEARCH("자력완벽",K1180))),"품(복습불필요)",IF(F1180&lt;&gt;"","품","미완료"))))))))))</f>
        <v/>
      </c>
      <c r="K1180" s="283" t="n"/>
      <c r="L1180" s="8" t="n"/>
      <c r="M1180" s="8">
        <f>IF(OR(LEFT(J1180,2)="보류", LEFT(J1180,4)="복습대기", LEFT(J1180,3)="복습1", LEFT(J1180,3)="복습2"), MAX($M$3:M1179)+1, "")</f>
        <v/>
      </c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</row>
    <row r="1181" ht="21.75" customHeight="1" s="209">
      <c r="A1181" s="112" t="n"/>
      <c r="B1181" s="159" t="n"/>
      <c r="C1181" s="159" t="n"/>
      <c r="D1181" s="8" t="n"/>
      <c r="E1181" s="8" t="n"/>
      <c r="F1181" s="160" t="n"/>
      <c r="G1181" s="161" t="n"/>
      <c r="H1181" s="161" t="n"/>
      <c r="I1181" s="161" t="n"/>
      <c r="J1181" s="162">
        <f>IF(OR(ISNUMBER(SEARCH("보류",K1181)),ISNUMBER(SEARCH("미룸",K1181)),ISNUMBER(SEARCH("나중에",K1181)),ISNUMBER(SEARCH("보류",L1181)),ISNUMBER(SEARCH("미룸",L1181)),ISNUMBER(SEARCH("나중에",L1181))),"보류(나중에 풀기)",IF(AND(F1181="",G1181="",H1181="",I1181=""),"미완료",IF(I1181&lt;&gt;"","복습3(마스터)",IF(H1181&lt;&gt;"","복습2",IF(G1181&lt;&gt;"","복습1",IF(ISNUMBER(SEARCH("제미나이",K1181)),"복습대기(AI도움)",IF(ISNUMBER(SEARCH("간당간당",K1181)),"복습대기(간당간당)",IF(OR(ISNUMBER(SEARCH("아이디어",K1181)),ISNUMBER(SEARCH("시간초과",K1181)),ISNUMBER(SEARCH("자료구조",K1181)),ISNUMBER(SEARCH("경계값",K1181)),ISNUMBER(SEARCH("다른 풀이",K1181)),ISNUMBER(SEARCH("또풀기",K1181))),"복습대기",IF(OR(ISNUMBER(SEARCH("복습필요없음",K1181)),ISNUMBER(SEARCH("자력완벽",K1181))),"품(복습불필요)",IF(F1181&lt;&gt;"","품","미완료"))))))))))</f>
        <v/>
      </c>
      <c r="K1181" s="283" t="n"/>
      <c r="L1181" s="8" t="n"/>
      <c r="M1181" s="8">
        <f>IF(OR(LEFT(J1181,2)="보류", LEFT(J1181,4)="복습대기", LEFT(J1181,3)="복습1", LEFT(J1181,3)="복습2"), MAX($M$3:M1180)+1, "")</f>
        <v/>
      </c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</row>
    <row r="1182" ht="21.75" customHeight="1" s="209">
      <c r="A1182" s="112" t="n"/>
      <c r="B1182" s="159" t="n"/>
      <c r="C1182" s="159" t="n"/>
      <c r="D1182" s="8" t="n"/>
      <c r="E1182" s="8" t="n"/>
      <c r="F1182" s="160" t="n"/>
      <c r="G1182" s="161" t="n"/>
      <c r="H1182" s="161" t="n"/>
      <c r="I1182" s="161" t="n"/>
      <c r="J1182" s="162">
        <f>IF(OR(ISNUMBER(SEARCH("보류",K1182)),ISNUMBER(SEARCH("미룸",K1182)),ISNUMBER(SEARCH("나중에",K1182)),ISNUMBER(SEARCH("보류",L1182)),ISNUMBER(SEARCH("미룸",L1182)),ISNUMBER(SEARCH("나중에",L1182))),"보류(나중에 풀기)",IF(AND(F1182="",G1182="",H1182="",I1182=""),"미완료",IF(I1182&lt;&gt;"","복습3(마스터)",IF(H1182&lt;&gt;"","복습2",IF(G1182&lt;&gt;"","복습1",IF(ISNUMBER(SEARCH("제미나이",K1182)),"복습대기(AI도움)",IF(ISNUMBER(SEARCH("간당간당",K1182)),"복습대기(간당간당)",IF(OR(ISNUMBER(SEARCH("아이디어",K1182)),ISNUMBER(SEARCH("시간초과",K1182)),ISNUMBER(SEARCH("자료구조",K1182)),ISNUMBER(SEARCH("경계값",K1182)),ISNUMBER(SEARCH("다른 풀이",K1182)),ISNUMBER(SEARCH("또풀기",K1182))),"복습대기",IF(OR(ISNUMBER(SEARCH("복습필요없음",K1182)),ISNUMBER(SEARCH("자력완벽",K1182))),"품(복습불필요)",IF(F1182&lt;&gt;"","품","미완료"))))))))))</f>
        <v/>
      </c>
      <c r="K1182" s="283" t="n"/>
      <c r="L1182" s="8" t="n"/>
      <c r="M1182" s="8">
        <f>IF(OR(LEFT(J1182,2)="보류", LEFT(J1182,4)="복습대기", LEFT(J1182,3)="복습1", LEFT(J1182,3)="복습2"), MAX($M$3:M1181)+1, "")</f>
        <v/>
      </c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</row>
    <row r="1183" ht="21.75" customHeight="1" s="209">
      <c r="A1183" s="112" t="n"/>
      <c r="B1183" s="159" t="n"/>
      <c r="C1183" s="159" t="n"/>
      <c r="D1183" s="8" t="n"/>
      <c r="E1183" s="8" t="n"/>
      <c r="F1183" s="160" t="n"/>
      <c r="G1183" s="161" t="n"/>
      <c r="H1183" s="161" t="n"/>
      <c r="I1183" s="161" t="n"/>
      <c r="J1183" s="162">
        <f>IF(OR(ISNUMBER(SEARCH("보류",K1183)),ISNUMBER(SEARCH("미룸",K1183)),ISNUMBER(SEARCH("나중에",K1183)),ISNUMBER(SEARCH("보류",L1183)),ISNUMBER(SEARCH("미룸",L1183)),ISNUMBER(SEARCH("나중에",L1183))),"보류(나중에 풀기)",IF(AND(F1183="",G1183="",H1183="",I1183=""),"미완료",IF(I1183&lt;&gt;"","복습3(마스터)",IF(H1183&lt;&gt;"","복습2",IF(G1183&lt;&gt;"","복습1",IF(ISNUMBER(SEARCH("제미나이",K1183)),"복습대기(AI도움)",IF(ISNUMBER(SEARCH("간당간당",K1183)),"복습대기(간당간당)",IF(OR(ISNUMBER(SEARCH("아이디어",K1183)),ISNUMBER(SEARCH("시간초과",K1183)),ISNUMBER(SEARCH("자료구조",K1183)),ISNUMBER(SEARCH("경계값",K1183)),ISNUMBER(SEARCH("다른 풀이",K1183)),ISNUMBER(SEARCH("또풀기",K1183))),"복습대기",IF(OR(ISNUMBER(SEARCH("복습필요없음",K1183)),ISNUMBER(SEARCH("자력완벽",K1183))),"품(복습불필요)",IF(F1183&lt;&gt;"","품","미완료"))))))))))</f>
        <v/>
      </c>
      <c r="K1183" s="283" t="n"/>
      <c r="L1183" s="8" t="n"/>
      <c r="M1183" s="8">
        <f>IF(OR(LEFT(J1183,2)="보류", LEFT(J1183,4)="복습대기", LEFT(J1183,3)="복습1", LEFT(J1183,3)="복습2"), MAX($M$3:M1182)+1, "")</f>
        <v/>
      </c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</row>
    <row r="1184" ht="21.75" customHeight="1" s="209">
      <c r="A1184" s="112" t="n"/>
      <c r="B1184" s="159" t="n"/>
      <c r="C1184" s="159" t="n"/>
      <c r="D1184" s="8" t="n"/>
      <c r="E1184" s="8" t="n"/>
      <c r="F1184" s="160" t="n"/>
      <c r="G1184" s="161" t="n"/>
      <c r="H1184" s="161" t="n"/>
      <c r="I1184" s="161" t="n"/>
      <c r="J1184" s="162">
        <f>IF(OR(ISNUMBER(SEARCH("보류",K1184)),ISNUMBER(SEARCH("미룸",K1184)),ISNUMBER(SEARCH("나중에",K1184)),ISNUMBER(SEARCH("보류",L1184)),ISNUMBER(SEARCH("미룸",L1184)),ISNUMBER(SEARCH("나중에",L1184))),"보류(나중에 풀기)",IF(AND(F1184="",G1184="",H1184="",I1184=""),"미완료",IF(I1184&lt;&gt;"","복습3(마스터)",IF(H1184&lt;&gt;"","복습2",IF(G1184&lt;&gt;"","복습1",IF(ISNUMBER(SEARCH("제미나이",K1184)),"복습대기(AI도움)",IF(ISNUMBER(SEARCH("간당간당",K1184)),"복습대기(간당간당)",IF(OR(ISNUMBER(SEARCH("아이디어",K1184)),ISNUMBER(SEARCH("시간초과",K1184)),ISNUMBER(SEARCH("자료구조",K1184)),ISNUMBER(SEARCH("경계값",K1184)),ISNUMBER(SEARCH("다른 풀이",K1184)),ISNUMBER(SEARCH("또풀기",K1184))),"복습대기",IF(OR(ISNUMBER(SEARCH("복습필요없음",K1184)),ISNUMBER(SEARCH("자력완벽",K1184))),"품(복습불필요)",IF(F1184&lt;&gt;"","품","미완료"))))))))))</f>
        <v/>
      </c>
      <c r="K1184" s="283" t="n"/>
      <c r="L1184" s="8" t="n"/>
      <c r="M1184" s="8">
        <f>IF(OR(LEFT(J1184,2)="보류", LEFT(J1184,4)="복습대기", LEFT(J1184,3)="복습1", LEFT(J1184,3)="복습2"), MAX($M$3:M1183)+1, "")</f>
        <v/>
      </c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</row>
    <row r="1185" ht="21.75" customHeight="1" s="209">
      <c r="A1185" s="112" t="n"/>
      <c r="B1185" s="159" t="n"/>
      <c r="C1185" s="159" t="n"/>
      <c r="D1185" s="8" t="n"/>
      <c r="E1185" s="8" t="n"/>
      <c r="F1185" s="160" t="n"/>
      <c r="G1185" s="161" t="n"/>
      <c r="H1185" s="161" t="n"/>
      <c r="I1185" s="161" t="n"/>
      <c r="J1185" s="162">
        <f>IF(OR(ISNUMBER(SEARCH("보류",K1185)),ISNUMBER(SEARCH("미룸",K1185)),ISNUMBER(SEARCH("나중에",K1185)),ISNUMBER(SEARCH("보류",L1185)),ISNUMBER(SEARCH("미룸",L1185)),ISNUMBER(SEARCH("나중에",L1185))),"보류(나중에 풀기)",IF(AND(F1185="",G1185="",H1185="",I1185=""),"미완료",IF(I1185&lt;&gt;"","복습3(마스터)",IF(H1185&lt;&gt;"","복습2",IF(G1185&lt;&gt;"","복습1",IF(ISNUMBER(SEARCH("제미나이",K1185)),"복습대기(AI도움)",IF(ISNUMBER(SEARCH("간당간당",K1185)),"복습대기(간당간당)",IF(OR(ISNUMBER(SEARCH("아이디어",K1185)),ISNUMBER(SEARCH("시간초과",K1185)),ISNUMBER(SEARCH("자료구조",K1185)),ISNUMBER(SEARCH("경계값",K1185)),ISNUMBER(SEARCH("다른 풀이",K1185)),ISNUMBER(SEARCH("또풀기",K1185))),"복습대기",IF(OR(ISNUMBER(SEARCH("복습필요없음",K1185)),ISNUMBER(SEARCH("자력완벽",K1185))),"품(복습불필요)",IF(F1185&lt;&gt;"","품","미완료"))))))))))</f>
        <v/>
      </c>
      <c r="K1185" s="283" t="n"/>
      <c r="L1185" s="8" t="n"/>
      <c r="M1185" s="8">
        <f>IF(OR(LEFT(J1185,2)="보류", LEFT(J1185,4)="복습대기", LEFT(J1185,3)="복습1", LEFT(J1185,3)="복습2"), MAX($M$3:M1184)+1, "")</f>
        <v/>
      </c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</row>
    <row r="1186" ht="21.75" customHeight="1" s="209">
      <c r="A1186" s="112" t="n"/>
      <c r="B1186" s="159" t="n"/>
      <c r="C1186" s="159" t="n"/>
      <c r="D1186" s="8" t="n"/>
      <c r="E1186" s="8" t="n"/>
      <c r="F1186" s="160" t="n"/>
      <c r="G1186" s="161" t="n"/>
      <c r="H1186" s="161" t="n"/>
      <c r="I1186" s="161" t="n"/>
      <c r="J1186" s="162">
        <f>IF(OR(ISNUMBER(SEARCH("보류",K1186)),ISNUMBER(SEARCH("미룸",K1186)),ISNUMBER(SEARCH("나중에",K1186)),ISNUMBER(SEARCH("보류",L1186)),ISNUMBER(SEARCH("미룸",L1186)),ISNUMBER(SEARCH("나중에",L1186))),"보류(나중에 풀기)",IF(AND(F1186="",G1186="",H1186="",I1186=""),"미완료",IF(I1186&lt;&gt;"","복습3(마스터)",IF(H1186&lt;&gt;"","복습2",IF(G1186&lt;&gt;"","복습1",IF(ISNUMBER(SEARCH("제미나이",K1186)),"복습대기(AI도움)",IF(ISNUMBER(SEARCH("간당간당",K1186)),"복습대기(간당간당)",IF(OR(ISNUMBER(SEARCH("아이디어",K1186)),ISNUMBER(SEARCH("시간초과",K1186)),ISNUMBER(SEARCH("자료구조",K1186)),ISNUMBER(SEARCH("경계값",K1186)),ISNUMBER(SEARCH("다른 풀이",K1186)),ISNUMBER(SEARCH("또풀기",K1186))),"복습대기",IF(OR(ISNUMBER(SEARCH("복습필요없음",K1186)),ISNUMBER(SEARCH("자력완벽",K1186))),"품(복습불필요)",IF(F1186&lt;&gt;"","품","미완료"))))))))))</f>
        <v/>
      </c>
      <c r="K1186" s="283" t="n"/>
      <c r="L1186" s="8" t="n"/>
      <c r="M1186" s="8">
        <f>IF(OR(LEFT(J1186,2)="보류", LEFT(J1186,4)="복습대기", LEFT(J1186,3)="복습1", LEFT(J1186,3)="복습2"), MAX($M$3:M1185)+1, "")</f>
        <v/>
      </c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</row>
    <row r="1187" ht="21.75" customHeight="1" s="209">
      <c r="A1187" s="112" t="n"/>
      <c r="B1187" s="159" t="n"/>
      <c r="C1187" s="159" t="n"/>
      <c r="D1187" s="8" t="n"/>
      <c r="E1187" s="8" t="n"/>
      <c r="F1187" s="160" t="n"/>
      <c r="G1187" s="161" t="n"/>
      <c r="H1187" s="161" t="n"/>
      <c r="I1187" s="161" t="n"/>
      <c r="J1187" s="162">
        <f>IF(OR(ISNUMBER(SEARCH("보류",K1187)),ISNUMBER(SEARCH("미룸",K1187)),ISNUMBER(SEARCH("나중에",K1187)),ISNUMBER(SEARCH("보류",L1187)),ISNUMBER(SEARCH("미룸",L1187)),ISNUMBER(SEARCH("나중에",L1187))),"보류(나중에 풀기)",IF(AND(F1187="",G1187="",H1187="",I1187=""),"미완료",IF(I1187&lt;&gt;"","복습3(마스터)",IF(H1187&lt;&gt;"","복습2",IF(G1187&lt;&gt;"","복습1",IF(ISNUMBER(SEARCH("제미나이",K1187)),"복습대기(AI도움)",IF(ISNUMBER(SEARCH("간당간당",K1187)),"복습대기(간당간당)",IF(OR(ISNUMBER(SEARCH("아이디어",K1187)),ISNUMBER(SEARCH("시간초과",K1187)),ISNUMBER(SEARCH("자료구조",K1187)),ISNUMBER(SEARCH("경계값",K1187)),ISNUMBER(SEARCH("다른 풀이",K1187)),ISNUMBER(SEARCH("또풀기",K1187))),"복습대기",IF(OR(ISNUMBER(SEARCH("복습필요없음",K1187)),ISNUMBER(SEARCH("자력완벽",K1187))),"품(복습불필요)",IF(F1187&lt;&gt;"","품","미완료"))))))))))</f>
        <v/>
      </c>
      <c r="K1187" s="283" t="n"/>
      <c r="L1187" s="8" t="n"/>
      <c r="M1187" s="8">
        <f>IF(OR(LEFT(J1187,2)="보류", LEFT(J1187,4)="복습대기", LEFT(J1187,3)="복습1", LEFT(J1187,3)="복습2"), MAX($M$3:M1186)+1, "")</f>
        <v/>
      </c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</row>
    <row r="1188" ht="21.75" customHeight="1" s="209">
      <c r="A1188" s="112" t="n"/>
      <c r="B1188" s="159" t="n"/>
      <c r="C1188" s="159" t="n"/>
      <c r="D1188" s="8" t="n"/>
      <c r="E1188" s="8" t="n"/>
      <c r="F1188" s="160" t="n"/>
      <c r="G1188" s="161" t="n"/>
      <c r="H1188" s="161" t="n"/>
      <c r="I1188" s="161" t="n"/>
      <c r="J1188" s="162">
        <f>IF(OR(ISNUMBER(SEARCH("보류",K1188)),ISNUMBER(SEARCH("미룸",K1188)),ISNUMBER(SEARCH("나중에",K1188)),ISNUMBER(SEARCH("보류",L1188)),ISNUMBER(SEARCH("미룸",L1188)),ISNUMBER(SEARCH("나중에",L1188))),"보류(나중에 풀기)",IF(AND(F1188="",G1188="",H1188="",I1188=""),"미완료",IF(I1188&lt;&gt;"","복습3(마스터)",IF(H1188&lt;&gt;"","복습2",IF(G1188&lt;&gt;"","복습1",IF(ISNUMBER(SEARCH("제미나이",K1188)),"복습대기(AI도움)",IF(ISNUMBER(SEARCH("간당간당",K1188)),"복습대기(간당간당)",IF(OR(ISNUMBER(SEARCH("아이디어",K1188)),ISNUMBER(SEARCH("시간초과",K1188)),ISNUMBER(SEARCH("자료구조",K1188)),ISNUMBER(SEARCH("경계값",K1188)),ISNUMBER(SEARCH("다른 풀이",K1188)),ISNUMBER(SEARCH("또풀기",K1188))),"복습대기",IF(OR(ISNUMBER(SEARCH("복습필요없음",K1188)),ISNUMBER(SEARCH("자력완벽",K1188))),"품(복습불필요)",IF(F1188&lt;&gt;"","품","미완료"))))))))))</f>
        <v/>
      </c>
      <c r="K1188" s="283" t="n"/>
      <c r="L1188" s="8" t="n"/>
      <c r="M1188" s="8">
        <f>IF(OR(LEFT(J1188,2)="보류", LEFT(J1188,4)="복습대기", LEFT(J1188,3)="복습1", LEFT(J1188,3)="복습2"), MAX($M$3:M1187)+1, "")</f>
        <v/>
      </c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</row>
    <row r="1189" ht="21.75" customHeight="1" s="209">
      <c r="A1189" s="112" t="n"/>
      <c r="B1189" s="159" t="n"/>
      <c r="C1189" s="159" t="n"/>
      <c r="D1189" s="8" t="n"/>
      <c r="E1189" s="8" t="n"/>
      <c r="F1189" s="160" t="n"/>
      <c r="G1189" s="161" t="n"/>
      <c r="H1189" s="161" t="n"/>
      <c r="I1189" s="161" t="n"/>
      <c r="J1189" s="162">
        <f>IF(OR(ISNUMBER(SEARCH("보류",K1189)),ISNUMBER(SEARCH("미룸",K1189)),ISNUMBER(SEARCH("나중에",K1189)),ISNUMBER(SEARCH("보류",L1189)),ISNUMBER(SEARCH("미룸",L1189)),ISNUMBER(SEARCH("나중에",L1189))),"보류(나중에 풀기)",IF(AND(F1189="",G1189="",H1189="",I1189=""),"미완료",IF(I1189&lt;&gt;"","복습3(마스터)",IF(H1189&lt;&gt;"","복습2",IF(G1189&lt;&gt;"","복습1",IF(ISNUMBER(SEARCH("제미나이",K1189)),"복습대기(AI도움)",IF(ISNUMBER(SEARCH("간당간당",K1189)),"복습대기(간당간당)",IF(OR(ISNUMBER(SEARCH("아이디어",K1189)),ISNUMBER(SEARCH("시간초과",K1189)),ISNUMBER(SEARCH("자료구조",K1189)),ISNUMBER(SEARCH("경계값",K1189)),ISNUMBER(SEARCH("다른 풀이",K1189)),ISNUMBER(SEARCH("또풀기",K1189))),"복습대기",IF(OR(ISNUMBER(SEARCH("복습필요없음",K1189)),ISNUMBER(SEARCH("자력완벽",K1189))),"품(복습불필요)",IF(F1189&lt;&gt;"","품","미완료"))))))))))</f>
        <v/>
      </c>
      <c r="K1189" s="283" t="n"/>
      <c r="L1189" s="8" t="n"/>
      <c r="M1189" s="8">
        <f>IF(OR(LEFT(J1189,2)="보류", LEFT(J1189,4)="복습대기", LEFT(J1189,3)="복습1", LEFT(J1189,3)="복습2"), MAX($M$3:M1188)+1, "")</f>
        <v/>
      </c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</row>
    <row r="1190" ht="21.75" customHeight="1" s="209">
      <c r="A1190" s="112" t="n"/>
      <c r="B1190" s="159" t="n"/>
      <c r="C1190" s="159" t="n"/>
      <c r="D1190" s="8" t="n"/>
      <c r="E1190" s="8" t="n"/>
      <c r="F1190" s="160" t="n"/>
      <c r="G1190" s="161" t="n"/>
      <c r="H1190" s="161" t="n"/>
      <c r="I1190" s="161" t="n"/>
      <c r="J1190" s="162">
        <f>IF(OR(ISNUMBER(SEARCH("보류",K1190)),ISNUMBER(SEARCH("미룸",K1190)),ISNUMBER(SEARCH("나중에",K1190)),ISNUMBER(SEARCH("보류",L1190)),ISNUMBER(SEARCH("미룸",L1190)),ISNUMBER(SEARCH("나중에",L1190))),"보류(나중에 풀기)",IF(AND(F1190="",G1190="",H1190="",I1190=""),"미완료",IF(I1190&lt;&gt;"","복습3(마스터)",IF(H1190&lt;&gt;"","복습2",IF(G1190&lt;&gt;"","복습1",IF(ISNUMBER(SEARCH("제미나이",K1190)),"복습대기(AI도움)",IF(ISNUMBER(SEARCH("간당간당",K1190)),"복습대기(간당간당)",IF(OR(ISNUMBER(SEARCH("아이디어",K1190)),ISNUMBER(SEARCH("시간초과",K1190)),ISNUMBER(SEARCH("자료구조",K1190)),ISNUMBER(SEARCH("경계값",K1190)),ISNUMBER(SEARCH("다른 풀이",K1190)),ISNUMBER(SEARCH("또풀기",K1190))),"복습대기",IF(OR(ISNUMBER(SEARCH("복습필요없음",K1190)),ISNUMBER(SEARCH("자력완벽",K1190))),"품(복습불필요)",IF(F1190&lt;&gt;"","품","미완료"))))))))))</f>
        <v/>
      </c>
      <c r="K1190" s="283" t="n"/>
      <c r="L1190" s="8" t="n"/>
      <c r="M1190" s="8">
        <f>IF(OR(LEFT(J1190,2)="보류", LEFT(J1190,4)="복습대기", LEFT(J1190,3)="복습1", LEFT(J1190,3)="복습2"), MAX($M$3:M1189)+1, "")</f>
        <v/>
      </c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</row>
    <row r="1191" ht="21.75" customHeight="1" s="209">
      <c r="A1191" s="112" t="n"/>
      <c r="B1191" s="159" t="n"/>
      <c r="C1191" s="159" t="n"/>
      <c r="D1191" s="8" t="n"/>
      <c r="E1191" s="8" t="n"/>
      <c r="F1191" s="160" t="n"/>
      <c r="G1191" s="161" t="n"/>
      <c r="H1191" s="161" t="n"/>
      <c r="I1191" s="161" t="n"/>
      <c r="J1191" s="162">
        <f>IF(OR(ISNUMBER(SEARCH("보류",K1191)),ISNUMBER(SEARCH("미룸",K1191)),ISNUMBER(SEARCH("나중에",K1191)),ISNUMBER(SEARCH("보류",L1191)),ISNUMBER(SEARCH("미룸",L1191)),ISNUMBER(SEARCH("나중에",L1191))),"보류(나중에 풀기)",IF(AND(F1191="",G1191="",H1191="",I1191=""),"미완료",IF(I1191&lt;&gt;"","복습3(마스터)",IF(H1191&lt;&gt;"","복습2",IF(G1191&lt;&gt;"","복습1",IF(ISNUMBER(SEARCH("제미나이",K1191)),"복습대기(AI도움)",IF(ISNUMBER(SEARCH("간당간당",K1191)),"복습대기(간당간당)",IF(OR(ISNUMBER(SEARCH("아이디어",K1191)),ISNUMBER(SEARCH("시간초과",K1191)),ISNUMBER(SEARCH("자료구조",K1191)),ISNUMBER(SEARCH("경계값",K1191)),ISNUMBER(SEARCH("다른 풀이",K1191)),ISNUMBER(SEARCH("또풀기",K1191))),"복습대기",IF(OR(ISNUMBER(SEARCH("복습필요없음",K1191)),ISNUMBER(SEARCH("자력완벽",K1191))),"품(복습불필요)",IF(F1191&lt;&gt;"","품","미완료"))))))))))</f>
        <v/>
      </c>
      <c r="K1191" s="283" t="n"/>
      <c r="L1191" s="8" t="n"/>
      <c r="M1191" s="8">
        <f>IF(OR(LEFT(J1191,2)="보류", LEFT(J1191,4)="복습대기", LEFT(J1191,3)="복습1", LEFT(J1191,3)="복습2"), MAX($M$3:M1190)+1, "")</f>
        <v/>
      </c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</row>
    <row r="1192" ht="21.75" customHeight="1" s="209">
      <c r="A1192" s="112" t="n"/>
      <c r="B1192" s="159" t="n"/>
      <c r="C1192" s="159" t="n"/>
      <c r="D1192" s="8" t="n"/>
      <c r="E1192" s="8" t="n"/>
      <c r="F1192" s="160" t="n"/>
      <c r="G1192" s="161" t="n"/>
      <c r="H1192" s="161" t="n"/>
      <c r="I1192" s="161" t="n"/>
      <c r="J1192" s="162">
        <f>IF(OR(ISNUMBER(SEARCH("보류",K1192)),ISNUMBER(SEARCH("미룸",K1192)),ISNUMBER(SEARCH("나중에",K1192)),ISNUMBER(SEARCH("보류",L1192)),ISNUMBER(SEARCH("미룸",L1192)),ISNUMBER(SEARCH("나중에",L1192))),"보류(나중에 풀기)",IF(AND(F1192="",G1192="",H1192="",I1192=""),"미완료",IF(I1192&lt;&gt;"","복습3(마스터)",IF(H1192&lt;&gt;"","복습2",IF(G1192&lt;&gt;"","복습1",IF(ISNUMBER(SEARCH("제미나이",K1192)),"복습대기(AI도움)",IF(ISNUMBER(SEARCH("간당간당",K1192)),"복습대기(간당간당)",IF(OR(ISNUMBER(SEARCH("아이디어",K1192)),ISNUMBER(SEARCH("시간초과",K1192)),ISNUMBER(SEARCH("자료구조",K1192)),ISNUMBER(SEARCH("경계값",K1192)),ISNUMBER(SEARCH("다른 풀이",K1192)),ISNUMBER(SEARCH("또풀기",K1192))),"복습대기",IF(OR(ISNUMBER(SEARCH("복습필요없음",K1192)),ISNUMBER(SEARCH("자력완벽",K1192))),"품(복습불필요)",IF(F1192&lt;&gt;"","품","미완료"))))))))))</f>
        <v/>
      </c>
      <c r="K1192" s="283" t="n"/>
      <c r="L1192" s="8" t="n"/>
      <c r="M1192" s="8">
        <f>IF(OR(LEFT(J1192,2)="보류", LEFT(J1192,4)="복습대기", LEFT(J1192,3)="복습1", LEFT(J1192,3)="복습2"), MAX($M$3:M1191)+1, "")</f>
        <v/>
      </c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</row>
    <row r="1193" ht="21.75" customHeight="1" s="209">
      <c r="A1193" s="112" t="n"/>
      <c r="B1193" s="159" t="n"/>
      <c r="C1193" s="159" t="n"/>
      <c r="D1193" s="8" t="n"/>
      <c r="E1193" s="8" t="n"/>
      <c r="F1193" s="160" t="n"/>
      <c r="G1193" s="161" t="n"/>
      <c r="H1193" s="161" t="n"/>
      <c r="I1193" s="161" t="n"/>
      <c r="J1193" s="162">
        <f>IF(OR(ISNUMBER(SEARCH("보류",K1193)),ISNUMBER(SEARCH("미룸",K1193)),ISNUMBER(SEARCH("나중에",K1193)),ISNUMBER(SEARCH("보류",L1193)),ISNUMBER(SEARCH("미룸",L1193)),ISNUMBER(SEARCH("나중에",L1193))),"보류(나중에 풀기)",IF(AND(F1193="",G1193="",H1193="",I1193=""),"미완료",IF(I1193&lt;&gt;"","복습3(마스터)",IF(H1193&lt;&gt;"","복습2",IF(G1193&lt;&gt;"","복습1",IF(ISNUMBER(SEARCH("제미나이",K1193)),"복습대기(AI도움)",IF(ISNUMBER(SEARCH("간당간당",K1193)),"복습대기(간당간당)",IF(OR(ISNUMBER(SEARCH("아이디어",K1193)),ISNUMBER(SEARCH("시간초과",K1193)),ISNUMBER(SEARCH("자료구조",K1193)),ISNUMBER(SEARCH("경계값",K1193)),ISNUMBER(SEARCH("다른 풀이",K1193)),ISNUMBER(SEARCH("또풀기",K1193))),"복습대기",IF(OR(ISNUMBER(SEARCH("복습필요없음",K1193)),ISNUMBER(SEARCH("자력완벽",K1193))),"품(복습불필요)",IF(F1193&lt;&gt;"","품","미완료"))))))))))</f>
        <v/>
      </c>
      <c r="K1193" s="283" t="n"/>
      <c r="L1193" s="8" t="n"/>
      <c r="M1193" s="8">
        <f>IF(OR(LEFT(J1193,2)="보류", LEFT(J1193,4)="복습대기", LEFT(J1193,3)="복습1", LEFT(J1193,3)="복습2"), MAX($M$3:M1192)+1, "")</f>
        <v/>
      </c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</row>
    <row r="1194" ht="21.75" customHeight="1" s="209">
      <c r="A1194" s="112" t="n"/>
      <c r="B1194" s="159" t="n"/>
      <c r="C1194" s="159" t="n"/>
      <c r="D1194" s="8" t="n"/>
      <c r="E1194" s="8" t="n"/>
      <c r="F1194" s="160" t="n"/>
      <c r="G1194" s="161" t="n"/>
      <c r="H1194" s="161" t="n"/>
      <c r="I1194" s="161" t="n"/>
      <c r="J1194" s="162">
        <f>IF(OR(ISNUMBER(SEARCH("보류",K1194)),ISNUMBER(SEARCH("미룸",K1194)),ISNUMBER(SEARCH("나중에",K1194)),ISNUMBER(SEARCH("보류",L1194)),ISNUMBER(SEARCH("미룸",L1194)),ISNUMBER(SEARCH("나중에",L1194))),"보류(나중에 풀기)",IF(AND(F1194="",G1194="",H1194="",I1194=""),"미완료",IF(I1194&lt;&gt;"","복습3(마스터)",IF(H1194&lt;&gt;"","복습2",IF(G1194&lt;&gt;"","복습1",IF(ISNUMBER(SEARCH("제미나이",K1194)),"복습대기(AI도움)",IF(ISNUMBER(SEARCH("간당간당",K1194)),"복습대기(간당간당)",IF(OR(ISNUMBER(SEARCH("아이디어",K1194)),ISNUMBER(SEARCH("시간초과",K1194)),ISNUMBER(SEARCH("자료구조",K1194)),ISNUMBER(SEARCH("경계값",K1194)),ISNUMBER(SEARCH("다른 풀이",K1194)),ISNUMBER(SEARCH("또풀기",K1194))),"복습대기",IF(OR(ISNUMBER(SEARCH("복습필요없음",K1194)),ISNUMBER(SEARCH("자력완벽",K1194))),"품(복습불필요)",IF(F1194&lt;&gt;"","품","미완료"))))))))))</f>
        <v/>
      </c>
      <c r="K1194" s="283" t="n"/>
      <c r="L1194" s="8" t="n"/>
      <c r="M1194" s="8">
        <f>IF(OR(LEFT(J1194,2)="보류", LEFT(J1194,4)="복습대기", LEFT(J1194,3)="복습1", LEFT(J1194,3)="복습2"), MAX($M$3:M1193)+1, "")</f>
        <v/>
      </c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</row>
    <row r="1195" ht="21.75" customHeight="1" s="209">
      <c r="A1195" s="112" t="n"/>
      <c r="B1195" s="159" t="n"/>
      <c r="C1195" s="159" t="n"/>
      <c r="D1195" s="8" t="n"/>
      <c r="E1195" s="8" t="n"/>
      <c r="F1195" s="160" t="n"/>
      <c r="G1195" s="161" t="n"/>
      <c r="H1195" s="161" t="n"/>
      <c r="I1195" s="161" t="n"/>
      <c r="J1195" s="162">
        <f>IF(OR(ISNUMBER(SEARCH("보류",K1195)),ISNUMBER(SEARCH("미룸",K1195)),ISNUMBER(SEARCH("나중에",K1195)),ISNUMBER(SEARCH("보류",L1195)),ISNUMBER(SEARCH("미룸",L1195)),ISNUMBER(SEARCH("나중에",L1195))),"보류(나중에 풀기)",IF(AND(F1195="",G1195="",H1195="",I1195=""),"미완료",IF(I1195&lt;&gt;"","복습3(마스터)",IF(H1195&lt;&gt;"","복습2",IF(G1195&lt;&gt;"","복습1",IF(ISNUMBER(SEARCH("제미나이",K1195)),"복습대기(AI도움)",IF(ISNUMBER(SEARCH("간당간당",K1195)),"복습대기(간당간당)",IF(OR(ISNUMBER(SEARCH("아이디어",K1195)),ISNUMBER(SEARCH("시간초과",K1195)),ISNUMBER(SEARCH("자료구조",K1195)),ISNUMBER(SEARCH("경계값",K1195)),ISNUMBER(SEARCH("다른 풀이",K1195)),ISNUMBER(SEARCH("또풀기",K1195))),"복습대기",IF(OR(ISNUMBER(SEARCH("복습필요없음",K1195)),ISNUMBER(SEARCH("자력완벽",K1195))),"품(복습불필요)",IF(F1195&lt;&gt;"","품","미완료"))))))))))</f>
        <v/>
      </c>
      <c r="K1195" s="283" t="n"/>
      <c r="L1195" s="8" t="n"/>
      <c r="M1195" s="8">
        <f>IF(OR(LEFT(J1195,2)="보류", LEFT(J1195,4)="복습대기", LEFT(J1195,3)="복습1", LEFT(J1195,3)="복습2"), MAX($M$3:M1194)+1, "")</f>
        <v/>
      </c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</row>
    <row r="1196" ht="21.75" customHeight="1" s="209">
      <c r="A1196" s="112" t="n"/>
      <c r="B1196" s="159" t="n"/>
      <c r="C1196" s="159" t="n"/>
      <c r="D1196" s="8" t="n"/>
      <c r="E1196" s="8" t="n"/>
      <c r="F1196" s="160" t="n"/>
      <c r="G1196" s="161" t="n"/>
      <c r="H1196" s="161" t="n"/>
      <c r="I1196" s="161" t="n"/>
      <c r="J1196" s="162">
        <f>IF(OR(ISNUMBER(SEARCH("보류",K1196)),ISNUMBER(SEARCH("미룸",K1196)),ISNUMBER(SEARCH("나중에",K1196)),ISNUMBER(SEARCH("보류",L1196)),ISNUMBER(SEARCH("미룸",L1196)),ISNUMBER(SEARCH("나중에",L1196))),"보류(나중에 풀기)",IF(AND(F1196="",G1196="",H1196="",I1196=""),"미완료",IF(I1196&lt;&gt;"","복습3(마스터)",IF(H1196&lt;&gt;"","복습2",IF(G1196&lt;&gt;"","복습1",IF(ISNUMBER(SEARCH("제미나이",K1196)),"복습대기(AI도움)",IF(ISNUMBER(SEARCH("간당간당",K1196)),"복습대기(간당간당)",IF(OR(ISNUMBER(SEARCH("아이디어",K1196)),ISNUMBER(SEARCH("시간초과",K1196)),ISNUMBER(SEARCH("자료구조",K1196)),ISNUMBER(SEARCH("경계값",K1196)),ISNUMBER(SEARCH("다른 풀이",K1196)),ISNUMBER(SEARCH("또풀기",K1196))),"복습대기",IF(OR(ISNUMBER(SEARCH("복습필요없음",K1196)),ISNUMBER(SEARCH("자력완벽",K1196))),"품(복습불필요)",IF(F1196&lt;&gt;"","품","미완료"))))))))))</f>
        <v/>
      </c>
      <c r="K1196" s="283" t="n"/>
      <c r="L1196" s="8" t="n"/>
      <c r="M1196" s="8">
        <f>IF(OR(LEFT(J1196,2)="보류", LEFT(J1196,4)="복습대기", LEFT(J1196,3)="복습1", LEFT(J1196,3)="복습2"), MAX($M$3:M1195)+1, "")</f>
        <v/>
      </c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</row>
    <row r="1197" ht="21.75" customHeight="1" s="209">
      <c r="A1197" s="112" t="n"/>
      <c r="B1197" s="159" t="n"/>
      <c r="C1197" s="159" t="n"/>
      <c r="D1197" s="8" t="n"/>
      <c r="E1197" s="8" t="n"/>
      <c r="F1197" s="160" t="n"/>
      <c r="G1197" s="161" t="n"/>
      <c r="H1197" s="161" t="n"/>
      <c r="I1197" s="161" t="n"/>
      <c r="J1197" s="162">
        <f>IF(OR(ISNUMBER(SEARCH("보류",K1197)),ISNUMBER(SEARCH("미룸",K1197)),ISNUMBER(SEARCH("나중에",K1197)),ISNUMBER(SEARCH("보류",L1197)),ISNUMBER(SEARCH("미룸",L1197)),ISNUMBER(SEARCH("나중에",L1197))),"보류(나중에 풀기)",IF(AND(F1197="",G1197="",H1197="",I1197=""),"미완료",IF(I1197&lt;&gt;"","복습3(마스터)",IF(H1197&lt;&gt;"","복습2",IF(G1197&lt;&gt;"","복습1",IF(ISNUMBER(SEARCH("제미나이",K1197)),"복습대기(AI도움)",IF(ISNUMBER(SEARCH("간당간당",K1197)),"복습대기(간당간당)",IF(OR(ISNUMBER(SEARCH("아이디어",K1197)),ISNUMBER(SEARCH("시간초과",K1197)),ISNUMBER(SEARCH("자료구조",K1197)),ISNUMBER(SEARCH("경계값",K1197)),ISNUMBER(SEARCH("다른 풀이",K1197)),ISNUMBER(SEARCH("또풀기",K1197))),"복습대기",IF(OR(ISNUMBER(SEARCH("복습필요없음",K1197)),ISNUMBER(SEARCH("자력완벽",K1197))),"품(복습불필요)",IF(F1197&lt;&gt;"","품","미완료"))))))))))</f>
        <v/>
      </c>
      <c r="K1197" s="283" t="n"/>
      <c r="L1197" s="8" t="n"/>
      <c r="M1197" s="8">
        <f>IF(OR(LEFT(J1197,2)="보류", LEFT(J1197,4)="복습대기", LEFT(J1197,3)="복습1", LEFT(J1197,3)="복습2"), MAX($M$3:M1196)+1, "")</f>
        <v/>
      </c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</row>
    <row r="1198" ht="21.75" customHeight="1" s="209">
      <c r="A1198" s="112" t="n"/>
      <c r="B1198" s="159" t="n"/>
      <c r="C1198" s="159" t="n"/>
      <c r="D1198" s="8" t="n"/>
      <c r="E1198" s="8" t="n"/>
      <c r="F1198" s="160" t="n"/>
      <c r="G1198" s="161" t="n"/>
      <c r="H1198" s="161" t="n"/>
      <c r="I1198" s="161" t="n"/>
      <c r="J1198" s="162">
        <f>IF(OR(ISNUMBER(SEARCH("보류",K1198)),ISNUMBER(SEARCH("미룸",K1198)),ISNUMBER(SEARCH("나중에",K1198)),ISNUMBER(SEARCH("보류",L1198)),ISNUMBER(SEARCH("미룸",L1198)),ISNUMBER(SEARCH("나중에",L1198))),"보류(나중에 풀기)",IF(AND(F1198="",G1198="",H1198="",I1198=""),"미완료",IF(I1198&lt;&gt;"","복습3(마스터)",IF(H1198&lt;&gt;"","복습2",IF(G1198&lt;&gt;"","복습1",IF(ISNUMBER(SEARCH("제미나이",K1198)),"복습대기(AI도움)",IF(ISNUMBER(SEARCH("간당간당",K1198)),"복습대기(간당간당)",IF(OR(ISNUMBER(SEARCH("아이디어",K1198)),ISNUMBER(SEARCH("시간초과",K1198)),ISNUMBER(SEARCH("자료구조",K1198)),ISNUMBER(SEARCH("경계값",K1198)),ISNUMBER(SEARCH("다른 풀이",K1198)),ISNUMBER(SEARCH("또풀기",K1198))),"복습대기",IF(OR(ISNUMBER(SEARCH("복습필요없음",K1198)),ISNUMBER(SEARCH("자력완벽",K1198))),"품(복습불필요)",IF(F1198&lt;&gt;"","품","미완료"))))))))))</f>
        <v/>
      </c>
      <c r="K1198" s="283" t="n"/>
      <c r="L1198" s="8" t="n"/>
      <c r="M1198" s="8">
        <f>IF(OR(LEFT(J1198,2)="보류", LEFT(J1198,4)="복습대기", LEFT(J1198,3)="복습1", LEFT(J1198,3)="복습2"), MAX($M$3:M1197)+1, "")</f>
        <v/>
      </c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</row>
    <row r="1199" ht="21.75" customHeight="1" s="209">
      <c r="A1199" s="112" t="n"/>
      <c r="B1199" s="159" t="n"/>
      <c r="C1199" s="159" t="n"/>
      <c r="D1199" s="8" t="n"/>
      <c r="E1199" s="8" t="n"/>
      <c r="F1199" s="160" t="n"/>
      <c r="G1199" s="161" t="n"/>
      <c r="H1199" s="161" t="n"/>
      <c r="I1199" s="161" t="n"/>
      <c r="J1199" s="162">
        <f>IF(OR(ISNUMBER(SEARCH("보류",K1199)),ISNUMBER(SEARCH("미룸",K1199)),ISNUMBER(SEARCH("나중에",K1199)),ISNUMBER(SEARCH("보류",L1199)),ISNUMBER(SEARCH("미룸",L1199)),ISNUMBER(SEARCH("나중에",L1199))),"보류(나중에 풀기)",IF(AND(F1199="",G1199="",H1199="",I1199=""),"미완료",IF(I1199&lt;&gt;"","복습3(마스터)",IF(H1199&lt;&gt;"","복습2",IF(G1199&lt;&gt;"","복습1",IF(ISNUMBER(SEARCH("제미나이",K1199)),"복습대기(AI도움)",IF(ISNUMBER(SEARCH("간당간당",K1199)),"복습대기(간당간당)",IF(OR(ISNUMBER(SEARCH("아이디어",K1199)),ISNUMBER(SEARCH("시간초과",K1199)),ISNUMBER(SEARCH("자료구조",K1199)),ISNUMBER(SEARCH("경계값",K1199)),ISNUMBER(SEARCH("다른 풀이",K1199)),ISNUMBER(SEARCH("또풀기",K1199))),"복습대기",IF(OR(ISNUMBER(SEARCH("복습필요없음",K1199)),ISNUMBER(SEARCH("자력완벽",K1199))),"품(복습불필요)",IF(F1199&lt;&gt;"","품","미완료"))))))))))</f>
        <v/>
      </c>
      <c r="K1199" s="283" t="n"/>
      <c r="L1199" s="8" t="n"/>
      <c r="M1199" s="8">
        <f>IF(OR(LEFT(J1199,2)="보류", LEFT(J1199,4)="복습대기", LEFT(J1199,3)="복습1", LEFT(J1199,3)="복습2"), MAX($M$3:M1198)+1, "")</f>
        <v/>
      </c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</row>
    <row r="1200" ht="21.75" customHeight="1" s="209">
      <c r="A1200" s="112" t="n"/>
      <c r="B1200" s="159" t="n"/>
      <c r="C1200" s="159" t="n"/>
      <c r="D1200" s="8" t="n"/>
      <c r="E1200" s="8" t="n"/>
      <c r="F1200" s="160" t="n"/>
      <c r="G1200" s="161" t="n"/>
      <c r="H1200" s="161" t="n"/>
      <c r="I1200" s="161" t="n"/>
      <c r="J1200" s="162">
        <f>IF(OR(ISNUMBER(SEARCH("보류",K1200)),ISNUMBER(SEARCH("미룸",K1200)),ISNUMBER(SEARCH("나중에",K1200)),ISNUMBER(SEARCH("보류",L1200)),ISNUMBER(SEARCH("미룸",L1200)),ISNUMBER(SEARCH("나중에",L1200))),"보류(나중에 풀기)",IF(AND(F1200="",G1200="",H1200="",I1200=""),"미완료",IF(I1200&lt;&gt;"","복습3(마스터)",IF(H1200&lt;&gt;"","복습2",IF(G1200&lt;&gt;"","복습1",IF(ISNUMBER(SEARCH("제미나이",K1200)),"복습대기(AI도움)",IF(ISNUMBER(SEARCH("간당간당",K1200)),"복습대기(간당간당)",IF(OR(ISNUMBER(SEARCH("아이디어",K1200)),ISNUMBER(SEARCH("시간초과",K1200)),ISNUMBER(SEARCH("자료구조",K1200)),ISNUMBER(SEARCH("경계값",K1200)),ISNUMBER(SEARCH("다른 풀이",K1200)),ISNUMBER(SEARCH("또풀기",K1200))),"복습대기",IF(OR(ISNUMBER(SEARCH("복습필요없음",K1200)),ISNUMBER(SEARCH("자력완벽",K1200))),"품(복습불필요)",IF(F1200&lt;&gt;"","품","미완료"))))))))))</f>
        <v/>
      </c>
      <c r="K1200" s="283" t="n"/>
      <c r="L1200" s="8" t="n"/>
      <c r="M1200" s="8">
        <f>IF(OR(LEFT(J1200,2)="보류", LEFT(J1200,4)="복습대기", LEFT(J1200,3)="복습1", LEFT(J1200,3)="복습2"), MAX($M$3:M1199)+1, "")</f>
        <v/>
      </c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</row>
    <row r="1201" ht="21.75" customHeight="1" s="209">
      <c r="A1201" s="112" t="n"/>
      <c r="B1201" s="159" t="n"/>
      <c r="C1201" s="159" t="n"/>
      <c r="D1201" s="8" t="n"/>
      <c r="E1201" s="8" t="n"/>
      <c r="F1201" s="160" t="n"/>
      <c r="G1201" s="161" t="n"/>
      <c r="H1201" s="161" t="n"/>
      <c r="I1201" s="161" t="n"/>
      <c r="J1201" s="162">
        <f>IF(OR(ISNUMBER(SEARCH("보류",K1201)),ISNUMBER(SEARCH("미룸",K1201)),ISNUMBER(SEARCH("나중에",K1201)),ISNUMBER(SEARCH("보류",L1201)),ISNUMBER(SEARCH("미룸",L1201)),ISNUMBER(SEARCH("나중에",L1201))),"보류(나중에 풀기)",IF(AND(F1201="",G1201="",H1201="",I1201=""),"미완료",IF(I1201&lt;&gt;"","복습3(마스터)",IF(H1201&lt;&gt;"","복습2",IF(G1201&lt;&gt;"","복습1",IF(ISNUMBER(SEARCH("제미나이",K1201)),"복습대기(AI도움)",IF(ISNUMBER(SEARCH("간당간당",K1201)),"복습대기(간당간당)",IF(OR(ISNUMBER(SEARCH("아이디어",K1201)),ISNUMBER(SEARCH("시간초과",K1201)),ISNUMBER(SEARCH("자료구조",K1201)),ISNUMBER(SEARCH("경계값",K1201)),ISNUMBER(SEARCH("다른 풀이",K1201)),ISNUMBER(SEARCH("또풀기",K1201))),"복습대기",IF(OR(ISNUMBER(SEARCH("복습필요없음",K1201)),ISNUMBER(SEARCH("자력완벽",K1201))),"품(복습불필요)",IF(F1201&lt;&gt;"","품","미완료"))))))))))</f>
        <v/>
      </c>
      <c r="K1201" s="283" t="n"/>
      <c r="L1201" s="8" t="n"/>
      <c r="M1201" s="8">
        <f>IF(OR(LEFT(J1201,2)="보류", LEFT(J1201,4)="복습대기", LEFT(J1201,3)="복습1", LEFT(J1201,3)="복습2"), MAX($M$3:M1200)+1, "")</f>
        <v/>
      </c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</row>
    <row r="1202" ht="21.75" customHeight="1" s="209">
      <c r="A1202" s="112" t="n"/>
      <c r="B1202" s="159" t="n"/>
      <c r="C1202" s="159" t="n"/>
      <c r="D1202" s="8" t="n"/>
      <c r="E1202" s="8" t="n"/>
      <c r="F1202" s="160" t="n"/>
      <c r="G1202" s="161" t="n"/>
      <c r="H1202" s="161" t="n"/>
      <c r="I1202" s="161" t="n"/>
      <c r="J1202" s="162">
        <f>IF(OR(ISNUMBER(SEARCH("보류",K1202)),ISNUMBER(SEARCH("미룸",K1202)),ISNUMBER(SEARCH("나중에",K1202)),ISNUMBER(SEARCH("보류",L1202)),ISNUMBER(SEARCH("미룸",L1202)),ISNUMBER(SEARCH("나중에",L1202))),"보류(나중에 풀기)",IF(AND(F1202="",G1202="",H1202="",I1202=""),"미완료",IF(I1202&lt;&gt;"","복습3(마스터)",IF(H1202&lt;&gt;"","복습2",IF(G1202&lt;&gt;"","복습1",IF(ISNUMBER(SEARCH("제미나이",K1202)),"복습대기(AI도움)",IF(ISNUMBER(SEARCH("간당간당",K1202)),"복습대기(간당간당)",IF(OR(ISNUMBER(SEARCH("아이디어",K1202)),ISNUMBER(SEARCH("시간초과",K1202)),ISNUMBER(SEARCH("자료구조",K1202)),ISNUMBER(SEARCH("경계값",K1202)),ISNUMBER(SEARCH("다른 풀이",K1202)),ISNUMBER(SEARCH("또풀기",K1202))),"복습대기",IF(OR(ISNUMBER(SEARCH("복습필요없음",K1202)),ISNUMBER(SEARCH("자력완벽",K1202))),"품(복습불필요)",IF(F1202&lt;&gt;"","품","미완료"))))))))))</f>
        <v/>
      </c>
      <c r="K1202" s="283" t="n"/>
      <c r="L1202" s="8" t="n"/>
      <c r="M1202" s="8">
        <f>IF(OR(LEFT(J1202,2)="보류", LEFT(J1202,4)="복습대기", LEFT(J1202,3)="복습1", LEFT(J1202,3)="복습2"), MAX($M$3:M1201)+1, "")</f>
        <v/>
      </c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</row>
    <row r="1203" ht="21.75" customHeight="1" s="209">
      <c r="A1203" s="112" t="n"/>
      <c r="B1203" s="159" t="n"/>
      <c r="C1203" s="159" t="n"/>
      <c r="D1203" s="8" t="n"/>
      <c r="E1203" s="8" t="n"/>
      <c r="F1203" s="160" t="n"/>
      <c r="G1203" s="161" t="n"/>
      <c r="H1203" s="161" t="n"/>
      <c r="I1203" s="161" t="n"/>
      <c r="J1203" s="162">
        <f>IF(OR(ISNUMBER(SEARCH("보류",K1203)),ISNUMBER(SEARCH("미룸",K1203)),ISNUMBER(SEARCH("나중에",K1203)),ISNUMBER(SEARCH("보류",L1203)),ISNUMBER(SEARCH("미룸",L1203)),ISNUMBER(SEARCH("나중에",L1203))),"보류(나중에 풀기)",IF(AND(F1203="",G1203="",H1203="",I1203=""),"미완료",IF(I1203&lt;&gt;"","복습3(마스터)",IF(H1203&lt;&gt;"","복습2",IF(G1203&lt;&gt;"","복습1",IF(ISNUMBER(SEARCH("제미나이",K1203)),"복습대기(AI도움)",IF(ISNUMBER(SEARCH("간당간당",K1203)),"복습대기(간당간당)",IF(OR(ISNUMBER(SEARCH("아이디어",K1203)),ISNUMBER(SEARCH("시간초과",K1203)),ISNUMBER(SEARCH("자료구조",K1203)),ISNUMBER(SEARCH("경계값",K1203)),ISNUMBER(SEARCH("다른 풀이",K1203)),ISNUMBER(SEARCH("또풀기",K1203))),"복습대기",IF(OR(ISNUMBER(SEARCH("복습필요없음",K1203)),ISNUMBER(SEARCH("자력완벽",K1203))),"품(복습불필요)",IF(F1203&lt;&gt;"","품","미완료"))))))))))</f>
        <v/>
      </c>
      <c r="K1203" s="283" t="n"/>
      <c r="L1203" s="8" t="n"/>
      <c r="M1203" s="8">
        <f>IF(OR(LEFT(J1203,2)="보류", LEFT(J1203,4)="복습대기", LEFT(J1203,3)="복습1", LEFT(J1203,3)="복습2"), MAX($M$3:M1202)+1, "")</f>
        <v/>
      </c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</row>
    <row r="1204" ht="21.75" customHeight="1" s="209">
      <c r="A1204" s="112" t="n"/>
      <c r="B1204" s="159" t="n"/>
      <c r="C1204" s="159" t="n"/>
      <c r="D1204" s="8" t="n"/>
      <c r="E1204" s="8" t="n"/>
      <c r="F1204" s="160" t="n"/>
      <c r="G1204" s="161" t="n"/>
      <c r="H1204" s="161" t="n"/>
      <c r="I1204" s="161" t="n"/>
      <c r="J1204" s="162">
        <f>IF(OR(ISNUMBER(SEARCH("보류",K1204)),ISNUMBER(SEARCH("미룸",K1204)),ISNUMBER(SEARCH("나중에",K1204)),ISNUMBER(SEARCH("보류",L1204)),ISNUMBER(SEARCH("미룸",L1204)),ISNUMBER(SEARCH("나중에",L1204))),"보류(나중에 풀기)",IF(AND(F1204="",G1204="",H1204="",I1204=""),"미완료",IF(I1204&lt;&gt;"","복습3(마스터)",IF(H1204&lt;&gt;"","복습2",IF(G1204&lt;&gt;"","복습1",IF(ISNUMBER(SEARCH("제미나이",K1204)),"복습대기(AI도움)",IF(ISNUMBER(SEARCH("간당간당",K1204)),"복습대기(간당간당)",IF(OR(ISNUMBER(SEARCH("아이디어",K1204)),ISNUMBER(SEARCH("시간초과",K1204)),ISNUMBER(SEARCH("자료구조",K1204)),ISNUMBER(SEARCH("경계값",K1204)),ISNUMBER(SEARCH("다른 풀이",K1204)),ISNUMBER(SEARCH("또풀기",K1204))),"복습대기",IF(OR(ISNUMBER(SEARCH("복습필요없음",K1204)),ISNUMBER(SEARCH("자력완벽",K1204))),"품(복습불필요)",IF(F1204&lt;&gt;"","품","미완료"))))))))))</f>
        <v/>
      </c>
      <c r="K1204" s="283" t="n"/>
      <c r="L1204" s="8" t="n"/>
      <c r="M1204" s="8">
        <f>IF(OR(LEFT(J1204,2)="보류", LEFT(J1204,4)="복습대기", LEFT(J1204,3)="복습1", LEFT(J1204,3)="복습2"), MAX($M$3:M1203)+1, "")</f>
        <v/>
      </c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</row>
    <row r="1205" ht="21.75" customHeight="1" s="209">
      <c r="A1205" s="112" t="n"/>
      <c r="B1205" s="159" t="n"/>
      <c r="C1205" s="159" t="n"/>
      <c r="D1205" s="8" t="n"/>
      <c r="E1205" s="8" t="n"/>
      <c r="F1205" s="160" t="n"/>
      <c r="G1205" s="161" t="n"/>
      <c r="H1205" s="161" t="n"/>
      <c r="I1205" s="161" t="n"/>
      <c r="J1205" s="162">
        <f>IF(OR(ISNUMBER(SEARCH("보류",K1205)),ISNUMBER(SEARCH("미룸",K1205)),ISNUMBER(SEARCH("나중에",K1205)),ISNUMBER(SEARCH("보류",L1205)),ISNUMBER(SEARCH("미룸",L1205)),ISNUMBER(SEARCH("나중에",L1205))),"보류(나중에 풀기)",IF(AND(F1205="",G1205="",H1205="",I1205=""),"미완료",IF(I1205&lt;&gt;"","복습3(마스터)",IF(H1205&lt;&gt;"","복습2",IF(G1205&lt;&gt;"","복습1",IF(ISNUMBER(SEARCH("제미나이",K1205)),"복습대기(AI도움)",IF(ISNUMBER(SEARCH("간당간당",K1205)),"복습대기(간당간당)",IF(OR(ISNUMBER(SEARCH("아이디어",K1205)),ISNUMBER(SEARCH("시간초과",K1205)),ISNUMBER(SEARCH("자료구조",K1205)),ISNUMBER(SEARCH("경계값",K1205)),ISNUMBER(SEARCH("다른 풀이",K1205)),ISNUMBER(SEARCH("또풀기",K1205))),"복습대기",IF(OR(ISNUMBER(SEARCH("복습필요없음",K1205)),ISNUMBER(SEARCH("자력완벽",K1205))),"품(복습불필요)",IF(F1205&lt;&gt;"","품","미완료"))))))))))</f>
        <v/>
      </c>
      <c r="K1205" s="283" t="n"/>
      <c r="L1205" s="8" t="n"/>
      <c r="M1205" s="8">
        <f>IF(OR(LEFT(J1205,2)="보류", LEFT(J1205,4)="복습대기", LEFT(J1205,3)="복습1", LEFT(J1205,3)="복습2"), MAX($M$3:M1204)+1, "")</f>
        <v/>
      </c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</row>
    <row r="1206" ht="21.75" customHeight="1" s="209">
      <c r="A1206" s="112" t="n"/>
      <c r="B1206" s="159" t="n"/>
      <c r="C1206" s="159" t="n"/>
      <c r="D1206" s="8" t="n"/>
      <c r="E1206" s="8" t="n"/>
      <c r="F1206" s="160" t="n"/>
      <c r="G1206" s="161" t="n"/>
      <c r="H1206" s="161" t="n"/>
      <c r="I1206" s="161" t="n"/>
      <c r="J1206" s="162">
        <f>IF(OR(ISNUMBER(SEARCH("보류",K1206)),ISNUMBER(SEARCH("미룸",K1206)),ISNUMBER(SEARCH("나중에",K1206)),ISNUMBER(SEARCH("보류",L1206)),ISNUMBER(SEARCH("미룸",L1206)),ISNUMBER(SEARCH("나중에",L1206))),"보류(나중에 풀기)",IF(AND(F1206="",G1206="",H1206="",I1206=""),"미완료",IF(I1206&lt;&gt;"","복습3(마스터)",IF(H1206&lt;&gt;"","복습2",IF(G1206&lt;&gt;"","복습1",IF(ISNUMBER(SEARCH("제미나이",K1206)),"복습대기(AI도움)",IF(ISNUMBER(SEARCH("간당간당",K1206)),"복습대기(간당간당)",IF(OR(ISNUMBER(SEARCH("아이디어",K1206)),ISNUMBER(SEARCH("시간초과",K1206)),ISNUMBER(SEARCH("자료구조",K1206)),ISNUMBER(SEARCH("경계값",K1206)),ISNUMBER(SEARCH("다른 풀이",K1206)),ISNUMBER(SEARCH("또풀기",K1206))),"복습대기",IF(OR(ISNUMBER(SEARCH("복습필요없음",K1206)),ISNUMBER(SEARCH("자력완벽",K1206))),"품(복습불필요)",IF(F1206&lt;&gt;"","품","미완료"))))))))))</f>
        <v/>
      </c>
      <c r="K1206" s="283" t="n"/>
      <c r="L1206" s="8" t="n"/>
      <c r="M1206" s="8">
        <f>IF(OR(LEFT(J1206,2)="보류", LEFT(J1206,4)="복습대기", LEFT(J1206,3)="복습1", LEFT(J1206,3)="복습2"), MAX($M$3:M1205)+1, "")</f>
        <v/>
      </c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</row>
    <row r="1207" ht="21.75" customHeight="1" s="209">
      <c r="A1207" s="112" t="n"/>
      <c r="B1207" s="159" t="n"/>
      <c r="C1207" s="159" t="n"/>
      <c r="D1207" s="8" t="n"/>
      <c r="E1207" s="8" t="n"/>
      <c r="F1207" s="160" t="n"/>
      <c r="G1207" s="161" t="n"/>
      <c r="H1207" s="161" t="n"/>
      <c r="I1207" s="161" t="n"/>
      <c r="J1207" s="162">
        <f>IF(OR(ISNUMBER(SEARCH("보류",K1207)),ISNUMBER(SEARCH("미룸",K1207)),ISNUMBER(SEARCH("나중에",K1207)),ISNUMBER(SEARCH("보류",L1207)),ISNUMBER(SEARCH("미룸",L1207)),ISNUMBER(SEARCH("나중에",L1207))),"보류(나중에 풀기)",IF(AND(F1207="",G1207="",H1207="",I1207=""),"미완료",IF(I1207&lt;&gt;"","복습3(마스터)",IF(H1207&lt;&gt;"","복습2",IF(G1207&lt;&gt;"","복습1",IF(ISNUMBER(SEARCH("제미나이",K1207)),"복습대기(AI도움)",IF(ISNUMBER(SEARCH("간당간당",K1207)),"복습대기(간당간당)",IF(OR(ISNUMBER(SEARCH("아이디어",K1207)),ISNUMBER(SEARCH("시간초과",K1207)),ISNUMBER(SEARCH("자료구조",K1207)),ISNUMBER(SEARCH("경계값",K1207)),ISNUMBER(SEARCH("다른 풀이",K1207)),ISNUMBER(SEARCH("또풀기",K1207))),"복습대기",IF(OR(ISNUMBER(SEARCH("복습필요없음",K1207)),ISNUMBER(SEARCH("자력완벽",K1207))),"품(복습불필요)",IF(F1207&lt;&gt;"","품","미완료"))))))))))</f>
        <v/>
      </c>
      <c r="K1207" s="283" t="n"/>
      <c r="L1207" s="8" t="n"/>
      <c r="M1207" s="8">
        <f>IF(OR(LEFT(J1207,2)="보류", LEFT(J1207,4)="복습대기", LEFT(J1207,3)="복습1", LEFT(J1207,3)="복습2"), MAX($M$3:M1206)+1, "")</f>
        <v/>
      </c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</row>
    <row r="1208" ht="21.75" customHeight="1" s="209">
      <c r="A1208" s="112" t="n"/>
      <c r="B1208" s="159" t="n"/>
      <c r="C1208" s="159" t="n"/>
      <c r="D1208" s="8" t="n"/>
      <c r="E1208" s="8" t="n"/>
      <c r="F1208" s="160" t="n"/>
      <c r="G1208" s="161" t="n"/>
      <c r="H1208" s="161" t="n"/>
      <c r="I1208" s="161" t="n"/>
      <c r="J1208" s="162">
        <f>IF(OR(ISNUMBER(SEARCH("보류",K1208)),ISNUMBER(SEARCH("미룸",K1208)),ISNUMBER(SEARCH("나중에",K1208)),ISNUMBER(SEARCH("보류",L1208)),ISNUMBER(SEARCH("미룸",L1208)),ISNUMBER(SEARCH("나중에",L1208))),"보류(나중에 풀기)",IF(AND(F1208="",G1208="",H1208="",I1208=""),"미완료",IF(I1208&lt;&gt;"","복습3(마스터)",IF(H1208&lt;&gt;"","복습2",IF(G1208&lt;&gt;"","복습1",IF(ISNUMBER(SEARCH("제미나이",K1208)),"복습대기(AI도움)",IF(ISNUMBER(SEARCH("간당간당",K1208)),"복습대기(간당간당)",IF(OR(ISNUMBER(SEARCH("아이디어",K1208)),ISNUMBER(SEARCH("시간초과",K1208)),ISNUMBER(SEARCH("자료구조",K1208)),ISNUMBER(SEARCH("경계값",K1208)),ISNUMBER(SEARCH("다른 풀이",K1208)),ISNUMBER(SEARCH("또풀기",K1208))),"복습대기",IF(OR(ISNUMBER(SEARCH("복습필요없음",K1208)),ISNUMBER(SEARCH("자력완벽",K1208))),"품(복습불필요)",IF(F1208&lt;&gt;"","품","미완료"))))))))))</f>
        <v/>
      </c>
      <c r="K1208" s="283" t="n"/>
      <c r="L1208" s="8" t="n"/>
      <c r="M1208" s="8">
        <f>IF(OR(LEFT(J1208,2)="보류", LEFT(J1208,4)="복습대기", LEFT(J1208,3)="복습1", LEFT(J1208,3)="복습2"), MAX($M$3:M1207)+1, "")</f>
        <v/>
      </c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</row>
    <row r="1209" ht="21.75" customHeight="1" s="209">
      <c r="A1209" s="112" t="n"/>
      <c r="B1209" s="159" t="n"/>
      <c r="C1209" s="159" t="n"/>
      <c r="D1209" s="8" t="n"/>
      <c r="E1209" s="8" t="n"/>
      <c r="F1209" s="160" t="n"/>
      <c r="G1209" s="161" t="n"/>
      <c r="H1209" s="161" t="n"/>
      <c r="I1209" s="161" t="n"/>
      <c r="J1209" s="162">
        <f>IF(OR(ISNUMBER(SEARCH("보류",K1209)),ISNUMBER(SEARCH("미룸",K1209)),ISNUMBER(SEARCH("나중에",K1209)),ISNUMBER(SEARCH("보류",L1209)),ISNUMBER(SEARCH("미룸",L1209)),ISNUMBER(SEARCH("나중에",L1209))),"보류(나중에 풀기)",IF(AND(F1209="",G1209="",H1209="",I1209=""),"미완료",IF(I1209&lt;&gt;"","복습3(마스터)",IF(H1209&lt;&gt;"","복습2",IF(G1209&lt;&gt;"","복습1",IF(ISNUMBER(SEARCH("제미나이",K1209)),"복습대기(AI도움)",IF(ISNUMBER(SEARCH("간당간당",K1209)),"복습대기(간당간당)",IF(OR(ISNUMBER(SEARCH("아이디어",K1209)),ISNUMBER(SEARCH("시간초과",K1209)),ISNUMBER(SEARCH("자료구조",K1209)),ISNUMBER(SEARCH("경계값",K1209)),ISNUMBER(SEARCH("다른 풀이",K1209)),ISNUMBER(SEARCH("또풀기",K1209))),"복습대기",IF(OR(ISNUMBER(SEARCH("복습필요없음",K1209)),ISNUMBER(SEARCH("자력완벽",K1209))),"품(복습불필요)",IF(F1209&lt;&gt;"","품","미완료"))))))))))</f>
        <v/>
      </c>
      <c r="K1209" s="283" t="n"/>
      <c r="L1209" s="8" t="n"/>
      <c r="M1209" s="8">
        <f>IF(OR(LEFT(J1209,2)="보류", LEFT(J1209,4)="복습대기", LEFT(J1209,3)="복습1", LEFT(J1209,3)="복습2"), MAX($M$3:M1208)+1, "")</f>
        <v/>
      </c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</row>
    <row r="1210" ht="21.75" customHeight="1" s="209">
      <c r="A1210" s="112" t="n"/>
      <c r="B1210" s="159" t="n"/>
      <c r="C1210" s="159" t="n"/>
      <c r="D1210" s="8" t="n"/>
      <c r="E1210" s="8" t="n"/>
      <c r="F1210" s="160" t="n"/>
      <c r="G1210" s="161" t="n"/>
      <c r="H1210" s="161" t="n"/>
      <c r="I1210" s="161" t="n"/>
      <c r="J1210" s="162">
        <f>IF(OR(ISNUMBER(SEARCH("보류",K1210)),ISNUMBER(SEARCH("미룸",K1210)),ISNUMBER(SEARCH("나중에",K1210)),ISNUMBER(SEARCH("보류",L1210)),ISNUMBER(SEARCH("미룸",L1210)),ISNUMBER(SEARCH("나중에",L1210))),"보류(나중에 풀기)",IF(AND(F1210="",G1210="",H1210="",I1210=""),"미완료",IF(I1210&lt;&gt;"","복습3(마스터)",IF(H1210&lt;&gt;"","복습2",IF(G1210&lt;&gt;"","복습1",IF(ISNUMBER(SEARCH("제미나이",K1210)),"복습대기(AI도움)",IF(ISNUMBER(SEARCH("간당간당",K1210)),"복습대기(간당간당)",IF(OR(ISNUMBER(SEARCH("아이디어",K1210)),ISNUMBER(SEARCH("시간초과",K1210)),ISNUMBER(SEARCH("자료구조",K1210)),ISNUMBER(SEARCH("경계값",K1210)),ISNUMBER(SEARCH("다른 풀이",K1210)),ISNUMBER(SEARCH("또풀기",K1210))),"복습대기",IF(OR(ISNUMBER(SEARCH("복습필요없음",K1210)),ISNUMBER(SEARCH("자력완벽",K1210))),"품(복습불필요)",IF(F1210&lt;&gt;"","품","미완료"))))))))))</f>
        <v/>
      </c>
      <c r="K1210" s="283" t="n"/>
      <c r="L1210" s="8" t="n"/>
      <c r="M1210" s="8">
        <f>IF(OR(LEFT(J1210,2)="보류", LEFT(J1210,4)="복습대기", LEFT(J1210,3)="복습1", LEFT(J1210,3)="복습2"), MAX($M$3:M1209)+1, "")</f>
        <v/>
      </c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</row>
    <row r="1211" ht="21.75" customHeight="1" s="209">
      <c r="A1211" s="112" t="n"/>
      <c r="B1211" s="159" t="n"/>
      <c r="C1211" s="159" t="n"/>
      <c r="D1211" s="8" t="n"/>
      <c r="E1211" s="8" t="n"/>
      <c r="F1211" s="160" t="n"/>
      <c r="G1211" s="161" t="n"/>
      <c r="H1211" s="161" t="n"/>
      <c r="I1211" s="161" t="n"/>
      <c r="J1211" s="162">
        <f>IF(OR(ISNUMBER(SEARCH("보류",K1211)),ISNUMBER(SEARCH("미룸",K1211)),ISNUMBER(SEARCH("나중에",K1211)),ISNUMBER(SEARCH("보류",L1211)),ISNUMBER(SEARCH("미룸",L1211)),ISNUMBER(SEARCH("나중에",L1211))),"보류(나중에 풀기)",IF(AND(F1211="",G1211="",H1211="",I1211=""),"미완료",IF(I1211&lt;&gt;"","복습3(마스터)",IF(H1211&lt;&gt;"","복습2",IF(G1211&lt;&gt;"","복습1",IF(ISNUMBER(SEARCH("제미나이",K1211)),"복습대기(AI도움)",IF(ISNUMBER(SEARCH("간당간당",K1211)),"복습대기(간당간당)",IF(OR(ISNUMBER(SEARCH("아이디어",K1211)),ISNUMBER(SEARCH("시간초과",K1211)),ISNUMBER(SEARCH("자료구조",K1211)),ISNUMBER(SEARCH("경계값",K1211)),ISNUMBER(SEARCH("다른 풀이",K1211)),ISNUMBER(SEARCH("또풀기",K1211))),"복습대기",IF(OR(ISNUMBER(SEARCH("복습필요없음",K1211)),ISNUMBER(SEARCH("자력완벽",K1211))),"품(복습불필요)",IF(F1211&lt;&gt;"","품","미완료"))))))))))</f>
        <v/>
      </c>
      <c r="K1211" s="283" t="n"/>
      <c r="L1211" s="8" t="n"/>
      <c r="M1211" s="8">
        <f>IF(OR(LEFT(J1211,2)="보류", LEFT(J1211,4)="복습대기", LEFT(J1211,3)="복습1", LEFT(J1211,3)="복습2"), MAX($M$3:M1210)+1, "")</f>
        <v/>
      </c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</row>
    <row r="1212" ht="21.75" customHeight="1" s="209">
      <c r="A1212" s="112" t="n"/>
      <c r="B1212" s="159" t="n"/>
      <c r="C1212" s="159" t="n"/>
      <c r="D1212" s="8" t="n"/>
      <c r="E1212" s="8" t="n"/>
      <c r="F1212" s="160" t="n"/>
      <c r="G1212" s="161" t="n"/>
      <c r="H1212" s="161" t="n"/>
      <c r="I1212" s="161" t="n"/>
      <c r="J1212" s="162">
        <f>IF(OR(ISNUMBER(SEARCH("보류",K1212)),ISNUMBER(SEARCH("미룸",K1212)),ISNUMBER(SEARCH("나중에",K1212)),ISNUMBER(SEARCH("보류",L1212)),ISNUMBER(SEARCH("미룸",L1212)),ISNUMBER(SEARCH("나중에",L1212))),"보류(나중에 풀기)",IF(AND(F1212="",G1212="",H1212="",I1212=""),"미완료",IF(I1212&lt;&gt;"","복습3(마스터)",IF(H1212&lt;&gt;"","복습2",IF(G1212&lt;&gt;"","복습1",IF(ISNUMBER(SEARCH("제미나이",K1212)),"복습대기(AI도움)",IF(ISNUMBER(SEARCH("간당간당",K1212)),"복습대기(간당간당)",IF(OR(ISNUMBER(SEARCH("아이디어",K1212)),ISNUMBER(SEARCH("시간초과",K1212)),ISNUMBER(SEARCH("자료구조",K1212)),ISNUMBER(SEARCH("경계값",K1212)),ISNUMBER(SEARCH("다른 풀이",K1212)),ISNUMBER(SEARCH("또풀기",K1212))),"복습대기",IF(OR(ISNUMBER(SEARCH("복습필요없음",K1212)),ISNUMBER(SEARCH("자력완벽",K1212))),"품(복습불필요)",IF(F1212&lt;&gt;"","품","미완료"))))))))))</f>
        <v/>
      </c>
      <c r="K1212" s="283" t="n"/>
      <c r="L1212" s="8" t="n"/>
      <c r="M1212" s="8">
        <f>IF(OR(LEFT(J1212,2)="보류", LEFT(J1212,4)="복습대기", LEFT(J1212,3)="복습1", LEFT(J1212,3)="복습2"), MAX($M$3:M1211)+1, "")</f>
        <v/>
      </c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</row>
    <row r="1213" ht="21.75" customHeight="1" s="209">
      <c r="A1213" s="112" t="n"/>
      <c r="B1213" s="159" t="n"/>
      <c r="C1213" s="159" t="n"/>
      <c r="D1213" s="8" t="n"/>
      <c r="E1213" s="8" t="n"/>
      <c r="F1213" s="160" t="n"/>
      <c r="G1213" s="161" t="n"/>
      <c r="H1213" s="161" t="n"/>
      <c r="I1213" s="161" t="n"/>
      <c r="J1213" s="162">
        <f>IF(OR(ISNUMBER(SEARCH("보류",K1213)),ISNUMBER(SEARCH("미룸",K1213)),ISNUMBER(SEARCH("나중에",K1213)),ISNUMBER(SEARCH("보류",L1213)),ISNUMBER(SEARCH("미룸",L1213)),ISNUMBER(SEARCH("나중에",L1213))),"보류(나중에 풀기)",IF(AND(F1213="",G1213="",H1213="",I1213=""),"미완료",IF(I1213&lt;&gt;"","복습3(마스터)",IF(H1213&lt;&gt;"","복습2",IF(G1213&lt;&gt;"","복습1",IF(ISNUMBER(SEARCH("제미나이",K1213)),"복습대기(AI도움)",IF(ISNUMBER(SEARCH("간당간당",K1213)),"복습대기(간당간당)",IF(OR(ISNUMBER(SEARCH("아이디어",K1213)),ISNUMBER(SEARCH("시간초과",K1213)),ISNUMBER(SEARCH("자료구조",K1213)),ISNUMBER(SEARCH("경계값",K1213)),ISNUMBER(SEARCH("다른 풀이",K1213)),ISNUMBER(SEARCH("또풀기",K1213))),"복습대기",IF(OR(ISNUMBER(SEARCH("복습필요없음",K1213)),ISNUMBER(SEARCH("자력완벽",K1213))),"품(복습불필요)",IF(F1213&lt;&gt;"","품","미완료"))))))))))</f>
        <v/>
      </c>
      <c r="K1213" s="283" t="n"/>
      <c r="L1213" s="8" t="n"/>
      <c r="M1213" s="8">
        <f>IF(OR(LEFT(J1213,2)="보류", LEFT(J1213,4)="복습대기", LEFT(J1213,3)="복습1", LEFT(J1213,3)="복습2"), MAX($M$3:M1212)+1, "")</f>
        <v/>
      </c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</row>
    <row r="1214" ht="21.75" customHeight="1" s="209">
      <c r="A1214" s="112" t="n"/>
      <c r="B1214" s="159" t="n"/>
      <c r="C1214" s="159" t="n"/>
      <c r="D1214" s="8" t="n"/>
      <c r="E1214" s="8" t="n"/>
      <c r="F1214" s="160" t="n"/>
      <c r="G1214" s="161" t="n"/>
      <c r="H1214" s="161" t="n"/>
      <c r="I1214" s="161" t="n"/>
      <c r="J1214" s="162">
        <f>IF(OR(ISNUMBER(SEARCH("보류",K1214)),ISNUMBER(SEARCH("미룸",K1214)),ISNUMBER(SEARCH("나중에",K1214)),ISNUMBER(SEARCH("보류",L1214)),ISNUMBER(SEARCH("미룸",L1214)),ISNUMBER(SEARCH("나중에",L1214))),"보류(나중에 풀기)",IF(AND(F1214="",G1214="",H1214="",I1214=""),"미완료",IF(I1214&lt;&gt;"","복습3(마스터)",IF(H1214&lt;&gt;"","복습2",IF(G1214&lt;&gt;"","복습1",IF(ISNUMBER(SEARCH("제미나이",K1214)),"복습대기(AI도움)",IF(ISNUMBER(SEARCH("간당간당",K1214)),"복습대기(간당간당)",IF(OR(ISNUMBER(SEARCH("아이디어",K1214)),ISNUMBER(SEARCH("시간초과",K1214)),ISNUMBER(SEARCH("자료구조",K1214)),ISNUMBER(SEARCH("경계값",K1214)),ISNUMBER(SEARCH("다른 풀이",K1214)),ISNUMBER(SEARCH("또풀기",K1214))),"복습대기",IF(OR(ISNUMBER(SEARCH("복습필요없음",K1214)),ISNUMBER(SEARCH("자력완벽",K1214))),"품(복습불필요)",IF(F1214&lt;&gt;"","품","미완료"))))))))))</f>
        <v/>
      </c>
      <c r="K1214" s="283" t="n"/>
      <c r="L1214" s="8" t="n"/>
      <c r="M1214" s="8">
        <f>IF(OR(LEFT(J1214,2)="보류", LEFT(J1214,4)="복습대기", LEFT(J1214,3)="복습1", LEFT(J1214,3)="복습2"), MAX($M$3:M1213)+1, "")</f>
        <v/>
      </c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</row>
    <row r="1215" ht="21.75" customHeight="1" s="209">
      <c r="A1215" s="112" t="n"/>
      <c r="B1215" s="159" t="n"/>
      <c r="C1215" s="159" t="n"/>
      <c r="D1215" s="8" t="n"/>
      <c r="E1215" s="8" t="n"/>
      <c r="F1215" s="160" t="n"/>
      <c r="G1215" s="161" t="n"/>
      <c r="H1215" s="161" t="n"/>
      <c r="I1215" s="161" t="n"/>
      <c r="J1215" s="162">
        <f>IF(OR(ISNUMBER(SEARCH("보류",K1215)),ISNUMBER(SEARCH("미룸",K1215)),ISNUMBER(SEARCH("나중에",K1215)),ISNUMBER(SEARCH("보류",L1215)),ISNUMBER(SEARCH("미룸",L1215)),ISNUMBER(SEARCH("나중에",L1215))),"보류(나중에 풀기)",IF(AND(F1215="",G1215="",H1215="",I1215=""),"미완료",IF(I1215&lt;&gt;"","복습3(마스터)",IF(H1215&lt;&gt;"","복습2",IF(G1215&lt;&gt;"","복습1",IF(ISNUMBER(SEARCH("제미나이",K1215)),"복습대기(AI도움)",IF(ISNUMBER(SEARCH("간당간당",K1215)),"복습대기(간당간당)",IF(OR(ISNUMBER(SEARCH("아이디어",K1215)),ISNUMBER(SEARCH("시간초과",K1215)),ISNUMBER(SEARCH("자료구조",K1215)),ISNUMBER(SEARCH("경계값",K1215)),ISNUMBER(SEARCH("다른 풀이",K1215)),ISNUMBER(SEARCH("또풀기",K1215))),"복습대기",IF(OR(ISNUMBER(SEARCH("복습필요없음",K1215)),ISNUMBER(SEARCH("자력완벽",K1215))),"품(복습불필요)",IF(F1215&lt;&gt;"","품","미완료"))))))))))</f>
        <v/>
      </c>
      <c r="K1215" s="283" t="n"/>
      <c r="L1215" s="8" t="n"/>
      <c r="M1215" s="8">
        <f>IF(OR(LEFT(J1215,2)="보류", LEFT(J1215,4)="복습대기", LEFT(J1215,3)="복습1", LEFT(J1215,3)="복습2"), MAX($M$3:M1214)+1, "")</f>
        <v/>
      </c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</row>
    <row r="1216" ht="21.75" customHeight="1" s="209">
      <c r="A1216" s="112" t="n"/>
      <c r="B1216" s="159" t="n"/>
      <c r="C1216" s="159" t="n"/>
      <c r="D1216" s="8" t="n"/>
      <c r="E1216" s="8" t="n"/>
      <c r="F1216" s="160" t="n"/>
      <c r="G1216" s="161" t="n"/>
      <c r="H1216" s="161" t="n"/>
      <c r="I1216" s="161" t="n"/>
      <c r="J1216" s="162">
        <f>IF(OR(ISNUMBER(SEARCH("보류",K1216)),ISNUMBER(SEARCH("미룸",K1216)),ISNUMBER(SEARCH("나중에",K1216)),ISNUMBER(SEARCH("보류",L1216)),ISNUMBER(SEARCH("미룸",L1216)),ISNUMBER(SEARCH("나중에",L1216))),"보류(나중에 풀기)",IF(AND(F1216="",G1216="",H1216="",I1216=""),"미완료",IF(I1216&lt;&gt;"","복습3(마스터)",IF(H1216&lt;&gt;"","복습2",IF(G1216&lt;&gt;"","복습1",IF(ISNUMBER(SEARCH("제미나이",K1216)),"복습대기(AI도움)",IF(ISNUMBER(SEARCH("간당간당",K1216)),"복습대기(간당간당)",IF(OR(ISNUMBER(SEARCH("아이디어",K1216)),ISNUMBER(SEARCH("시간초과",K1216)),ISNUMBER(SEARCH("자료구조",K1216)),ISNUMBER(SEARCH("경계값",K1216)),ISNUMBER(SEARCH("다른 풀이",K1216)),ISNUMBER(SEARCH("또풀기",K1216))),"복습대기",IF(OR(ISNUMBER(SEARCH("복습필요없음",K1216)),ISNUMBER(SEARCH("자력완벽",K1216))),"품(복습불필요)",IF(F1216&lt;&gt;"","품","미완료"))))))))))</f>
        <v/>
      </c>
      <c r="K1216" s="283" t="n"/>
      <c r="L1216" s="8" t="n"/>
      <c r="M1216" s="8">
        <f>IF(OR(LEFT(J1216,2)="보류", LEFT(J1216,4)="복습대기", LEFT(J1216,3)="복습1", LEFT(J1216,3)="복습2"), MAX($M$3:M1215)+1, "")</f>
        <v/>
      </c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</row>
    <row r="1217" ht="21.75" customHeight="1" s="209">
      <c r="A1217" s="112" t="n"/>
      <c r="B1217" s="159" t="n"/>
      <c r="C1217" s="159" t="n"/>
      <c r="D1217" s="8" t="n"/>
      <c r="E1217" s="8" t="n"/>
      <c r="F1217" s="160" t="n"/>
      <c r="G1217" s="161" t="n"/>
      <c r="H1217" s="161" t="n"/>
      <c r="I1217" s="161" t="n"/>
      <c r="J1217" s="162">
        <f>IF(OR(ISNUMBER(SEARCH("보류",K1217)),ISNUMBER(SEARCH("미룸",K1217)),ISNUMBER(SEARCH("나중에",K1217)),ISNUMBER(SEARCH("보류",L1217)),ISNUMBER(SEARCH("미룸",L1217)),ISNUMBER(SEARCH("나중에",L1217))),"보류(나중에 풀기)",IF(AND(F1217="",G1217="",H1217="",I1217=""),"미완료",IF(I1217&lt;&gt;"","복습3(마스터)",IF(H1217&lt;&gt;"","복습2",IF(G1217&lt;&gt;"","복습1",IF(ISNUMBER(SEARCH("제미나이",K1217)),"복습대기(AI도움)",IF(ISNUMBER(SEARCH("간당간당",K1217)),"복습대기(간당간당)",IF(OR(ISNUMBER(SEARCH("아이디어",K1217)),ISNUMBER(SEARCH("시간초과",K1217)),ISNUMBER(SEARCH("자료구조",K1217)),ISNUMBER(SEARCH("경계값",K1217)),ISNUMBER(SEARCH("다른 풀이",K1217)),ISNUMBER(SEARCH("또풀기",K1217))),"복습대기",IF(OR(ISNUMBER(SEARCH("복습필요없음",K1217)),ISNUMBER(SEARCH("자력완벽",K1217))),"품(복습불필요)",IF(F1217&lt;&gt;"","품","미완료"))))))))))</f>
        <v/>
      </c>
      <c r="K1217" s="283" t="n"/>
      <c r="L1217" s="8" t="n"/>
      <c r="M1217" s="8">
        <f>IF(OR(LEFT(J1217,2)="보류", LEFT(J1217,4)="복습대기", LEFT(J1217,3)="복습1", LEFT(J1217,3)="복습2"), MAX($M$3:M1216)+1, "")</f>
        <v/>
      </c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</row>
    <row r="1218" ht="21.75" customHeight="1" s="209">
      <c r="A1218" s="112" t="n"/>
      <c r="B1218" s="159" t="n"/>
      <c r="C1218" s="159" t="n"/>
      <c r="D1218" s="8" t="n"/>
      <c r="E1218" s="8" t="n"/>
      <c r="F1218" s="160" t="n"/>
      <c r="G1218" s="161" t="n"/>
      <c r="H1218" s="161" t="n"/>
      <c r="I1218" s="161" t="n"/>
      <c r="J1218" s="162">
        <f>IF(OR(ISNUMBER(SEARCH("보류",K1218)),ISNUMBER(SEARCH("미룸",K1218)),ISNUMBER(SEARCH("나중에",K1218)),ISNUMBER(SEARCH("보류",L1218)),ISNUMBER(SEARCH("미룸",L1218)),ISNUMBER(SEARCH("나중에",L1218))),"보류(나중에 풀기)",IF(AND(F1218="",G1218="",H1218="",I1218=""),"미완료",IF(I1218&lt;&gt;"","복습3(마스터)",IF(H1218&lt;&gt;"","복습2",IF(G1218&lt;&gt;"","복습1",IF(ISNUMBER(SEARCH("제미나이",K1218)),"복습대기(AI도움)",IF(ISNUMBER(SEARCH("간당간당",K1218)),"복습대기(간당간당)",IF(OR(ISNUMBER(SEARCH("아이디어",K1218)),ISNUMBER(SEARCH("시간초과",K1218)),ISNUMBER(SEARCH("자료구조",K1218)),ISNUMBER(SEARCH("경계값",K1218)),ISNUMBER(SEARCH("다른 풀이",K1218)),ISNUMBER(SEARCH("또풀기",K1218))),"복습대기",IF(OR(ISNUMBER(SEARCH("복습필요없음",K1218)),ISNUMBER(SEARCH("자력완벽",K1218))),"품(복습불필요)",IF(F1218&lt;&gt;"","품","미완료"))))))))))</f>
        <v/>
      </c>
      <c r="K1218" s="283" t="n"/>
      <c r="L1218" s="8" t="n"/>
      <c r="M1218" s="8">
        <f>IF(OR(LEFT(J1218,2)="보류", LEFT(J1218,4)="복습대기", LEFT(J1218,3)="복습1", LEFT(J1218,3)="복습2"), MAX($M$3:M1217)+1, "")</f>
        <v/>
      </c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</row>
    <row r="1219" ht="21.75" customHeight="1" s="209">
      <c r="A1219" s="112" t="n"/>
      <c r="B1219" s="159" t="n"/>
      <c r="C1219" s="159" t="n"/>
      <c r="D1219" s="8" t="n"/>
      <c r="E1219" s="8" t="n"/>
      <c r="F1219" s="160" t="n"/>
      <c r="G1219" s="161" t="n"/>
      <c r="H1219" s="161" t="n"/>
      <c r="I1219" s="161" t="n"/>
      <c r="J1219" s="162">
        <f>IF(OR(ISNUMBER(SEARCH("보류",K1219)),ISNUMBER(SEARCH("미룸",K1219)),ISNUMBER(SEARCH("나중에",K1219)),ISNUMBER(SEARCH("보류",L1219)),ISNUMBER(SEARCH("미룸",L1219)),ISNUMBER(SEARCH("나중에",L1219))),"보류(나중에 풀기)",IF(AND(F1219="",G1219="",H1219="",I1219=""),"미완료",IF(I1219&lt;&gt;"","복습3(마스터)",IF(H1219&lt;&gt;"","복습2",IF(G1219&lt;&gt;"","복습1",IF(ISNUMBER(SEARCH("제미나이",K1219)),"복습대기(AI도움)",IF(ISNUMBER(SEARCH("간당간당",K1219)),"복습대기(간당간당)",IF(OR(ISNUMBER(SEARCH("아이디어",K1219)),ISNUMBER(SEARCH("시간초과",K1219)),ISNUMBER(SEARCH("자료구조",K1219)),ISNUMBER(SEARCH("경계값",K1219)),ISNUMBER(SEARCH("다른 풀이",K1219)),ISNUMBER(SEARCH("또풀기",K1219))),"복습대기",IF(OR(ISNUMBER(SEARCH("복습필요없음",K1219)),ISNUMBER(SEARCH("자력완벽",K1219))),"품(복습불필요)",IF(F1219&lt;&gt;"","품","미완료"))))))))))</f>
        <v/>
      </c>
      <c r="K1219" s="283" t="n"/>
      <c r="L1219" s="8" t="n"/>
      <c r="M1219" s="8">
        <f>IF(OR(LEFT(J1219,2)="보류", LEFT(J1219,4)="복습대기", LEFT(J1219,3)="복습1", LEFT(J1219,3)="복습2"), MAX($M$3:M1218)+1, "")</f>
        <v/>
      </c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</row>
    <row r="1220" ht="21.75" customHeight="1" s="209">
      <c r="A1220" s="112" t="n"/>
      <c r="B1220" s="159" t="n"/>
      <c r="C1220" s="159" t="n"/>
      <c r="D1220" s="8" t="n"/>
      <c r="E1220" s="8" t="n"/>
      <c r="F1220" s="160" t="n"/>
      <c r="G1220" s="161" t="n"/>
      <c r="H1220" s="161" t="n"/>
      <c r="I1220" s="161" t="n"/>
      <c r="J1220" s="162">
        <f>IF(OR(ISNUMBER(SEARCH("보류",K1220)),ISNUMBER(SEARCH("미룸",K1220)),ISNUMBER(SEARCH("나중에",K1220)),ISNUMBER(SEARCH("보류",L1220)),ISNUMBER(SEARCH("미룸",L1220)),ISNUMBER(SEARCH("나중에",L1220))),"보류(나중에 풀기)",IF(AND(F1220="",G1220="",H1220="",I1220=""),"미완료",IF(I1220&lt;&gt;"","복습3(마스터)",IF(H1220&lt;&gt;"","복습2",IF(G1220&lt;&gt;"","복습1",IF(ISNUMBER(SEARCH("제미나이",K1220)),"복습대기(AI도움)",IF(ISNUMBER(SEARCH("간당간당",K1220)),"복습대기(간당간당)",IF(OR(ISNUMBER(SEARCH("아이디어",K1220)),ISNUMBER(SEARCH("시간초과",K1220)),ISNUMBER(SEARCH("자료구조",K1220)),ISNUMBER(SEARCH("경계값",K1220)),ISNUMBER(SEARCH("다른 풀이",K1220)),ISNUMBER(SEARCH("또풀기",K1220))),"복습대기",IF(OR(ISNUMBER(SEARCH("복습필요없음",K1220)),ISNUMBER(SEARCH("자력완벽",K1220))),"품(복습불필요)",IF(F1220&lt;&gt;"","품","미완료"))))))))))</f>
        <v/>
      </c>
      <c r="K1220" s="283" t="n"/>
      <c r="L1220" s="8" t="n"/>
      <c r="M1220" s="8">
        <f>IF(OR(LEFT(J1220,2)="보류", LEFT(J1220,4)="복습대기", LEFT(J1220,3)="복습1", LEFT(J1220,3)="복습2"), MAX($M$3:M1219)+1, "")</f>
        <v/>
      </c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</row>
    <row r="1221" ht="21.75" customHeight="1" s="209">
      <c r="A1221" s="112" t="n"/>
      <c r="B1221" s="159" t="n"/>
      <c r="C1221" s="159" t="n"/>
      <c r="D1221" s="8" t="n"/>
      <c r="E1221" s="8" t="n"/>
      <c r="F1221" s="160" t="n"/>
      <c r="G1221" s="161" t="n"/>
      <c r="H1221" s="161" t="n"/>
      <c r="I1221" s="161" t="n"/>
      <c r="J1221" s="162">
        <f>IF(OR(ISNUMBER(SEARCH("보류",K1221)),ISNUMBER(SEARCH("미룸",K1221)),ISNUMBER(SEARCH("나중에",K1221)),ISNUMBER(SEARCH("보류",L1221)),ISNUMBER(SEARCH("미룸",L1221)),ISNUMBER(SEARCH("나중에",L1221))),"보류(나중에 풀기)",IF(AND(F1221="",G1221="",H1221="",I1221=""),"미완료",IF(I1221&lt;&gt;"","복습3(마스터)",IF(H1221&lt;&gt;"","복습2",IF(G1221&lt;&gt;"","복습1",IF(ISNUMBER(SEARCH("제미나이",K1221)),"복습대기(AI도움)",IF(ISNUMBER(SEARCH("간당간당",K1221)),"복습대기(간당간당)",IF(OR(ISNUMBER(SEARCH("아이디어",K1221)),ISNUMBER(SEARCH("시간초과",K1221)),ISNUMBER(SEARCH("자료구조",K1221)),ISNUMBER(SEARCH("경계값",K1221)),ISNUMBER(SEARCH("다른 풀이",K1221)),ISNUMBER(SEARCH("또풀기",K1221))),"복습대기",IF(OR(ISNUMBER(SEARCH("복습필요없음",K1221)),ISNUMBER(SEARCH("자력완벽",K1221))),"품(복습불필요)",IF(F1221&lt;&gt;"","품","미완료"))))))))))</f>
        <v/>
      </c>
      <c r="K1221" s="283" t="n"/>
      <c r="L1221" s="8" t="n"/>
      <c r="M1221" s="8">
        <f>IF(OR(LEFT(J1221,2)="보류", LEFT(J1221,4)="복습대기", LEFT(J1221,3)="복습1", LEFT(J1221,3)="복습2"), MAX($M$3:M1220)+1, "")</f>
        <v/>
      </c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</row>
    <row r="1222" ht="21.75" customHeight="1" s="209">
      <c r="A1222" s="112" t="n"/>
      <c r="B1222" s="159" t="n"/>
      <c r="C1222" s="159" t="n"/>
      <c r="D1222" s="8" t="n"/>
      <c r="E1222" s="8" t="n"/>
      <c r="F1222" s="160" t="n"/>
      <c r="G1222" s="161" t="n"/>
      <c r="H1222" s="161" t="n"/>
      <c r="I1222" s="161" t="n"/>
      <c r="J1222" s="162">
        <f>IF(OR(ISNUMBER(SEARCH("보류",K1222)),ISNUMBER(SEARCH("미룸",K1222)),ISNUMBER(SEARCH("나중에",K1222)),ISNUMBER(SEARCH("보류",L1222)),ISNUMBER(SEARCH("미룸",L1222)),ISNUMBER(SEARCH("나중에",L1222))),"보류(나중에 풀기)",IF(AND(F1222="",G1222="",H1222="",I1222=""),"미완료",IF(I1222&lt;&gt;"","복습3(마스터)",IF(H1222&lt;&gt;"","복습2",IF(G1222&lt;&gt;"","복습1",IF(ISNUMBER(SEARCH("제미나이",K1222)),"복습대기(AI도움)",IF(ISNUMBER(SEARCH("간당간당",K1222)),"복습대기(간당간당)",IF(OR(ISNUMBER(SEARCH("아이디어",K1222)),ISNUMBER(SEARCH("시간초과",K1222)),ISNUMBER(SEARCH("자료구조",K1222)),ISNUMBER(SEARCH("경계값",K1222)),ISNUMBER(SEARCH("다른 풀이",K1222)),ISNUMBER(SEARCH("또풀기",K1222))),"복습대기",IF(OR(ISNUMBER(SEARCH("복습필요없음",K1222)),ISNUMBER(SEARCH("자력완벽",K1222))),"품(복습불필요)",IF(F1222&lt;&gt;"","품","미완료"))))))))))</f>
        <v/>
      </c>
      <c r="K1222" s="283" t="n"/>
      <c r="L1222" s="8" t="n"/>
      <c r="M1222" s="8">
        <f>IF(OR(LEFT(J1222,2)="보류", LEFT(J1222,4)="복습대기", LEFT(J1222,3)="복습1", LEFT(J1222,3)="복습2"), MAX($M$3:M1221)+1, "")</f>
        <v/>
      </c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</row>
    <row r="1223" ht="21.75" customHeight="1" s="209">
      <c r="A1223" s="112" t="n"/>
      <c r="B1223" s="159" t="n"/>
      <c r="C1223" s="159" t="n"/>
      <c r="D1223" s="8" t="n"/>
      <c r="E1223" s="8" t="n"/>
      <c r="F1223" s="160" t="n"/>
      <c r="G1223" s="161" t="n"/>
      <c r="H1223" s="161" t="n"/>
      <c r="I1223" s="161" t="n"/>
      <c r="J1223" s="162">
        <f>IF(OR(ISNUMBER(SEARCH("보류",K1223)),ISNUMBER(SEARCH("미룸",K1223)),ISNUMBER(SEARCH("나중에",K1223)),ISNUMBER(SEARCH("보류",L1223)),ISNUMBER(SEARCH("미룸",L1223)),ISNUMBER(SEARCH("나중에",L1223))),"보류(나중에 풀기)",IF(AND(F1223="",G1223="",H1223="",I1223=""),"미완료",IF(I1223&lt;&gt;"","복습3(마스터)",IF(H1223&lt;&gt;"","복습2",IF(G1223&lt;&gt;"","복습1",IF(ISNUMBER(SEARCH("제미나이",K1223)),"복습대기(AI도움)",IF(ISNUMBER(SEARCH("간당간당",K1223)),"복습대기(간당간당)",IF(OR(ISNUMBER(SEARCH("아이디어",K1223)),ISNUMBER(SEARCH("시간초과",K1223)),ISNUMBER(SEARCH("자료구조",K1223)),ISNUMBER(SEARCH("경계값",K1223)),ISNUMBER(SEARCH("다른 풀이",K1223)),ISNUMBER(SEARCH("또풀기",K1223))),"복습대기",IF(OR(ISNUMBER(SEARCH("복습필요없음",K1223)),ISNUMBER(SEARCH("자력완벽",K1223))),"품(복습불필요)",IF(F1223&lt;&gt;"","품","미완료"))))))))))</f>
        <v/>
      </c>
      <c r="K1223" s="283" t="n"/>
      <c r="L1223" s="8" t="n"/>
      <c r="M1223" s="8">
        <f>IF(OR(LEFT(J1223,2)="보류", LEFT(J1223,4)="복습대기", LEFT(J1223,3)="복습1", LEFT(J1223,3)="복습2"), MAX($M$3:M1222)+1, "")</f>
        <v/>
      </c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</row>
    <row r="1224" ht="21.75" customHeight="1" s="209">
      <c r="A1224" s="112" t="n"/>
      <c r="B1224" s="159" t="n"/>
      <c r="C1224" s="159" t="n"/>
      <c r="D1224" s="8" t="n"/>
      <c r="E1224" s="8" t="n"/>
      <c r="F1224" s="160" t="n"/>
      <c r="G1224" s="161" t="n"/>
      <c r="H1224" s="161" t="n"/>
      <c r="I1224" s="161" t="n"/>
      <c r="J1224" s="162">
        <f>IF(OR(ISNUMBER(SEARCH("보류",K1224)),ISNUMBER(SEARCH("미룸",K1224)),ISNUMBER(SEARCH("나중에",K1224)),ISNUMBER(SEARCH("보류",L1224)),ISNUMBER(SEARCH("미룸",L1224)),ISNUMBER(SEARCH("나중에",L1224))),"보류(나중에 풀기)",IF(AND(F1224="",G1224="",H1224="",I1224=""),"미완료",IF(I1224&lt;&gt;"","복습3(마스터)",IF(H1224&lt;&gt;"","복습2",IF(G1224&lt;&gt;"","복습1",IF(ISNUMBER(SEARCH("제미나이",K1224)),"복습대기(AI도움)",IF(ISNUMBER(SEARCH("간당간당",K1224)),"복습대기(간당간당)",IF(OR(ISNUMBER(SEARCH("아이디어",K1224)),ISNUMBER(SEARCH("시간초과",K1224)),ISNUMBER(SEARCH("자료구조",K1224)),ISNUMBER(SEARCH("경계값",K1224)),ISNUMBER(SEARCH("다른 풀이",K1224)),ISNUMBER(SEARCH("또풀기",K1224))),"복습대기",IF(OR(ISNUMBER(SEARCH("복습필요없음",K1224)),ISNUMBER(SEARCH("자력완벽",K1224))),"품(복습불필요)",IF(F1224&lt;&gt;"","품","미완료"))))))))))</f>
        <v/>
      </c>
      <c r="K1224" s="283" t="n"/>
      <c r="L1224" s="8" t="n"/>
      <c r="M1224" s="8">
        <f>IF(OR(LEFT(J1224,2)="보류", LEFT(J1224,4)="복습대기", LEFT(J1224,3)="복습1", LEFT(J1224,3)="복습2"), MAX($M$3:M1223)+1, "")</f>
        <v/>
      </c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</row>
    <row r="1225" ht="21.75" customHeight="1" s="209">
      <c r="A1225" s="112" t="n"/>
      <c r="B1225" s="159" t="n"/>
      <c r="C1225" s="159" t="n"/>
      <c r="D1225" s="8" t="n"/>
      <c r="E1225" s="8" t="n"/>
      <c r="F1225" s="160" t="n"/>
      <c r="G1225" s="161" t="n"/>
      <c r="H1225" s="161" t="n"/>
      <c r="I1225" s="161" t="n"/>
      <c r="J1225" s="162">
        <f>IF(OR(ISNUMBER(SEARCH("보류",K1225)),ISNUMBER(SEARCH("미룸",K1225)),ISNUMBER(SEARCH("나중에",K1225)),ISNUMBER(SEARCH("보류",L1225)),ISNUMBER(SEARCH("미룸",L1225)),ISNUMBER(SEARCH("나중에",L1225))),"보류(나중에 풀기)",IF(AND(F1225="",G1225="",H1225="",I1225=""),"미완료",IF(I1225&lt;&gt;"","복습3(마스터)",IF(H1225&lt;&gt;"","복습2",IF(G1225&lt;&gt;"","복습1",IF(ISNUMBER(SEARCH("제미나이",K1225)),"복습대기(AI도움)",IF(ISNUMBER(SEARCH("간당간당",K1225)),"복습대기(간당간당)",IF(OR(ISNUMBER(SEARCH("아이디어",K1225)),ISNUMBER(SEARCH("시간초과",K1225)),ISNUMBER(SEARCH("자료구조",K1225)),ISNUMBER(SEARCH("경계값",K1225)),ISNUMBER(SEARCH("다른 풀이",K1225)),ISNUMBER(SEARCH("또풀기",K1225))),"복습대기",IF(OR(ISNUMBER(SEARCH("복습필요없음",K1225)),ISNUMBER(SEARCH("자력완벽",K1225))),"품(복습불필요)",IF(F1225&lt;&gt;"","품","미완료"))))))))))</f>
        <v/>
      </c>
      <c r="K1225" s="283" t="n"/>
      <c r="L1225" s="8" t="n"/>
      <c r="M1225" s="8">
        <f>IF(OR(LEFT(J1225,2)="보류", LEFT(J1225,4)="복습대기", LEFT(J1225,3)="복습1", LEFT(J1225,3)="복습2"), MAX($M$3:M1224)+1, "")</f>
        <v/>
      </c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</row>
    <row r="1226" ht="21.75" customHeight="1" s="209">
      <c r="A1226" s="112" t="n"/>
      <c r="B1226" s="159" t="n"/>
      <c r="C1226" s="159" t="n"/>
      <c r="D1226" s="8" t="n"/>
      <c r="E1226" s="8" t="n"/>
      <c r="F1226" s="160" t="n"/>
      <c r="G1226" s="161" t="n"/>
      <c r="H1226" s="161" t="n"/>
      <c r="I1226" s="161" t="n"/>
      <c r="J1226" s="162">
        <f>IF(OR(ISNUMBER(SEARCH("보류",K1226)),ISNUMBER(SEARCH("미룸",K1226)),ISNUMBER(SEARCH("나중에",K1226)),ISNUMBER(SEARCH("보류",L1226)),ISNUMBER(SEARCH("미룸",L1226)),ISNUMBER(SEARCH("나중에",L1226))),"보류(나중에 풀기)",IF(AND(F1226="",G1226="",H1226="",I1226=""),"미완료",IF(I1226&lt;&gt;"","복습3(마스터)",IF(H1226&lt;&gt;"","복습2",IF(G1226&lt;&gt;"","복습1",IF(ISNUMBER(SEARCH("제미나이",K1226)),"복습대기(AI도움)",IF(ISNUMBER(SEARCH("간당간당",K1226)),"복습대기(간당간당)",IF(OR(ISNUMBER(SEARCH("아이디어",K1226)),ISNUMBER(SEARCH("시간초과",K1226)),ISNUMBER(SEARCH("자료구조",K1226)),ISNUMBER(SEARCH("경계값",K1226)),ISNUMBER(SEARCH("다른 풀이",K1226)),ISNUMBER(SEARCH("또풀기",K1226))),"복습대기",IF(OR(ISNUMBER(SEARCH("복습필요없음",K1226)),ISNUMBER(SEARCH("자력완벽",K1226))),"품(복습불필요)",IF(F1226&lt;&gt;"","품","미완료"))))))))))</f>
        <v/>
      </c>
      <c r="K1226" s="283" t="n"/>
      <c r="L1226" s="8" t="n"/>
      <c r="M1226" s="8">
        <f>IF(OR(LEFT(J1226,2)="보류", LEFT(J1226,4)="복습대기", LEFT(J1226,3)="복습1", LEFT(J1226,3)="복습2"), MAX($M$3:M1225)+1, "")</f>
        <v/>
      </c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</row>
    <row r="1227" ht="21.75" customHeight="1" s="209">
      <c r="A1227" s="112" t="n"/>
      <c r="B1227" s="159" t="n"/>
      <c r="C1227" s="159" t="n"/>
      <c r="D1227" s="8" t="n"/>
      <c r="E1227" s="8" t="n"/>
      <c r="F1227" s="160" t="n"/>
      <c r="G1227" s="161" t="n"/>
      <c r="H1227" s="161" t="n"/>
      <c r="I1227" s="161" t="n"/>
      <c r="J1227" s="162">
        <f>IF(OR(ISNUMBER(SEARCH("보류",K1227)),ISNUMBER(SEARCH("미룸",K1227)),ISNUMBER(SEARCH("나중에",K1227)),ISNUMBER(SEARCH("보류",L1227)),ISNUMBER(SEARCH("미룸",L1227)),ISNUMBER(SEARCH("나중에",L1227))),"보류(나중에 풀기)",IF(AND(F1227="",G1227="",H1227="",I1227=""),"미완료",IF(I1227&lt;&gt;"","복습3(마스터)",IF(H1227&lt;&gt;"","복습2",IF(G1227&lt;&gt;"","복습1",IF(ISNUMBER(SEARCH("제미나이",K1227)),"복습대기(AI도움)",IF(ISNUMBER(SEARCH("간당간당",K1227)),"복습대기(간당간당)",IF(OR(ISNUMBER(SEARCH("아이디어",K1227)),ISNUMBER(SEARCH("시간초과",K1227)),ISNUMBER(SEARCH("자료구조",K1227)),ISNUMBER(SEARCH("경계값",K1227)),ISNUMBER(SEARCH("다른 풀이",K1227)),ISNUMBER(SEARCH("또풀기",K1227))),"복습대기",IF(OR(ISNUMBER(SEARCH("복습필요없음",K1227)),ISNUMBER(SEARCH("자력완벽",K1227))),"품(복습불필요)",IF(F1227&lt;&gt;"","품","미완료"))))))))))</f>
        <v/>
      </c>
      <c r="K1227" s="283" t="n"/>
      <c r="L1227" s="8" t="n"/>
      <c r="M1227" s="8">
        <f>IF(OR(LEFT(J1227,2)="보류", LEFT(J1227,4)="복습대기", LEFT(J1227,3)="복습1", LEFT(J1227,3)="복습2"), MAX($M$3:M1226)+1, "")</f>
        <v/>
      </c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</row>
    <row r="1228" ht="21.75" customHeight="1" s="209">
      <c r="A1228" s="112" t="n"/>
      <c r="B1228" s="159" t="n"/>
      <c r="C1228" s="159" t="n"/>
      <c r="D1228" s="8" t="n"/>
      <c r="E1228" s="8" t="n"/>
      <c r="F1228" s="160" t="n"/>
      <c r="G1228" s="161" t="n"/>
      <c r="H1228" s="161" t="n"/>
      <c r="I1228" s="161" t="n"/>
      <c r="J1228" s="162">
        <f>IF(OR(ISNUMBER(SEARCH("보류",K1228)),ISNUMBER(SEARCH("미룸",K1228)),ISNUMBER(SEARCH("나중에",K1228)),ISNUMBER(SEARCH("보류",L1228)),ISNUMBER(SEARCH("미룸",L1228)),ISNUMBER(SEARCH("나중에",L1228))),"보류(나중에 풀기)",IF(AND(F1228="",G1228="",H1228="",I1228=""),"미완료",IF(I1228&lt;&gt;"","복습3(마스터)",IF(H1228&lt;&gt;"","복습2",IF(G1228&lt;&gt;"","복습1",IF(ISNUMBER(SEARCH("제미나이",K1228)),"복습대기(AI도움)",IF(ISNUMBER(SEARCH("간당간당",K1228)),"복습대기(간당간당)",IF(OR(ISNUMBER(SEARCH("아이디어",K1228)),ISNUMBER(SEARCH("시간초과",K1228)),ISNUMBER(SEARCH("자료구조",K1228)),ISNUMBER(SEARCH("경계값",K1228)),ISNUMBER(SEARCH("다른 풀이",K1228)),ISNUMBER(SEARCH("또풀기",K1228))),"복습대기",IF(OR(ISNUMBER(SEARCH("복습필요없음",K1228)),ISNUMBER(SEARCH("자력완벽",K1228))),"품(복습불필요)",IF(F1228&lt;&gt;"","품","미완료"))))))))))</f>
        <v/>
      </c>
      <c r="K1228" s="283" t="n"/>
      <c r="L1228" s="8" t="n"/>
      <c r="M1228" s="8">
        <f>IF(OR(LEFT(J1228,2)="보류", LEFT(J1228,4)="복습대기", LEFT(J1228,3)="복습1", LEFT(J1228,3)="복습2"), MAX($M$3:M1227)+1, "")</f>
        <v/>
      </c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</row>
    <row r="1229" ht="21.75" customHeight="1" s="209">
      <c r="A1229" s="112" t="n"/>
      <c r="B1229" s="159" t="n"/>
      <c r="C1229" s="159" t="n"/>
      <c r="D1229" s="8" t="n"/>
      <c r="E1229" s="8" t="n"/>
      <c r="F1229" s="160" t="n"/>
      <c r="G1229" s="161" t="n"/>
      <c r="H1229" s="161" t="n"/>
      <c r="I1229" s="161" t="n"/>
      <c r="J1229" s="162">
        <f>IF(OR(ISNUMBER(SEARCH("보류",K1229)),ISNUMBER(SEARCH("미룸",K1229)),ISNUMBER(SEARCH("나중에",K1229)),ISNUMBER(SEARCH("보류",L1229)),ISNUMBER(SEARCH("미룸",L1229)),ISNUMBER(SEARCH("나중에",L1229))),"보류(나중에 풀기)",IF(AND(F1229="",G1229="",H1229="",I1229=""),"미완료",IF(I1229&lt;&gt;"","복습3(마스터)",IF(H1229&lt;&gt;"","복습2",IF(G1229&lt;&gt;"","복습1",IF(ISNUMBER(SEARCH("제미나이",K1229)),"복습대기(AI도움)",IF(ISNUMBER(SEARCH("간당간당",K1229)),"복습대기(간당간당)",IF(OR(ISNUMBER(SEARCH("아이디어",K1229)),ISNUMBER(SEARCH("시간초과",K1229)),ISNUMBER(SEARCH("자료구조",K1229)),ISNUMBER(SEARCH("경계값",K1229)),ISNUMBER(SEARCH("다른 풀이",K1229)),ISNUMBER(SEARCH("또풀기",K1229))),"복습대기",IF(OR(ISNUMBER(SEARCH("복습필요없음",K1229)),ISNUMBER(SEARCH("자력완벽",K1229))),"품(복습불필요)",IF(F1229&lt;&gt;"","품","미완료"))))))))))</f>
        <v/>
      </c>
      <c r="K1229" s="283" t="n"/>
      <c r="L1229" s="8" t="n"/>
      <c r="M1229" s="8">
        <f>IF(OR(LEFT(J1229,2)="보류", LEFT(J1229,4)="복습대기", LEFT(J1229,3)="복습1", LEFT(J1229,3)="복습2"), MAX($M$3:M1228)+1, "")</f>
        <v/>
      </c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</row>
    <row r="1230" ht="21.75" customHeight="1" s="209">
      <c r="A1230" s="112" t="n"/>
      <c r="B1230" s="159" t="n"/>
      <c r="C1230" s="159" t="n"/>
      <c r="D1230" s="8" t="n"/>
      <c r="E1230" s="8" t="n"/>
      <c r="F1230" s="160" t="n"/>
      <c r="G1230" s="161" t="n"/>
      <c r="H1230" s="161" t="n"/>
      <c r="I1230" s="161" t="n"/>
      <c r="J1230" s="162">
        <f>IF(OR(ISNUMBER(SEARCH("보류",K1230)),ISNUMBER(SEARCH("미룸",K1230)),ISNUMBER(SEARCH("나중에",K1230)),ISNUMBER(SEARCH("보류",L1230)),ISNUMBER(SEARCH("미룸",L1230)),ISNUMBER(SEARCH("나중에",L1230))),"보류(나중에 풀기)",IF(AND(F1230="",G1230="",H1230="",I1230=""),"미완료",IF(I1230&lt;&gt;"","복습3(마스터)",IF(H1230&lt;&gt;"","복습2",IF(G1230&lt;&gt;"","복습1",IF(ISNUMBER(SEARCH("제미나이",K1230)),"복습대기(AI도움)",IF(ISNUMBER(SEARCH("간당간당",K1230)),"복습대기(간당간당)",IF(OR(ISNUMBER(SEARCH("아이디어",K1230)),ISNUMBER(SEARCH("시간초과",K1230)),ISNUMBER(SEARCH("자료구조",K1230)),ISNUMBER(SEARCH("경계값",K1230)),ISNUMBER(SEARCH("다른 풀이",K1230)),ISNUMBER(SEARCH("또풀기",K1230))),"복습대기",IF(OR(ISNUMBER(SEARCH("복습필요없음",K1230)),ISNUMBER(SEARCH("자력완벽",K1230))),"품(복습불필요)",IF(F1230&lt;&gt;"","품","미완료"))))))))))</f>
        <v/>
      </c>
      <c r="K1230" s="283" t="n"/>
      <c r="L1230" s="8" t="n"/>
      <c r="M1230" s="8">
        <f>IF(OR(LEFT(J1230,2)="보류", LEFT(J1230,4)="복습대기", LEFT(J1230,3)="복습1", LEFT(J1230,3)="복습2"), MAX($M$3:M1229)+1, "")</f>
        <v/>
      </c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</row>
    <row r="1231" ht="21.75" customHeight="1" s="209">
      <c r="A1231" s="112" t="n"/>
      <c r="B1231" s="159" t="n"/>
      <c r="C1231" s="159" t="n"/>
      <c r="D1231" s="8" t="n"/>
      <c r="E1231" s="8" t="n"/>
      <c r="F1231" s="160" t="n"/>
      <c r="G1231" s="161" t="n"/>
      <c r="H1231" s="161" t="n"/>
      <c r="I1231" s="161" t="n"/>
      <c r="J1231" s="162">
        <f>IF(OR(ISNUMBER(SEARCH("보류",K1231)),ISNUMBER(SEARCH("미룸",K1231)),ISNUMBER(SEARCH("나중에",K1231)),ISNUMBER(SEARCH("보류",L1231)),ISNUMBER(SEARCH("미룸",L1231)),ISNUMBER(SEARCH("나중에",L1231))),"보류(나중에 풀기)",IF(AND(F1231="",G1231="",H1231="",I1231=""),"미완료",IF(I1231&lt;&gt;"","복습3(마스터)",IF(H1231&lt;&gt;"","복습2",IF(G1231&lt;&gt;"","복습1",IF(ISNUMBER(SEARCH("제미나이",K1231)),"복습대기(AI도움)",IF(ISNUMBER(SEARCH("간당간당",K1231)),"복습대기(간당간당)",IF(OR(ISNUMBER(SEARCH("아이디어",K1231)),ISNUMBER(SEARCH("시간초과",K1231)),ISNUMBER(SEARCH("자료구조",K1231)),ISNUMBER(SEARCH("경계값",K1231)),ISNUMBER(SEARCH("다른 풀이",K1231)),ISNUMBER(SEARCH("또풀기",K1231))),"복습대기",IF(OR(ISNUMBER(SEARCH("복습필요없음",K1231)),ISNUMBER(SEARCH("자력완벽",K1231))),"품(복습불필요)",IF(F1231&lt;&gt;"","품","미완료"))))))))))</f>
        <v/>
      </c>
      <c r="K1231" s="283" t="n"/>
      <c r="L1231" s="8" t="n"/>
      <c r="M1231" s="8">
        <f>IF(OR(LEFT(J1231,2)="보류", LEFT(J1231,4)="복습대기", LEFT(J1231,3)="복습1", LEFT(J1231,3)="복습2"), MAX($M$3:M1230)+1, "")</f>
        <v/>
      </c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</row>
    <row r="1232" ht="21.75" customHeight="1" s="209">
      <c r="A1232" s="112" t="n"/>
      <c r="B1232" s="159" t="n"/>
      <c r="C1232" s="159" t="n"/>
      <c r="D1232" s="8" t="n"/>
      <c r="E1232" s="8" t="n"/>
      <c r="F1232" s="160" t="n"/>
      <c r="G1232" s="161" t="n"/>
      <c r="H1232" s="161" t="n"/>
      <c r="I1232" s="161" t="n"/>
      <c r="J1232" s="162">
        <f>IF(OR(ISNUMBER(SEARCH("보류",K1232)),ISNUMBER(SEARCH("미룸",K1232)),ISNUMBER(SEARCH("나중에",K1232)),ISNUMBER(SEARCH("보류",L1232)),ISNUMBER(SEARCH("미룸",L1232)),ISNUMBER(SEARCH("나중에",L1232))),"보류(나중에 풀기)",IF(AND(F1232="",G1232="",H1232="",I1232=""),"미완료",IF(I1232&lt;&gt;"","복습3(마스터)",IF(H1232&lt;&gt;"","복습2",IF(G1232&lt;&gt;"","복습1",IF(ISNUMBER(SEARCH("제미나이",K1232)),"복습대기(AI도움)",IF(ISNUMBER(SEARCH("간당간당",K1232)),"복습대기(간당간당)",IF(OR(ISNUMBER(SEARCH("아이디어",K1232)),ISNUMBER(SEARCH("시간초과",K1232)),ISNUMBER(SEARCH("자료구조",K1232)),ISNUMBER(SEARCH("경계값",K1232)),ISNUMBER(SEARCH("다른 풀이",K1232)),ISNUMBER(SEARCH("또풀기",K1232))),"복습대기",IF(OR(ISNUMBER(SEARCH("복습필요없음",K1232)),ISNUMBER(SEARCH("자력완벽",K1232))),"품(복습불필요)",IF(F1232&lt;&gt;"","품","미완료"))))))))))</f>
        <v/>
      </c>
      <c r="K1232" s="283" t="n"/>
      <c r="L1232" s="8" t="n"/>
      <c r="M1232" s="8">
        <f>IF(OR(LEFT(J1232,2)="보류", LEFT(J1232,4)="복습대기", LEFT(J1232,3)="복습1", LEFT(J1232,3)="복습2"), MAX($M$3:M1231)+1, "")</f>
        <v/>
      </c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</row>
    <row r="1233" ht="21.75" customHeight="1" s="209">
      <c r="A1233" s="112" t="n"/>
      <c r="B1233" s="159" t="n"/>
      <c r="C1233" s="159" t="n"/>
      <c r="D1233" s="8" t="n"/>
      <c r="E1233" s="8" t="n"/>
      <c r="F1233" s="160" t="n"/>
      <c r="G1233" s="161" t="n"/>
      <c r="H1233" s="161" t="n"/>
      <c r="I1233" s="161" t="n"/>
      <c r="J1233" s="162">
        <f>IF(OR(ISNUMBER(SEARCH("보류",K1233)),ISNUMBER(SEARCH("미룸",K1233)),ISNUMBER(SEARCH("나중에",K1233)),ISNUMBER(SEARCH("보류",L1233)),ISNUMBER(SEARCH("미룸",L1233)),ISNUMBER(SEARCH("나중에",L1233))),"보류(나중에 풀기)",IF(AND(F1233="",G1233="",H1233="",I1233=""),"미완료",IF(I1233&lt;&gt;"","복습3(마스터)",IF(H1233&lt;&gt;"","복습2",IF(G1233&lt;&gt;"","복습1",IF(ISNUMBER(SEARCH("제미나이",K1233)),"복습대기(AI도움)",IF(ISNUMBER(SEARCH("간당간당",K1233)),"복습대기(간당간당)",IF(OR(ISNUMBER(SEARCH("아이디어",K1233)),ISNUMBER(SEARCH("시간초과",K1233)),ISNUMBER(SEARCH("자료구조",K1233)),ISNUMBER(SEARCH("경계값",K1233)),ISNUMBER(SEARCH("다른 풀이",K1233)),ISNUMBER(SEARCH("또풀기",K1233))),"복습대기",IF(OR(ISNUMBER(SEARCH("복습필요없음",K1233)),ISNUMBER(SEARCH("자력완벽",K1233))),"품(복습불필요)",IF(F1233&lt;&gt;"","품","미완료"))))))))))</f>
        <v/>
      </c>
      <c r="K1233" s="283" t="n"/>
      <c r="L1233" s="8" t="n"/>
      <c r="M1233" s="8">
        <f>IF(OR(LEFT(J1233,2)="보류", LEFT(J1233,4)="복습대기", LEFT(J1233,3)="복습1", LEFT(J1233,3)="복습2"), MAX($M$3:M1232)+1, "")</f>
        <v/>
      </c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</row>
    <row r="1234" ht="21.75" customHeight="1" s="209">
      <c r="A1234" s="112" t="n"/>
      <c r="B1234" s="159" t="n"/>
      <c r="C1234" s="159" t="n"/>
      <c r="D1234" s="8" t="n"/>
      <c r="E1234" s="8" t="n"/>
      <c r="F1234" s="160" t="n"/>
      <c r="G1234" s="161" t="n"/>
      <c r="H1234" s="161" t="n"/>
      <c r="I1234" s="161" t="n"/>
      <c r="J1234" s="162">
        <f>IF(OR(ISNUMBER(SEARCH("보류",K1234)),ISNUMBER(SEARCH("미룸",K1234)),ISNUMBER(SEARCH("나중에",K1234)),ISNUMBER(SEARCH("보류",L1234)),ISNUMBER(SEARCH("미룸",L1234)),ISNUMBER(SEARCH("나중에",L1234))),"보류(나중에 풀기)",IF(AND(F1234="",G1234="",H1234="",I1234=""),"미완료",IF(I1234&lt;&gt;"","복습3(마스터)",IF(H1234&lt;&gt;"","복습2",IF(G1234&lt;&gt;"","복습1",IF(ISNUMBER(SEARCH("제미나이",K1234)),"복습대기(AI도움)",IF(ISNUMBER(SEARCH("간당간당",K1234)),"복습대기(간당간당)",IF(OR(ISNUMBER(SEARCH("아이디어",K1234)),ISNUMBER(SEARCH("시간초과",K1234)),ISNUMBER(SEARCH("자료구조",K1234)),ISNUMBER(SEARCH("경계값",K1234)),ISNUMBER(SEARCH("다른 풀이",K1234)),ISNUMBER(SEARCH("또풀기",K1234))),"복습대기",IF(OR(ISNUMBER(SEARCH("복습필요없음",K1234)),ISNUMBER(SEARCH("자력완벽",K1234))),"품(복습불필요)",IF(F1234&lt;&gt;"","품","미완료"))))))))))</f>
        <v/>
      </c>
      <c r="K1234" s="283" t="n"/>
      <c r="L1234" s="8" t="n"/>
      <c r="M1234" s="8">
        <f>IF(OR(LEFT(J1234,2)="보류", LEFT(J1234,4)="복습대기", LEFT(J1234,3)="복습1", LEFT(J1234,3)="복습2"), MAX($M$3:M1233)+1, "")</f>
        <v/>
      </c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</row>
    <row r="1235" ht="21.75" customHeight="1" s="209">
      <c r="A1235" s="112" t="n"/>
      <c r="B1235" s="159" t="n"/>
      <c r="C1235" s="159" t="n"/>
      <c r="D1235" s="8" t="n"/>
      <c r="E1235" s="8" t="n"/>
      <c r="F1235" s="160" t="n"/>
      <c r="G1235" s="161" t="n"/>
      <c r="H1235" s="161" t="n"/>
      <c r="I1235" s="161" t="n"/>
      <c r="J1235" s="162">
        <f>IF(OR(ISNUMBER(SEARCH("보류",K1235)),ISNUMBER(SEARCH("미룸",K1235)),ISNUMBER(SEARCH("나중에",K1235)),ISNUMBER(SEARCH("보류",L1235)),ISNUMBER(SEARCH("미룸",L1235)),ISNUMBER(SEARCH("나중에",L1235))),"보류(나중에 풀기)",IF(AND(F1235="",G1235="",H1235="",I1235=""),"미완료",IF(I1235&lt;&gt;"","복습3(마스터)",IF(H1235&lt;&gt;"","복습2",IF(G1235&lt;&gt;"","복습1",IF(ISNUMBER(SEARCH("제미나이",K1235)),"복습대기(AI도움)",IF(ISNUMBER(SEARCH("간당간당",K1235)),"복습대기(간당간당)",IF(OR(ISNUMBER(SEARCH("아이디어",K1235)),ISNUMBER(SEARCH("시간초과",K1235)),ISNUMBER(SEARCH("자료구조",K1235)),ISNUMBER(SEARCH("경계값",K1235)),ISNUMBER(SEARCH("다른 풀이",K1235)),ISNUMBER(SEARCH("또풀기",K1235))),"복습대기",IF(OR(ISNUMBER(SEARCH("복습필요없음",K1235)),ISNUMBER(SEARCH("자력완벽",K1235))),"품(복습불필요)",IF(F1235&lt;&gt;"","품","미완료"))))))))))</f>
        <v/>
      </c>
      <c r="K1235" s="283" t="n"/>
      <c r="L1235" s="8" t="n"/>
      <c r="M1235" s="8">
        <f>IF(OR(LEFT(J1235,2)="보류", LEFT(J1235,4)="복습대기", LEFT(J1235,3)="복습1", LEFT(J1235,3)="복습2"), MAX($M$3:M1234)+1, "")</f>
        <v/>
      </c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</row>
    <row r="1236" ht="21.75" customHeight="1" s="209">
      <c r="A1236" s="112" t="n"/>
      <c r="B1236" s="159" t="n"/>
      <c r="C1236" s="159" t="n"/>
      <c r="D1236" s="8" t="n"/>
      <c r="E1236" s="8" t="n"/>
      <c r="F1236" s="160" t="n"/>
      <c r="G1236" s="161" t="n"/>
      <c r="H1236" s="161" t="n"/>
      <c r="I1236" s="161" t="n"/>
      <c r="J1236" s="162">
        <f>IF(OR(ISNUMBER(SEARCH("보류",K1236)),ISNUMBER(SEARCH("미룸",K1236)),ISNUMBER(SEARCH("나중에",K1236)),ISNUMBER(SEARCH("보류",L1236)),ISNUMBER(SEARCH("미룸",L1236)),ISNUMBER(SEARCH("나중에",L1236))),"보류(나중에 풀기)",IF(AND(F1236="",G1236="",H1236="",I1236=""),"미완료",IF(I1236&lt;&gt;"","복습3(마스터)",IF(H1236&lt;&gt;"","복습2",IF(G1236&lt;&gt;"","복습1",IF(ISNUMBER(SEARCH("제미나이",K1236)),"복습대기(AI도움)",IF(ISNUMBER(SEARCH("간당간당",K1236)),"복습대기(간당간당)",IF(OR(ISNUMBER(SEARCH("아이디어",K1236)),ISNUMBER(SEARCH("시간초과",K1236)),ISNUMBER(SEARCH("자료구조",K1236)),ISNUMBER(SEARCH("경계값",K1236)),ISNUMBER(SEARCH("다른 풀이",K1236)),ISNUMBER(SEARCH("또풀기",K1236))),"복습대기",IF(OR(ISNUMBER(SEARCH("복습필요없음",K1236)),ISNUMBER(SEARCH("자력완벽",K1236))),"품(복습불필요)",IF(F1236&lt;&gt;"","품","미완료"))))))))))</f>
        <v/>
      </c>
      <c r="K1236" s="283" t="n"/>
      <c r="L1236" s="8" t="n"/>
      <c r="M1236" s="8">
        <f>IF(OR(LEFT(J1236,2)="보류", LEFT(J1236,4)="복습대기", LEFT(J1236,3)="복습1", LEFT(J1236,3)="복습2"), MAX($M$3:M1235)+1, "")</f>
        <v/>
      </c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</row>
    <row r="1237" ht="21.75" customHeight="1" s="209">
      <c r="A1237" s="112" t="n"/>
      <c r="B1237" s="159" t="n"/>
      <c r="C1237" s="159" t="n"/>
      <c r="D1237" s="8" t="n"/>
      <c r="E1237" s="8" t="n"/>
      <c r="F1237" s="160" t="n"/>
      <c r="G1237" s="161" t="n"/>
      <c r="H1237" s="161" t="n"/>
      <c r="I1237" s="161" t="n"/>
      <c r="J1237" s="162">
        <f>IF(OR(ISNUMBER(SEARCH("보류",K1237)),ISNUMBER(SEARCH("미룸",K1237)),ISNUMBER(SEARCH("나중에",K1237)),ISNUMBER(SEARCH("보류",L1237)),ISNUMBER(SEARCH("미룸",L1237)),ISNUMBER(SEARCH("나중에",L1237))),"보류(나중에 풀기)",IF(AND(F1237="",G1237="",H1237="",I1237=""),"미완료",IF(I1237&lt;&gt;"","복습3(마스터)",IF(H1237&lt;&gt;"","복습2",IF(G1237&lt;&gt;"","복습1",IF(ISNUMBER(SEARCH("제미나이",K1237)),"복습대기(AI도움)",IF(ISNUMBER(SEARCH("간당간당",K1237)),"복습대기(간당간당)",IF(OR(ISNUMBER(SEARCH("아이디어",K1237)),ISNUMBER(SEARCH("시간초과",K1237)),ISNUMBER(SEARCH("자료구조",K1237)),ISNUMBER(SEARCH("경계값",K1237)),ISNUMBER(SEARCH("다른 풀이",K1237)),ISNUMBER(SEARCH("또풀기",K1237))),"복습대기",IF(OR(ISNUMBER(SEARCH("복습필요없음",K1237)),ISNUMBER(SEARCH("자력완벽",K1237))),"품(복습불필요)",IF(F1237&lt;&gt;"","품","미완료"))))))))))</f>
        <v/>
      </c>
      <c r="K1237" s="283" t="n"/>
      <c r="L1237" s="8" t="n"/>
      <c r="M1237" s="8">
        <f>IF(OR(LEFT(J1237,2)="보류", LEFT(J1237,4)="복습대기", LEFT(J1237,3)="복습1", LEFT(J1237,3)="복습2"), MAX($M$3:M1236)+1, "")</f>
        <v/>
      </c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</row>
    <row r="1238" ht="21.75" customHeight="1" s="209">
      <c r="A1238" s="112" t="n"/>
      <c r="B1238" s="159" t="n"/>
      <c r="C1238" s="159" t="n"/>
      <c r="D1238" s="8" t="n"/>
      <c r="E1238" s="8" t="n"/>
      <c r="F1238" s="160" t="n"/>
      <c r="G1238" s="161" t="n"/>
      <c r="H1238" s="161" t="n"/>
      <c r="I1238" s="161" t="n"/>
      <c r="J1238" s="162">
        <f>IF(OR(ISNUMBER(SEARCH("보류",K1238)),ISNUMBER(SEARCH("미룸",K1238)),ISNUMBER(SEARCH("나중에",K1238)),ISNUMBER(SEARCH("보류",L1238)),ISNUMBER(SEARCH("미룸",L1238)),ISNUMBER(SEARCH("나중에",L1238))),"보류(나중에 풀기)",IF(AND(F1238="",G1238="",H1238="",I1238=""),"미완료",IF(I1238&lt;&gt;"","복습3(마스터)",IF(H1238&lt;&gt;"","복습2",IF(G1238&lt;&gt;"","복습1",IF(ISNUMBER(SEARCH("제미나이",K1238)),"복습대기(AI도움)",IF(ISNUMBER(SEARCH("간당간당",K1238)),"복습대기(간당간당)",IF(OR(ISNUMBER(SEARCH("아이디어",K1238)),ISNUMBER(SEARCH("시간초과",K1238)),ISNUMBER(SEARCH("자료구조",K1238)),ISNUMBER(SEARCH("경계값",K1238)),ISNUMBER(SEARCH("다른 풀이",K1238)),ISNUMBER(SEARCH("또풀기",K1238))),"복습대기",IF(OR(ISNUMBER(SEARCH("복습필요없음",K1238)),ISNUMBER(SEARCH("자력완벽",K1238))),"품(복습불필요)",IF(F1238&lt;&gt;"","품","미완료"))))))))))</f>
        <v/>
      </c>
      <c r="K1238" s="283" t="n"/>
      <c r="L1238" s="8" t="n"/>
      <c r="M1238" s="8">
        <f>IF(OR(LEFT(J1238,2)="보류", LEFT(J1238,4)="복습대기", LEFT(J1238,3)="복습1", LEFT(J1238,3)="복습2"), MAX($M$3:M1237)+1, "")</f>
        <v/>
      </c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</row>
    <row r="1239" ht="21.75" customHeight="1" s="209">
      <c r="A1239" s="112" t="n"/>
      <c r="B1239" s="159" t="n"/>
      <c r="C1239" s="159" t="n"/>
      <c r="D1239" s="8" t="n"/>
      <c r="E1239" s="8" t="n"/>
      <c r="F1239" s="160" t="n"/>
      <c r="G1239" s="161" t="n"/>
      <c r="H1239" s="161" t="n"/>
      <c r="I1239" s="161" t="n"/>
      <c r="J1239" s="162">
        <f>IF(OR(ISNUMBER(SEARCH("보류",K1239)),ISNUMBER(SEARCH("미룸",K1239)),ISNUMBER(SEARCH("나중에",K1239)),ISNUMBER(SEARCH("보류",L1239)),ISNUMBER(SEARCH("미룸",L1239)),ISNUMBER(SEARCH("나중에",L1239))),"보류(나중에 풀기)",IF(AND(F1239="",G1239="",H1239="",I1239=""),"미완료",IF(I1239&lt;&gt;"","복습3(마스터)",IF(H1239&lt;&gt;"","복습2",IF(G1239&lt;&gt;"","복습1",IF(ISNUMBER(SEARCH("제미나이",K1239)),"복습대기(AI도움)",IF(ISNUMBER(SEARCH("간당간당",K1239)),"복습대기(간당간당)",IF(OR(ISNUMBER(SEARCH("아이디어",K1239)),ISNUMBER(SEARCH("시간초과",K1239)),ISNUMBER(SEARCH("자료구조",K1239)),ISNUMBER(SEARCH("경계값",K1239)),ISNUMBER(SEARCH("다른 풀이",K1239)),ISNUMBER(SEARCH("또풀기",K1239))),"복습대기",IF(OR(ISNUMBER(SEARCH("복습필요없음",K1239)),ISNUMBER(SEARCH("자력완벽",K1239))),"품(복습불필요)",IF(F1239&lt;&gt;"","품","미완료"))))))))))</f>
        <v/>
      </c>
      <c r="K1239" s="283" t="n"/>
      <c r="L1239" s="8" t="n"/>
      <c r="M1239" s="8">
        <f>IF(OR(LEFT(J1239,2)="보류", LEFT(J1239,4)="복습대기", LEFT(J1239,3)="복습1", LEFT(J1239,3)="복습2"), MAX($M$3:M1238)+1, "")</f>
        <v/>
      </c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</row>
    <row r="1240" ht="21.75" customHeight="1" s="209">
      <c r="A1240" s="112" t="n"/>
      <c r="B1240" s="159" t="n"/>
      <c r="C1240" s="159" t="n"/>
      <c r="D1240" s="8" t="n"/>
      <c r="E1240" s="8" t="n"/>
      <c r="F1240" s="160" t="n"/>
      <c r="G1240" s="161" t="n"/>
      <c r="H1240" s="161" t="n"/>
      <c r="I1240" s="161" t="n"/>
      <c r="J1240" s="162">
        <f>IF(OR(ISNUMBER(SEARCH("보류",K1240)),ISNUMBER(SEARCH("미룸",K1240)),ISNUMBER(SEARCH("나중에",K1240)),ISNUMBER(SEARCH("보류",L1240)),ISNUMBER(SEARCH("미룸",L1240)),ISNUMBER(SEARCH("나중에",L1240))),"보류(나중에 풀기)",IF(AND(F1240="",G1240="",H1240="",I1240=""),"미완료",IF(I1240&lt;&gt;"","복습3(마스터)",IF(H1240&lt;&gt;"","복습2",IF(G1240&lt;&gt;"","복습1",IF(ISNUMBER(SEARCH("제미나이",K1240)),"복습대기(AI도움)",IF(ISNUMBER(SEARCH("간당간당",K1240)),"복습대기(간당간당)",IF(OR(ISNUMBER(SEARCH("아이디어",K1240)),ISNUMBER(SEARCH("시간초과",K1240)),ISNUMBER(SEARCH("자료구조",K1240)),ISNUMBER(SEARCH("경계값",K1240)),ISNUMBER(SEARCH("다른 풀이",K1240)),ISNUMBER(SEARCH("또풀기",K1240))),"복습대기",IF(OR(ISNUMBER(SEARCH("복습필요없음",K1240)),ISNUMBER(SEARCH("자력완벽",K1240))),"품(복습불필요)",IF(F1240&lt;&gt;"","품","미완료"))))))))))</f>
        <v/>
      </c>
      <c r="K1240" s="283" t="n"/>
      <c r="L1240" s="8" t="n"/>
      <c r="M1240" s="8">
        <f>IF(OR(LEFT(J1240,2)="보류", LEFT(J1240,4)="복습대기", LEFT(J1240,3)="복습1", LEFT(J1240,3)="복습2"), MAX($M$3:M1239)+1, "")</f>
        <v/>
      </c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</row>
    <row r="1241" ht="21.75" customHeight="1" s="209">
      <c r="A1241" s="112" t="n"/>
      <c r="B1241" s="159" t="n"/>
      <c r="C1241" s="159" t="n"/>
      <c r="D1241" s="8" t="n"/>
      <c r="E1241" s="8" t="n"/>
      <c r="F1241" s="160" t="n"/>
      <c r="G1241" s="161" t="n"/>
      <c r="H1241" s="161" t="n"/>
      <c r="I1241" s="161" t="n"/>
      <c r="J1241" s="162">
        <f>IF(OR(ISNUMBER(SEARCH("보류",K1241)),ISNUMBER(SEARCH("미룸",K1241)),ISNUMBER(SEARCH("나중에",K1241)),ISNUMBER(SEARCH("보류",L1241)),ISNUMBER(SEARCH("미룸",L1241)),ISNUMBER(SEARCH("나중에",L1241))),"보류(나중에 풀기)",IF(AND(F1241="",G1241="",H1241="",I1241=""),"미완료",IF(I1241&lt;&gt;"","복습3(마스터)",IF(H1241&lt;&gt;"","복습2",IF(G1241&lt;&gt;"","복습1",IF(ISNUMBER(SEARCH("제미나이",K1241)),"복습대기(AI도움)",IF(ISNUMBER(SEARCH("간당간당",K1241)),"복습대기(간당간당)",IF(OR(ISNUMBER(SEARCH("아이디어",K1241)),ISNUMBER(SEARCH("시간초과",K1241)),ISNUMBER(SEARCH("자료구조",K1241)),ISNUMBER(SEARCH("경계값",K1241)),ISNUMBER(SEARCH("다른 풀이",K1241)),ISNUMBER(SEARCH("또풀기",K1241))),"복습대기",IF(OR(ISNUMBER(SEARCH("복습필요없음",K1241)),ISNUMBER(SEARCH("자력완벽",K1241))),"품(복습불필요)",IF(F1241&lt;&gt;"","품","미완료"))))))))))</f>
        <v/>
      </c>
      <c r="K1241" s="283" t="n"/>
      <c r="L1241" s="8" t="n"/>
      <c r="M1241" s="8">
        <f>IF(OR(LEFT(J1241,2)="보류", LEFT(J1241,4)="복습대기", LEFT(J1241,3)="복습1", LEFT(J1241,3)="복습2"), MAX($M$3:M1240)+1, "")</f>
        <v/>
      </c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</row>
    <row r="1242" ht="21.75" customHeight="1" s="209">
      <c r="A1242" s="112" t="n"/>
      <c r="B1242" s="159" t="n"/>
      <c r="C1242" s="159" t="n"/>
      <c r="D1242" s="8" t="n"/>
      <c r="E1242" s="8" t="n"/>
      <c r="F1242" s="160" t="n"/>
      <c r="G1242" s="161" t="n"/>
      <c r="H1242" s="161" t="n"/>
      <c r="I1242" s="161" t="n"/>
      <c r="J1242" s="162">
        <f>IF(OR(ISNUMBER(SEARCH("보류",K1242)),ISNUMBER(SEARCH("미룸",K1242)),ISNUMBER(SEARCH("나중에",K1242)),ISNUMBER(SEARCH("보류",L1242)),ISNUMBER(SEARCH("미룸",L1242)),ISNUMBER(SEARCH("나중에",L1242))),"보류(나중에 풀기)",IF(AND(F1242="",G1242="",H1242="",I1242=""),"미완료",IF(I1242&lt;&gt;"","복습3(마스터)",IF(H1242&lt;&gt;"","복습2",IF(G1242&lt;&gt;"","복습1",IF(ISNUMBER(SEARCH("제미나이",K1242)),"복습대기(AI도움)",IF(ISNUMBER(SEARCH("간당간당",K1242)),"복습대기(간당간당)",IF(OR(ISNUMBER(SEARCH("아이디어",K1242)),ISNUMBER(SEARCH("시간초과",K1242)),ISNUMBER(SEARCH("자료구조",K1242)),ISNUMBER(SEARCH("경계값",K1242)),ISNUMBER(SEARCH("다른 풀이",K1242)),ISNUMBER(SEARCH("또풀기",K1242))),"복습대기",IF(OR(ISNUMBER(SEARCH("복습필요없음",K1242)),ISNUMBER(SEARCH("자력완벽",K1242))),"품(복습불필요)",IF(F1242&lt;&gt;"","품","미완료"))))))))))</f>
        <v/>
      </c>
      <c r="K1242" s="283" t="n"/>
      <c r="L1242" s="8" t="n"/>
      <c r="M1242" s="8">
        <f>IF(OR(LEFT(J1242,2)="보류", LEFT(J1242,4)="복습대기", LEFT(J1242,3)="복습1", LEFT(J1242,3)="복습2"), MAX($M$3:M1241)+1, "")</f>
        <v/>
      </c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</row>
    <row r="1243" ht="21.75" customHeight="1" s="209">
      <c r="A1243" s="112" t="n"/>
      <c r="B1243" s="159" t="n"/>
      <c r="C1243" s="159" t="n"/>
      <c r="D1243" s="8" t="n"/>
      <c r="E1243" s="8" t="n"/>
      <c r="F1243" s="160" t="n"/>
      <c r="G1243" s="161" t="n"/>
      <c r="H1243" s="161" t="n"/>
      <c r="I1243" s="161" t="n"/>
      <c r="J1243" s="162">
        <f>IF(OR(ISNUMBER(SEARCH("보류",K1243)),ISNUMBER(SEARCH("미룸",K1243)),ISNUMBER(SEARCH("나중에",K1243)),ISNUMBER(SEARCH("보류",L1243)),ISNUMBER(SEARCH("미룸",L1243)),ISNUMBER(SEARCH("나중에",L1243))),"보류(나중에 풀기)",IF(AND(F1243="",G1243="",H1243="",I1243=""),"미완료",IF(I1243&lt;&gt;"","복습3(마스터)",IF(H1243&lt;&gt;"","복습2",IF(G1243&lt;&gt;"","복습1",IF(ISNUMBER(SEARCH("제미나이",K1243)),"복습대기(AI도움)",IF(ISNUMBER(SEARCH("간당간당",K1243)),"복습대기(간당간당)",IF(OR(ISNUMBER(SEARCH("아이디어",K1243)),ISNUMBER(SEARCH("시간초과",K1243)),ISNUMBER(SEARCH("자료구조",K1243)),ISNUMBER(SEARCH("경계값",K1243)),ISNUMBER(SEARCH("다른 풀이",K1243)),ISNUMBER(SEARCH("또풀기",K1243))),"복습대기",IF(OR(ISNUMBER(SEARCH("복습필요없음",K1243)),ISNUMBER(SEARCH("자력완벽",K1243))),"품(복습불필요)",IF(F1243&lt;&gt;"","품","미완료"))))))))))</f>
        <v/>
      </c>
      <c r="K1243" s="283" t="n"/>
      <c r="L1243" s="8" t="n"/>
      <c r="M1243" s="8">
        <f>IF(OR(LEFT(J1243,2)="보류", LEFT(J1243,4)="복습대기", LEFT(J1243,3)="복습1", LEFT(J1243,3)="복습2"), MAX($M$3:M1242)+1, "")</f>
        <v/>
      </c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</row>
    <row r="1244" ht="21.75" customHeight="1" s="209">
      <c r="A1244" s="112" t="n"/>
      <c r="B1244" s="159" t="n"/>
      <c r="C1244" s="159" t="n"/>
      <c r="D1244" s="8" t="n"/>
      <c r="E1244" s="8" t="n"/>
      <c r="F1244" s="160" t="n"/>
      <c r="G1244" s="161" t="n"/>
      <c r="H1244" s="161" t="n"/>
      <c r="I1244" s="161" t="n"/>
      <c r="J1244" s="162">
        <f>IF(OR(ISNUMBER(SEARCH("보류",K1244)),ISNUMBER(SEARCH("미룸",K1244)),ISNUMBER(SEARCH("나중에",K1244)),ISNUMBER(SEARCH("보류",L1244)),ISNUMBER(SEARCH("미룸",L1244)),ISNUMBER(SEARCH("나중에",L1244))),"보류(나중에 풀기)",IF(AND(F1244="",G1244="",H1244="",I1244=""),"미완료",IF(I1244&lt;&gt;"","복습3(마스터)",IF(H1244&lt;&gt;"","복습2",IF(G1244&lt;&gt;"","복습1",IF(ISNUMBER(SEARCH("제미나이",K1244)),"복습대기(AI도움)",IF(ISNUMBER(SEARCH("간당간당",K1244)),"복습대기(간당간당)",IF(OR(ISNUMBER(SEARCH("아이디어",K1244)),ISNUMBER(SEARCH("시간초과",K1244)),ISNUMBER(SEARCH("자료구조",K1244)),ISNUMBER(SEARCH("경계값",K1244)),ISNUMBER(SEARCH("다른 풀이",K1244)),ISNUMBER(SEARCH("또풀기",K1244))),"복습대기",IF(OR(ISNUMBER(SEARCH("복습필요없음",K1244)),ISNUMBER(SEARCH("자력완벽",K1244))),"품(복습불필요)",IF(F1244&lt;&gt;"","품","미완료"))))))))))</f>
        <v/>
      </c>
      <c r="K1244" s="283" t="n"/>
      <c r="L1244" s="8" t="n"/>
      <c r="M1244" s="8">
        <f>IF(OR(LEFT(J1244,2)="보류", LEFT(J1244,4)="복습대기", LEFT(J1244,3)="복습1", LEFT(J1244,3)="복습2"), MAX($M$3:M1243)+1, "")</f>
        <v/>
      </c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</row>
    <row r="1245" ht="21.75" customHeight="1" s="209">
      <c r="A1245" s="112" t="n"/>
      <c r="B1245" s="159" t="n"/>
      <c r="C1245" s="159" t="n"/>
      <c r="D1245" s="8" t="n"/>
      <c r="E1245" s="8" t="n"/>
      <c r="F1245" s="160" t="n"/>
      <c r="G1245" s="161" t="n"/>
      <c r="H1245" s="161" t="n"/>
      <c r="I1245" s="161" t="n"/>
      <c r="J1245" s="162">
        <f>IF(OR(ISNUMBER(SEARCH("보류",K1245)),ISNUMBER(SEARCH("미룸",K1245)),ISNUMBER(SEARCH("나중에",K1245)),ISNUMBER(SEARCH("보류",L1245)),ISNUMBER(SEARCH("미룸",L1245)),ISNUMBER(SEARCH("나중에",L1245))),"보류(나중에 풀기)",IF(AND(F1245="",G1245="",H1245="",I1245=""),"미완료",IF(I1245&lt;&gt;"","복습3(마스터)",IF(H1245&lt;&gt;"","복습2",IF(G1245&lt;&gt;"","복습1",IF(ISNUMBER(SEARCH("제미나이",K1245)),"복습대기(AI도움)",IF(ISNUMBER(SEARCH("간당간당",K1245)),"복습대기(간당간당)",IF(OR(ISNUMBER(SEARCH("아이디어",K1245)),ISNUMBER(SEARCH("시간초과",K1245)),ISNUMBER(SEARCH("자료구조",K1245)),ISNUMBER(SEARCH("경계값",K1245)),ISNUMBER(SEARCH("다른 풀이",K1245)),ISNUMBER(SEARCH("또풀기",K1245))),"복습대기",IF(OR(ISNUMBER(SEARCH("복습필요없음",K1245)),ISNUMBER(SEARCH("자력완벽",K1245))),"품(복습불필요)",IF(F1245&lt;&gt;"","품","미완료"))))))))))</f>
        <v/>
      </c>
      <c r="K1245" s="283" t="n"/>
      <c r="L1245" s="8" t="n"/>
      <c r="M1245" s="8">
        <f>IF(OR(LEFT(J1245,2)="보류", LEFT(J1245,4)="복습대기", LEFT(J1245,3)="복습1", LEFT(J1245,3)="복습2"), MAX($M$3:M1244)+1, "")</f>
        <v/>
      </c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</row>
    <row r="1246" ht="21.75" customHeight="1" s="209">
      <c r="A1246" s="112" t="n"/>
      <c r="B1246" s="159" t="n"/>
      <c r="C1246" s="159" t="n"/>
      <c r="D1246" s="8" t="n"/>
      <c r="E1246" s="8" t="n"/>
      <c r="F1246" s="160" t="n"/>
      <c r="G1246" s="161" t="n"/>
      <c r="H1246" s="161" t="n"/>
      <c r="I1246" s="161" t="n"/>
      <c r="J1246" s="162">
        <f>IF(OR(ISNUMBER(SEARCH("보류",K1246)),ISNUMBER(SEARCH("미룸",K1246)),ISNUMBER(SEARCH("나중에",K1246)),ISNUMBER(SEARCH("보류",L1246)),ISNUMBER(SEARCH("미룸",L1246)),ISNUMBER(SEARCH("나중에",L1246))),"보류(나중에 풀기)",IF(AND(F1246="",G1246="",H1246="",I1246=""),"미완료",IF(I1246&lt;&gt;"","복습3(마스터)",IF(H1246&lt;&gt;"","복습2",IF(G1246&lt;&gt;"","복습1",IF(ISNUMBER(SEARCH("제미나이",K1246)),"복습대기(AI도움)",IF(ISNUMBER(SEARCH("간당간당",K1246)),"복습대기(간당간당)",IF(OR(ISNUMBER(SEARCH("아이디어",K1246)),ISNUMBER(SEARCH("시간초과",K1246)),ISNUMBER(SEARCH("자료구조",K1246)),ISNUMBER(SEARCH("경계값",K1246)),ISNUMBER(SEARCH("다른 풀이",K1246)),ISNUMBER(SEARCH("또풀기",K1246))),"복습대기",IF(OR(ISNUMBER(SEARCH("복습필요없음",K1246)),ISNUMBER(SEARCH("자력완벽",K1246))),"품(복습불필요)",IF(F1246&lt;&gt;"","품","미완료"))))))))))</f>
        <v/>
      </c>
      <c r="K1246" s="283" t="n"/>
      <c r="L1246" s="8" t="n"/>
      <c r="M1246" s="8">
        <f>IF(OR(LEFT(J1246,2)="보류", LEFT(J1246,4)="복습대기", LEFT(J1246,3)="복습1", LEFT(J1246,3)="복습2"), MAX($M$3:M1245)+1, "")</f>
        <v/>
      </c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</row>
    <row r="1247" ht="21.75" customHeight="1" s="209">
      <c r="A1247" s="112" t="n"/>
      <c r="B1247" s="159" t="n"/>
      <c r="C1247" s="159" t="n"/>
      <c r="D1247" s="8" t="n"/>
      <c r="E1247" s="8" t="n"/>
      <c r="F1247" s="160" t="n"/>
      <c r="G1247" s="161" t="n"/>
      <c r="H1247" s="161" t="n"/>
      <c r="I1247" s="161" t="n"/>
      <c r="J1247" s="162">
        <f>IF(OR(ISNUMBER(SEARCH("보류",K1247)),ISNUMBER(SEARCH("미룸",K1247)),ISNUMBER(SEARCH("나중에",K1247)),ISNUMBER(SEARCH("보류",L1247)),ISNUMBER(SEARCH("미룸",L1247)),ISNUMBER(SEARCH("나중에",L1247))),"보류(나중에 풀기)",IF(AND(F1247="",G1247="",H1247="",I1247=""),"미완료",IF(I1247&lt;&gt;"","복습3(마스터)",IF(H1247&lt;&gt;"","복습2",IF(G1247&lt;&gt;"","복습1",IF(ISNUMBER(SEARCH("제미나이",K1247)),"복습대기(AI도움)",IF(ISNUMBER(SEARCH("간당간당",K1247)),"복습대기(간당간당)",IF(OR(ISNUMBER(SEARCH("아이디어",K1247)),ISNUMBER(SEARCH("시간초과",K1247)),ISNUMBER(SEARCH("자료구조",K1247)),ISNUMBER(SEARCH("경계값",K1247)),ISNUMBER(SEARCH("다른 풀이",K1247)),ISNUMBER(SEARCH("또풀기",K1247))),"복습대기",IF(OR(ISNUMBER(SEARCH("복습필요없음",K1247)),ISNUMBER(SEARCH("자력완벽",K1247))),"품(복습불필요)",IF(F1247&lt;&gt;"","품","미완료"))))))))))</f>
        <v/>
      </c>
      <c r="K1247" s="283" t="n"/>
      <c r="L1247" s="8" t="n"/>
      <c r="M1247" s="8">
        <f>IF(OR(LEFT(J1247,2)="보류", LEFT(J1247,4)="복습대기", LEFT(J1247,3)="복습1", LEFT(J1247,3)="복습2"), MAX($M$3:M1246)+1, "")</f>
        <v/>
      </c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</row>
    <row r="1248" ht="21.75" customHeight="1" s="209">
      <c r="A1248" s="112" t="n"/>
      <c r="B1248" s="159" t="n"/>
      <c r="C1248" s="159" t="n"/>
      <c r="D1248" s="8" t="n"/>
      <c r="E1248" s="8" t="n"/>
      <c r="F1248" s="160" t="n"/>
      <c r="G1248" s="161" t="n"/>
      <c r="H1248" s="161" t="n"/>
      <c r="I1248" s="161" t="n"/>
      <c r="J1248" s="162">
        <f>IF(OR(ISNUMBER(SEARCH("보류",K1248)),ISNUMBER(SEARCH("미룸",K1248)),ISNUMBER(SEARCH("나중에",K1248)),ISNUMBER(SEARCH("보류",L1248)),ISNUMBER(SEARCH("미룸",L1248)),ISNUMBER(SEARCH("나중에",L1248))),"보류(나중에 풀기)",IF(AND(F1248="",G1248="",H1248="",I1248=""),"미완료",IF(I1248&lt;&gt;"","복습3(마스터)",IF(H1248&lt;&gt;"","복습2",IF(G1248&lt;&gt;"","복습1",IF(ISNUMBER(SEARCH("제미나이",K1248)),"복습대기(AI도움)",IF(ISNUMBER(SEARCH("간당간당",K1248)),"복습대기(간당간당)",IF(OR(ISNUMBER(SEARCH("아이디어",K1248)),ISNUMBER(SEARCH("시간초과",K1248)),ISNUMBER(SEARCH("자료구조",K1248)),ISNUMBER(SEARCH("경계값",K1248)),ISNUMBER(SEARCH("다른 풀이",K1248)),ISNUMBER(SEARCH("또풀기",K1248))),"복습대기",IF(OR(ISNUMBER(SEARCH("복습필요없음",K1248)),ISNUMBER(SEARCH("자력완벽",K1248))),"품(복습불필요)",IF(F1248&lt;&gt;"","품","미완료"))))))))))</f>
        <v/>
      </c>
      <c r="K1248" s="283" t="n"/>
      <c r="L1248" s="8" t="n"/>
      <c r="M1248" s="8">
        <f>IF(OR(LEFT(J1248,2)="보류", LEFT(J1248,4)="복습대기", LEFT(J1248,3)="복습1", LEFT(J1248,3)="복습2"), MAX($M$3:M1247)+1, "")</f>
        <v/>
      </c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</row>
    <row r="1249" ht="21.75" customHeight="1" s="209">
      <c r="A1249" s="112" t="n"/>
      <c r="B1249" s="159" t="n"/>
      <c r="C1249" s="159" t="n"/>
      <c r="D1249" s="8" t="n"/>
      <c r="E1249" s="8" t="n"/>
      <c r="F1249" s="160" t="n"/>
      <c r="G1249" s="161" t="n"/>
      <c r="H1249" s="161" t="n"/>
      <c r="I1249" s="161" t="n"/>
      <c r="J1249" s="162">
        <f>IF(OR(ISNUMBER(SEARCH("보류",K1249)),ISNUMBER(SEARCH("미룸",K1249)),ISNUMBER(SEARCH("나중에",K1249)),ISNUMBER(SEARCH("보류",L1249)),ISNUMBER(SEARCH("미룸",L1249)),ISNUMBER(SEARCH("나중에",L1249))),"보류(나중에 풀기)",IF(AND(F1249="",G1249="",H1249="",I1249=""),"미완료",IF(I1249&lt;&gt;"","복습3(마스터)",IF(H1249&lt;&gt;"","복습2",IF(G1249&lt;&gt;"","복습1",IF(ISNUMBER(SEARCH("제미나이",K1249)),"복습대기(AI도움)",IF(ISNUMBER(SEARCH("간당간당",K1249)),"복습대기(간당간당)",IF(OR(ISNUMBER(SEARCH("아이디어",K1249)),ISNUMBER(SEARCH("시간초과",K1249)),ISNUMBER(SEARCH("자료구조",K1249)),ISNUMBER(SEARCH("경계값",K1249)),ISNUMBER(SEARCH("다른 풀이",K1249)),ISNUMBER(SEARCH("또풀기",K1249))),"복습대기",IF(OR(ISNUMBER(SEARCH("복습필요없음",K1249)),ISNUMBER(SEARCH("자력완벽",K1249))),"품(복습불필요)",IF(F1249&lt;&gt;"","품","미완료"))))))))))</f>
        <v/>
      </c>
      <c r="K1249" s="283" t="n"/>
      <c r="L1249" s="8" t="n"/>
      <c r="M1249" s="8">
        <f>IF(OR(LEFT(J1249,2)="보류", LEFT(J1249,4)="복습대기", LEFT(J1249,3)="복습1", LEFT(J1249,3)="복습2"), MAX($M$3:M1248)+1, "")</f>
        <v/>
      </c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</row>
    <row r="1250" ht="21.75" customHeight="1" s="209">
      <c r="A1250" s="112" t="n"/>
      <c r="B1250" s="159" t="n"/>
      <c r="C1250" s="159" t="n"/>
      <c r="D1250" s="8" t="n"/>
      <c r="E1250" s="8" t="n"/>
      <c r="F1250" s="160" t="n"/>
      <c r="G1250" s="161" t="n"/>
      <c r="H1250" s="161" t="n"/>
      <c r="I1250" s="161" t="n"/>
      <c r="J1250" s="162">
        <f>IF(OR(ISNUMBER(SEARCH("보류",K1250)),ISNUMBER(SEARCH("미룸",K1250)),ISNUMBER(SEARCH("나중에",K1250)),ISNUMBER(SEARCH("보류",L1250)),ISNUMBER(SEARCH("미룸",L1250)),ISNUMBER(SEARCH("나중에",L1250))),"보류(나중에 풀기)",IF(AND(F1250="",G1250="",H1250="",I1250=""),"미완료",IF(I1250&lt;&gt;"","복습3(마스터)",IF(H1250&lt;&gt;"","복습2",IF(G1250&lt;&gt;"","복습1",IF(ISNUMBER(SEARCH("제미나이",K1250)),"복습대기(AI도움)",IF(ISNUMBER(SEARCH("간당간당",K1250)),"복습대기(간당간당)",IF(OR(ISNUMBER(SEARCH("아이디어",K1250)),ISNUMBER(SEARCH("시간초과",K1250)),ISNUMBER(SEARCH("자료구조",K1250)),ISNUMBER(SEARCH("경계값",K1250)),ISNUMBER(SEARCH("다른 풀이",K1250)),ISNUMBER(SEARCH("또풀기",K1250))),"복습대기",IF(OR(ISNUMBER(SEARCH("복습필요없음",K1250)),ISNUMBER(SEARCH("자력완벽",K1250))),"품(복습불필요)",IF(F1250&lt;&gt;"","품","미완료"))))))))))</f>
        <v/>
      </c>
      <c r="K1250" s="283" t="n"/>
      <c r="L1250" s="8" t="n"/>
      <c r="M1250" s="8">
        <f>IF(OR(LEFT(J1250,2)="보류", LEFT(J1250,4)="복습대기", LEFT(J1250,3)="복습1", LEFT(J1250,3)="복습2"), MAX($M$3:M1249)+1, "")</f>
        <v/>
      </c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</row>
    <row r="1251" ht="21.75" customHeight="1" s="209">
      <c r="A1251" s="112" t="n"/>
      <c r="B1251" s="159" t="n"/>
      <c r="C1251" s="159" t="n"/>
      <c r="D1251" s="8" t="n"/>
      <c r="E1251" s="8" t="n"/>
      <c r="F1251" s="160" t="n"/>
      <c r="G1251" s="161" t="n"/>
      <c r="H1251" s="161" t="n"/>
      <c r="I1251" s="161" t="n"/>
      <c r="J1251" s="162">
        <f>IF(OR(ISNUMBER(SEARCH("보류",K1251)),ISNUMBER(SEARCH("미룸",K1251)),ISNUMBER(SEARCH("나중에",K1251)),ISNUMBER(SEARCH("보류",L1251)),ISNUMBER(SEARCH("미룸",L1251)),ISNUMBER(SEARCH("나중에",L1251))),"보류(나중에 풀기)",IF(AND(F1251="",G1251="",H1251="",I1251=""),"미완료",IF(I1251&lt;&gt;"","복습3(마스터)",IF(H1251&lt;&gt;"","복습2",IF(G1251&lt;&gt;"","복습1",IF(ISNUMBER(SEARCH("제미나이",K1251)),"복습대기(AI도움)",IF(ISNUMBER(SEARCH("간당간당",K1251)),"복습대기(간당간당)",IF(OR(ISNUMBER(SEARCH("아이디어",K1251)),ISNUMBER(SEARCH("시간초과",K1251)),ISNUMBER(SEARCH("자료구조",K1251)),ISNUMBER(SEARCH("경계값",K1251)),ISNUMBER(SEARCH("다른 풀이",K1251)),ISNUMBER(SEARCH("또풀기",K1251))),"복습대기",IF(OR(ISNUMBER(SEARCH("복습필요없음",K1251)),ISNUMBER(SEARCH("자력완벽",K1251))),"품(복습불필요)",IF(F1251&lt;&gt;"","품","미완료"))))))))))</f>
        <v/>
      </c>
      <c r="K1251" s="283" t="n"/>
      <c r="L1251" s="8" t="n"/>
      <c r="M1251" s="8">
        <f>IF(OR(LEFT(J1251,2)="보류", LEFT(J1251,4)="복습대기", LEFT(J1251,3)="복습1", LEFT(J1251,3)="복습2"), MAX($M$3:M1250)+1, "")</f>
        <v/>
      </c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</row>
    <row r="1252" ht="21.75" customHeight="1" s="209">
      <c r="A1252" s="112" t="n"/>
      <c r="B1252" s="159" t="n"/>
      <c r="C1252" s="159" t="n"/>
      <c r="D1252" s="8" t="n"/>
      <c r="E1252" s="8" t="n"/>
      <c r="F1252" s="160" t="n"/>
      <c r="G1252" s="161" t="n"/>
      <c r="H1252" s="161" t="n"/>
      <c r="I1252" s="161" t="n"/>
      <c r="J1252" s="162">
        <f>IF(OR(ISNUMBER(SEARCH("보류",K1252)),ISNUMBER(SEARCH("미룸",K1252)),ISNUMBER(SEARCH("나중에",K1252)),ISNUMBER(SEARCH("보류",L1252)),ISNUMBER(SEARCH("미룸",L1252)),ISNUMBER(SEARCH("나중에",L1252))),"보류(나중에 풀기)",IF(AND(F1252="",G1252="",H1252="",I1252=""),"미완료",IF(I1252&lt;&gt;"","복습3(마스터)",IF(H1252&lt;&gt;"","복습2",IF(G1252&lt;&gt;"","복습1",IF(ISNUMBER(SEARCH("제미나이",K1252)),"복습대기(AI도움)",IF(ISNUMBER(SEARCH("간당간당",K1252)),"복습대기(간당간당)",IF(OR(ISNUMBER(SEARCH("아이디어",K1252)),ISNUMBER(SEARCH("시간초과",K1252)),ISNUMBER(SEARCH("자료구조",K1252)),ISNUMBER(SEARCH("경계값",K1252)),ISNUMBER(SEARCH("다른 풀이",K1252)),ISNUMBER(SEARCH("또풀기",K1252))),"복습대기",IF(OR(ISNUMBER(SEARCH("복습필요없음",K1252)),ISNUMBER(SEARCH("자력완벽",K1252))),"품(복습불필요)",IF(F1252&lt;&gt;"","품","미완료"))))))))))</f>
        <v/>
      </c>
      <c r="K1252" s="283" t="n"/>
      <c r="L1252" s="8" t="n"/>
      <c r="M1252" s="8">
        <f>IF(OR(LEFT(J1252,2)="보류", LEFT(J1252,4)="복습대기", LEFT(J1252,3)="복습1", LEFT(J1252,3)="복습2"), MAX($M$3:M1251)+1, "")</f>
        <v/>
      </c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</row>
    <row r="1253" ht="21.75" customHeight="1" s="209">
      <c r="A1253" s="112" t="n"/>
      <c r="B1253" s="159" t="n"/>
      <c r="C1253" s="159" t="n"/>
      <c r="D1253" s="8" t="n"/>
      <c r="E1253" s="8" t="n"/>
      <c r="F1253" s="160" t="n"/>
      <c r="G1253" s="161" t="n"/>
      <c r="H1253" s="161" t="n"/>
      <c r="I1253" s="161" t="n"/>
      <c r="J1253" s="162">
        <f>IF(OR(ISNUMBER(SEARCH("보류",K1253)),ISNUMBER(SEARCH("미룸",K1253)),ISNUMBER(SEARCH("나중에",K1253)),ISNUMBER(SEARCH("보류",L1253)),ISNUMBER(SEARCH("미룸",L1253)),ISNUMBER(SEARCH("나중에",L1253))),"보류(나중에 풀기)",IF(AND(F1253="",G1253="",H1253="",I1253=""),"미완료",IF(I1253&lt;&gt;"","복습3(마스터)",IF(H1253&lt;&gt;"","복습2",IF(G1253&lt;&gt;"","복습1",IF(ISNUMBER(SEARCH("제미나이",K1253)),"복습대기(AI도움)",IF(ISNUMBER(SEARCH("간당간당",K1253)),"복습대기(간당간당)",IF(OR(ISNUMBER(SEARCH("아이디어",K1253)),ISNUMBER(SEARCH("시간초과",K1253)),ISNUMBER(SEARCH("자료구조",K1253)),ISNUMBER(SEARCH("경계값",K1253)),ISNUMBER(SEARCH("다른 풀이",K1253)),ISNUMBER(SEARCH("또풀기",K1253))),"복습대기",IF(OR(ISNUMBER(SEARCH("복습필요없음",K1253)),ISNUMBER(SEARCH("자력완벽",K1253))),"품(복습불필요)",IF(F1253&lt;&gt;"","품","미완료"))))))))))</f>
        <v/>
      </c>
      <c r="K1253" s="283" t="n"/>
      <c r="L1253" s="8" t="n"/>
      <c r="M1253" s="8">
        <f>IF(OR(LEFT(J1253,2)="보류", LEFT(J1253,4)="복습대기", LEFT(J1253,3)="복습1", LEFT(J1253,3)="복습2"), MAX($M$3:M1252)+1, "")</f>
        <v/>
      </c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</row>
    <row r="1254" ht="21.75" customHeight="1" s="209">
      <c r="A1254" s="112" t="n"/>
      <c r="B1254" s="159" t="n"/>
      <c r="C1254" s="159" t="n"/>
      <c r="D1254" s="8" t="n"/>
      <c r="E1254" s="8" t="n"/>
      <c r="F1254" s="160" t="n"/>
      <c r="G1254" s="161" t="n"/>
      <c r="H1254" s="161" t="n"/>
      <c r="I1254" s="161" t="n"/>
      <c r="J1254" s="162">
        <f>IF(OR(ISNUMBER(SEARCH("보류",K1254)),ISNUMBER(SEARCH("미룸",K1254)),ISNUMBER(SEARCH("나중에",K1254)),ISNUMBER(SEARCH("보류",L1254)),ISNUMBER(SEARCH("미룸",L1254)),ISNUMBER(SEARCH("나중에",L1254))),"보류(나중에 풀기)",IF(AND(F1254="",G1254="",H1254="",I1254=""),"미완료",IF(I1254&lt;&gt;"","복습3(마스터)",IF(H1254&lt;&gt;"","복습2",IF(G1254&lt;&gt;"","복습1",IF(ISNUMBER(SEARCH("제미나이",K1254)),"복습대기(AI도움)",IF(ISNUMBER(SEARCH("간당간당",K1254)),"복습대기(간당간당)",IF(OR(ISNUMBER(SEARCH("아이디어",K1254)),ISNUMBER(SEARCH("시간초과",K1254)),ISNUMBER(SEARCH("자료구조",K1254)),ISNUMBER(SEARCH("경계값",K1254)),ISNUMBER(SEARCH("다른 풀이",K1254)),ISNUMBER(SEARCH("또풀기",K1254))),"복습대기",IF(OR(ISNUMBER(SEARCH("복습필요없음",K1254)),ISNUMBER(SEARCH("자력완벽",K1254))),"품(복습불필요)",IF(F1254&lt;&gt;"","품","미완료"))))))))))</f>
        <v/>
      </c>
      <c r="K1254" s="283" t="n"/>
      <c r="L1254" s="8" t="n"/>
      <c r="M1254" s="8">
        <f>IF(OR(LEFT(J1254,2)="보류", LEFT(J1254,4)="복습대기", LEFT(J1254,3)="복습1", LEFT(J1254,3)="복습2"), MAX($M$3:M1253)+1, "")</f>
        <v/>
      </c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</row>
    <row r="1255" ht="21.75" customHeight="1" s="209">
      <c r="A1255" s="112" t="n"/>
      <c r="B1255" s="159" t="n"/>
      <c r="C1255" s="159" t="n"/>
      <c r="D1255" s="8" t="n"/>
      <c r="E1255" s="8" t="n"/>
      <c r="F1255" s="160" t="n"/>
      <c r="G1255" s="161" t="n"/>
      <c r="H1255" s="161" t="n"/>
      <c r="I1255" s="161" t="n"/>
      <c r="J1255" s="162">
        <f>IF(OR(ISNUMBER(SEARCH("보류",K1255)),ISNUMBER(SEARCH("미룸",K1255)),ISNUMBER(SEARCH("나중에",K1255)),ISNUMBER(SEARCH("보류",L1255)),ISNUMBER(SEARCH("미룸",L1255)),ISNUMBER(SEARCH("나중에",L1255))),"보류(나중에 풀기)",IF(AND(F1255="",G1255="",H1255="",I1255=""),"미완료",IF(I1255&lt;&gt;"","복습3(마스터)",IF(H1255&lt;&gt;"","복습2",IF(G1255&lt;&gt;"","복습1",IF(ISNUMBER(SEARCH("제미나이",K1255)),"복습대기(AI도움)",IF(ISNUMBER(SEARCH("간당간당",K1255)),"복습대기(간당간당)",IF(OR(ISNUMBER(SEARCH("아이디어",K1255)),ISNUMBER(SEARCH("시간초과",K1255)),ISNUMBER(SEARCH("자료구조",K1255)),ISNUMBER(SEARCH("경계값",K1255)),ISNUMBER(SEARCH("다른 풀이",K1255)),ISNUMBER(SEARCH("또풀기",K1255))),"복습대기",IF(OR(ISNUMBER(SEARCH("복습필요없음",K1255)),ISNUMBER(SEARCH("자력완벽",K1255))),"품(복습불필요)",IF(F1255&lt;&gt;"","품","미완료"))))))))))</f>
        <v/>
      </c>
      <c r="K1255" s="283" t="n"/>
      <c r="L1255" s="8" t="n"/>
      <c r="M1255" s="8">
        <f>IF(OR(LEFT(J1255,2)="보류", LEFT(J1255,4)="복습대기", LEFT(J1255,3)="복습1", LEFT(J1255,3)="복습2"), MAX($M$3:M1254)+1, "")</f>
        <v/>
      </c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</row>
    <row r="1256" ht="21.75" customHeight="1" s="209">
      <c r="A1256" s="112" t="n"/>
      <c r="B1256" s="159" t="n"/>
      <c r="C1256" s="159" t="n"/>
      <c r="D1256" s="8" t="n"/>
      <c r="E1256" s="8" t="n"/>
      <c r="F1256" s="160" t="n"/>
      <c r="G1256" s="161" t="n"/>
      <c r="H1256" s="161" t="n"/>
      <c r="I1256" s="161" t="n"/>
      <c r="J1256" s="162">
        <f>IF(OR(ISNUMBER(SEARCH("보류",K1256)),ISNUMBER(SEARCH("미룸",K1256)),ISNUMBER(SEARCH("나중에",K1256)),ISNUMBER(SEARCH("보류",L1256)),ISNUMBER(SEARCH("미룸",L1256)),ISNUMBER(SEARCH("나중에",L1256))),"보류(나중에 풀기)",IF(AND(F1256="",G1256="",H1256="",I1256=""),"미완료",IF(I1256&lt;&gt;"","복습3(마스터)",IF(H1256&lt;&gt;"","복습2",IF(G1256&lt;&gt;"","복습1",IF(ISNUMBER(SEARCH("제미나이",K1256)),"복습대기(AI도움)",IF(ISNUMBER(SEARCH("간당간당",K1256)),"복습대기(간당간당)",IF(OR(ISNUMBER(SEARCH("아이디어",K1256)),ISNUMBER(SEARCH("시간초과",K1256)),ISNUMBER(SEARCH("자료구조",K1256)),ISNUMBER(SEARCH("경계값",K1256)),ISNUMBER(SEARCH("다른 풀이",K1256)),ISNUMBER(SEARCH("또풀기",K1256))),"복습대기",IF(OR(ISNUMBER(SEARCH("복습필요없음",K1256)),ISNUMBER(SEARCH("자력완벽",K1256))),"품(복습불필요)",IF(F1256&lt;&gt;"","품","미완료"))))))))))</f>
        <v/>
      </c>
      <c r="K1256" s="283" t="n"/>
      <c r="L1256" s="8" t="n"/>
      <c r="M1256" s="8">
        <f>IF(OR(LEFT(J1256,2)="보류", LEFT(J1256,4)="복습대기", LEFT(J1256,3)="복습1", LEFT(J1256,3)="복습2"), MAX($M$3:M1255)+1, "")</f>
        <v/>
      </c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</row>
    <row r="1257" ht="21.75" customHeight="1" s="209">
      <c r="A1257" s="112" t="n"/>
      <c r="B1257" s="159" t="n"/>
      <c r="C1257" s="159" t="n"/>
      <c r="D1257" s="8" t="n"/>
      <c r="E1257" s="8" t="n"/>
      <c r="F1257" s="160" t="n"/>
      <c r="G1257" s="161" t="n"/>
      <c r="H1257" s="161" t="n"/>
      <c r="I1257" s="161" t="n"/>
      <c r="J1257" s="162">
        <f>IF(OR(ISNUMBER(SEARCH("보류",K1257)),ISNUMBER(SEARCH("미룸",K1257)),ISNUMBER(SEARCH("나중에",K1257)),ISNUMBER(SEARCH("보류",L1257)),ISNUMBER(SEARCH("미룸",L1257)),ISNUMBER(SEARCH("나중에",L1257))),"보류(나중에 풀기)",IF(AND(F1257="",G1257="",H1257="",I1257=""),"미완료",IF(I1257&lt;&gt;"","복습3(마스터)",IF(H1257&lt;&gt;"","복습2",IF(G1257&lt;&gt;"","복습1",IF(ISNUMBER(SEARCH("제미나이",K1257)),"복습대기(AI도움)",IF(ISNUMBER(SEARCH("간당간당",K1257)),"복습대기(간당간당)",IF(OR(ISNUMBER(SEARCH("아이디어",K1257)),ISNUMBER(SEARCH("시간초과",K1257)),ISNUMBER(SEARCH("자료구조",K1257)),ISNUMBER(SEARCH("경계값",K1257)),ISNUMBER(SEARCH("다른 풀이",K1257)),ISNUMBER(SEARCH("또풀기",K1257))),"복습대기",IF(OR(ISNUMBER(SEARCH("복습필요없음",K1257)),ISNUMBER(SEARCH("자력완벽",K1257))),"품(복습불필요)",IF(F1257&lt;&gt;"","품","미완료"))))))))))</f>
        <v/>
      </c>
      <c r="K1257" s="283" t="n"/>
      <c r="L1257" s="8" t="n"/>
      <c r="M1257" s="8">
        <f>IF(OR(LEFT(J1257,2)="보류", LEFT(J1257,4)="복습대기", LEFT(J1257,3)="복습1", LEFT(J1257,3)="복습2"), MAX($M$3:M1256)+1, "")</f>
        <v/>
      </c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</row>
    <row r="1258" ht="21.75" customHeight="1" s="209">
      <c r="A1258" s="112" t="n"/>
      <c r="B1258" s="159" t="n"/>
      <c r="C1258" s="159" t="n"/>
      <c r="D1258" s="8" t="n"/>
      <c r="E1258" s="8" t="n"/>
      <c r="F1258" s="160" t="n"/>
      <c r="G1258" s="161" t="n"/>
      <c r="H1258" s="161" t="n"/>
      <c r="I1258" s="161" t="n"/>
      <c r="J1258" s="162">
        <f>IF(OR(ISNUMBER(SEARCH("보류",K1258)),ISNUMBER(SEARCH("미룸",K1258)),ISNUMBER(SEARCH("나중에",K1258)),ISNUMBER(SEARCH("보류",L1258)),ISNUMBER(SEARCH("미룸",L1258)),ISNUMBER(SEARCH("나중에",L1258))),"보류(나중에 풀기)",IF(AND(F1258="",G1258="",H1258="",I1258=""),"미완료",IF(I1258&lt;&gt;"","복습3(마스터)",IF(H1258&lt;&gt;"","복습2",IF(G1258&lt;&gt;"","복습1",IF(ISNUMBER(SEARCH("제미나이",K1258)),"복습대기(AI도움)",IF(ISNUMBER(SEARCH("간당간당",K1258)),"복습대기(간당간당)",IF(OR(ISNUMBER(SEARCH("아이디어",K1258)),ISNUMBER(SEARCH("시간초과",K1258)),ISNUMBER(SEARCH("자료구조",K1258)),ISNUMBER(SEARCH("경계값",K1258)),ISNUMBER(SEARCH("다른 풀이",K1258)),ISNUMBER(SEARCH("또풀기",K1258))),"복습대기",IF(OR(ISNUMBER(SEARCH("복습필요없음",K1258)),ISNUMBER(SEARCH("자력완벽",K1258))),"품(복습불필요)",IF(F1258&lt;&gt;"","품","미완료"))))))))))</f>
        <v/>
      </c>
      <c r="K1258" s="283" t="n"/>
      <c r="L1258" s="8" t="n"/>
      <c r="M1258" s="8">
        <f>IF(OR(LEFT(J1258,2)="보류", LEFT(J1258,4)="복습대기", LEFT(J1258,3)="복습1", LEFT(J1258,3)="복습2"), MAX($M$3:M1257)+1, "")</f>
        <v/>
      </c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</row>
    <row r="1259" ht="21.75" customHeight="1" s="209">
      <c r="A1259" s="112" t="n"/>
      <c r="B1259" s="159" t="n"/>
      <c r="C1259" s="159" t="n"/>
      <c r="D1259" s="8" t="n"/>
      <c r="E1259" s="8" t="n"/>
      <c r="F1259" s="160" t="n"/>
      <c r="G1259" s="161" t="n"/>
      <c r="H1259" s="161" t="n"/>
      <c r="I1259" s="161" t="n"/>
      <c r="J1259" s="162">
        <f>IF(OR(ISNUMBER(SEARCH("보류",K1259)),ISNUMBER(SEARCH("미룸",K1259)),ISNUMBER(SEARCH("나중에",K1259)),ISNUMBER(SEARCH("보류",L1259)),ISNUMBER(SEARCH("미룸",L1259)),ISNUMBER(SEARCH("나중에",L1259))),"보류(나중에 풀기)",IF(AND(F1259="",G1259="",H1259="",I1259=""),"미완료",IF(I1259&lt;&gt;"","복습3(마스터)",IF(H1259&lt;&gt;"","복습2",IF(G1259&lt;&gt;"","복습1",IF(ISNUMBER(SEARCH("제미나이",K1259)),"복습대기(AI도움)",IF(ISNUMBER(SEARCH("간당간당",K1259)),"복습대기(간당간당)",IF(OR(ISNUMBER(SEARCH("아이디어",K1259)),ISNUMBER(SEARCH("시간초과",K1259)),ISNUMBER(SEARCH("자료구조",K1259)),ISNUMBER(SEARCH("경계값",K1259)),ISNUMBER(SEARCH("다른 풀이",K1259)),ISNUMBER(SEARCH("또풀기",K1259))),"복습대기",IF(OR(ISNUMBER(SEARCH("복습필요없음",K1259)),ISNUMBER(SEARCH("자력완벽",K1259))),"품(복습불필요)",IF(F1259&lt;&gt;"","품","미완료"))))))))))</f>
        <v/>
      </c>
      <c r="K1259" s="283" t="n"/>
      <c r="L1259" s="8" t="n"/>
      <c r="M1259" s="8">
        <f>IF(OR(LEFT(J1259,2)="보류", LEFT(J1259,4)="복습대기", LEFT(J1259,3)="복습1", LEFT(J1259,3)="복습2"), MAX($M$3:M1258)+1, "")</f>
        <v/>
      </c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</row>
    <row r="1260" ht="21.75" customHeight="1" s="209">
      <c r="A1260" s="112" t="n"/>
      <c r="B1260" s="159" t="n"/>
      <c r="C1260" s="159" t="n"/>
      <c r="D1260" s="8" t="n"/>
      <c r="E1260" s="8" t="n"/>
      <c r="F1260" s="160" t="n"/>
      <c r="G1260" s="161" t="n"/>
      <c r="H1260" s="161" t="n"/>
      <c r="I1260" s="161" t="n"/>
      <c r="J1260" s="162">
        <f>IF(OR(ISNUMBER(SEARCH("보류",K1260)),ISNUMBER(SEARCH("미룸",K1260)),ISNUMBER(SEARCH("나중에",K1260)),ISNUMBER(SEARCH("보류",L1260)),ISNUMBER(SEARCH("미룸",L1260)),ISNUMBER(SEARCH("나중에",L1260))),"보류(나중에 풀기)",IF(AND(F1260="",G1260="",H1260="",I1260=""),"미완료",IF(I1260&lt;&gt;"","복습3(마스터)",IF(H1260&lt;&gt;"","복습2",IF(G1260&lt;&gt;"","복습1",IF(ISNUMBER(SEARCH("제미나이",K1260)),"복습대기(AI도움)",IF(ISNUMBER(SEARCH("간당간당",K1260)),"복습대기(간당간당)",IF(OR(ISNUMBER(SEARCH("아이디어",K1260)),ISNUMBER(SEARCH("시간초과",K1260)),ISNUMBER(SEARCH("자료구조",K1260)),ISNUMBER(SEARCH("경계값",K1260)),ISNUMBER(SEARCH("다른 풀이",K1260)),ISNUMBER(SEARCH("또풀기",K1260))),"복습대기",IF(OR(ISNUMBER(SEARCH("복습필요없음",K1260)),ISNUMBER(SEARCH("자력완벽",K1260))),"품(복습불필요)",IF(F1260&lt;&gt;"","품","미완료"))))))))))</f>
        <v/>
      </c>
      <c r="K1260" s="283" t="n"/>
      <c r="L1260" s="8" t="n"/>
      <c r="M1260" s="8">
        <f>IF(OR(LEFT(J1260,2)="보류", LEFT(J1260,4)="복습대기", LEFT(J1260,3)="복습1", LEFT(J1260,3)="복습2"), MAX($M$3:M1259)+1, "")</f>
        <v/>
      </c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</row>
  </sheetData>
  <autoFilter ref="$A$3:$L$1060"/>
  <mergeCells count="2">
    <mergeCell ref="A2:L2"/>
    <mergeCell ref="A1:L1"/>
  </mergeCells>
  <conditionalFormatting sqref="J4:J1260">
    <cfRule type="cellIs" priority="1" operator="equal" dxfId="4">
      <formula>"보류(나중에 풀기)"</formula>
    </cfRule>
    <cfRule type="cellIs" priority="2" operator="equal" dxfId="9">
      <formula>"품"</formula>
    </cfRule>
    <cfRule type="cellIs" priority="3" operator="equal" dxfId="10">
      <formula>"품(복습불필요)"</formula>
    </cfRule>
    <cfRule type="cellIs" priority="4" operator="equal" dxfId="11">
      <formula>"미완료"</formula>
    </cfRule>
    <cfRule type="cellIs" priority="5" operator="equal" dxfId="12">
      <formula>"복습대기(AI도움)"</formula>
    </cfRule>
    <cfRule type="cellIs" priority="6" operator="equal" dxfId="13">
      <formula>"복습대기(간당간당)"</formula>
    </cfRule>
    <cfRule type="cellIs" priority="7" operator="equal" dxfId="14">
      <formula>"복습대기"</formula>
    </cfRule>
    <cfRule type="cellIs" priority="8" operator="equal" dxfId="14">
      <formula>"보류(나중에 풀기)"</formula>
    </cfRule>
    <cfRule type="cellIs" priority="9" operator="equal" dxfId="15">
      <formula>"복습1"</formula>
    </cfRule>
    <cfRule type="cellIs" priority="10" operator="equal" dxfId="16">
      <formula>"복습2"</formula>
    </cfRule>
    <cfRule type="cellIs" priority="11" operator="equal" dxfId="17">
      <formula>"복습3(마스터)"</formula>
    </cfRule>
  </conditionalFormatting>
  <dataValidations count="2">
    <dataValidation sqref="K4:K1260" showDropDown="0" showInputMessage="0" showErrorMessage="0" allowBlank="1" type="list">
      <formula1>"🤖 제미나이 도움,⚠️ 간당간당 (시간/누더기),💡 아이디어 부재 / TLE,보류(나중에 풀기),자료구조/구현미숙,경계값/예외케이스,다른 풀이법 공부,또풀기,✅ 복습필요없음,머리풀기용으로 좋음,쓰레기문제,-"</formula1>
    </dataValidation>
    <dataValidation sqref="F4:I1260" showDropDown="0" showInputMessage="0" showErrorMessage="0" allowBlank="1" type="date">
      <formula1>45658.0</formula1>
      <formula2>47848.0</formula2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8" defaultColWidth="12.63" defaultRowHeight="15" customHeight="1"/>
  <cols>
    <col width="5" customWidth="1" style="209" min="1" max="1"/>
    <col width="13" customWidth="1" style="209" min="2" max="2"/>
    <col width="8" customWidth="1" style="209" min="3" max="3"/>
    <col width="16" customWidth="1" style="209" min="4" max="4"/>
    <col width="20" customWidth="1" style="209" min="5" max="5"/>
    <col width="26" customWidth="1" style="209" min="6" max="6"/>
    <col width="11" customWidth="1" style="209" min="7" max="7"/>
    <col width="10" customWidth="1" style="209" min="8" max="8"/>
    <col width="35" customWidth="1" style="209" min="9" max="9"/>
    <col width="25" customWidth="1" style="209" min="10" max="10"/>
    <col width="12" customWidth="1" style="209" min="11" max="11"/>
    <col width="9" customWidth="1" style="209" min="12" max="12"/>
    <col width="8.630000000000001" customWidth="1" style="209" min="13" max="26"/>
  </cols>
  <sheetData>
    <row r="1" ht="31.5" customHeight="1" s="209">
      <c r="A1" s="3" t="inlineStr">
        <is>
          <t>🎓 SSAFY 알고리즘 이론 체계화 &amp; SWEA 실전 기출 연계 마스터 로드맵</t>
        </is>
      </c>
    </row>
    <row r="2" ht="19.5" customHeight="1" s="209">
      <c r="A2" s="5" t="inlineStr">
        <is>
          <t>💡 김태희 강사 공식 강의 16개 단원 86개 클립 ➡️ 핵심 개념 정립 &amp; 표준 템플릿 구현 &amp; SWEA 대표 기출 3단계 파이프라인 (4주 완성)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18" customHeight="1" s="209">
      <c r="A4" s="275" t="inlineStr">
        <is>
          <t>📚 총 이론 강의 수</t>
        </is>
      </c>
      <c r="B4" s="213" t="n"/>
      <c r="C4" s="214" t="n"/>
      <c r="D4" s="275" t="inlineStr">
        <is>
          <t>🎯 4주 완주 목표 기간</t>
        </is>
      </c>
      <c r="E4" s="213" t="n"/>
      <c r="F4" s="214" t="n"/>
      <c r="G4" s="275" t="inlineStr">
        <is>
          <t>💻 연계 핵심 기출 매칭</t>
        </is>
      </c>
      <c r="H4" s="213" t="n"/>
      <c r="I4" s="214" t="n"/>
      <c r="J4" s="275" t="inlineStr">
        <is>
          <t>📈 이론 수강 진척도</t>
        </is>
      </c>
      <c r="K4" s="213" t="n"/>
      <c r="L4" s="214" t="n"/>
    </row>
    <row r="5" ht="24" customHeight="1" s="209">
      <c r="A5" s="276" t="inlineStr">
        <is>
          <t>16개 단원 (86클립)</t>
        </is>
      </c>
      <c r="B5" s="213" t="n"/>
      <c r="C5" s="214" t="n"/>
      <c r="D5" s="277" t="inlineStr">
        <is>
          <t>2026.09.28 ~ 10.23</t>
        </is>
      </c>
      <c r="E5" s="213" t="n"/>
      <c r="F5" s="214" t="n"/>
      <c r="G5" s="278" t="inlineStr">
        <is>
          <t>총 85문항 엄선 (난이도별 단계적 배치)</t>
        </is>
      </c>
      <c r="H5" s="213" t="n"/>
      <c r="I5" s="214" t="n"/>
      <c r="J5" s="279">
        <f>COUNTIF(K9:K94, "수강완료*") &amp; " / 86클립 (" &amp; TEXT(COUNTIF(K9:K94, "수강완료*")/86, "0.0%") &amp; ")"</f>
        <v/>
      </c>
      <c r="K5" s="213" t="n"/>
      <c r="L5" s="214" t="n"/>
    </row>
    <row r="6" ht="18" customHeight="1" s="209">
      <c r="A6" s="76" t="inlineStr">
        <is>
          <t>총 러닝타임 약 28시간</t>
        </is>
      </c>
      <c r="B6" s="213" t="n"/>
      <c r="C6" s="214" t="n"/>
      <c r="D6" s="76" t="inlineStr">
        <is>
          <t>W06 ~ W09 (4주 완성)</t>
        </is>
      </c>
      <c r="E6" s="213" t="n"/>
      <c r="F6" s="214" t="n"/>
      <c r="G6" s="76" t="inlineStr">
        <is>
          <t>02번 SWEA DB 실시간 연동</t>
        </is>
      </c>
      <c r="H6" s="213" t="n"/>
      <c r="I6" s="214" t="n"/>
      <c r="J6" s="76" t="inlineStr">
        <is>
          <t>실시간 수강 체크 연동</t>
        </is>
      </c>
      <c r="K6" s="213" t="n"/>
      <c r="L6" s="214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5.5" customHeight="1" s="209">
      <c r="A8" s="42" t="inlineStr">
        <is>
          <t>No</t>
        </is>
      </c>
      <c r="B8" s="42" t="inlineStr">
        <is>
          <t>권장 학습일자</t>
        </is>
      </c>
      <c r="C8" s="42" t="inlineStr">
        <is>
          <t>주차</t>
        </is>
      </c>
      <c r="D8" s="42" t="inlineStr">
        <is>
          <t>알고리즘 테마</t>
        </is>
      </c>
      <c r="E8" s="42" t="inlineStr">
        <is>
          <t>SSAFY 단원명</t>
        </is>
      </c>
      <c r="F8" s="42" t="inlineStr">
        <is>
          <t>세부 강의 클립명</t>
        </is>
      </c>
      <c r="G8" s="42" t="inlineStr">
        <is>
          <t>강사명</t>
        </is>
      </c>
      <c r="H8" s="42" t="inlineStr">
        <is>
          <t>강의시간</t>
        </is>
      </c>
      <c r="I8" s="42" t="inlineStr">
        <is>
          <t>핵심 개념 &amp; 체화 포인트</t>
        </is>
      </c>
      <c r="J8" s="42" t="inlineStr">
        <is>
          <t>연계 SWEA 대표 기출</t>
        </is>
      </c>
      <c r="K8" s="42" t="inlineStr">
        <is>
          <t>수강 상태</t>
        </is>
      </c>
      <c r="L8" s="42" t="inlineStr">
        <is>
          <t>이해도</t>
        </is>
      </c>
    </row>
    <row r="9" ht="19.5" customHeight="1" s="209">
      <c r="A9" s="45" t="n">
        <v>1</v>
      </c>
      <c r="B9" s="47" t="n">
        <v>46293</v>
      </c>
      <c r="C9" s="45" t="inlineStr">
        <is>
          <t>W06 (1주차)</t>
        </is>
      </c>
      <c r="D9" s="45" t="inlineStr">
        <is>
          <t>선형 자료구조</t>
        </is>
      </c>
      <c r="E9" s="48" t="inlineStr">
        <is>
          <t>[SW문제해결 기본] 스택</t>
        </is>
      </c>
      <c r="F9" s="48" t="inlineStr">
        <is>
          <t>알고리즘</t>
        </is>
      </c>
      <c r="G9" s="45" t="inlineStr">
        <is>
          <t>김태희 강사</t>
        </is>
      </c>
      <c r="H9" s="45" t="inlineStr">
        <is>
          <t>00:51:56</t>
        </is>
      </c>
      <c r="I9" s="48" t="inlineStr">
        <is>
          <t>스택 LIFO 원리, 괄호 검사, 후위 표기법 계산기, 재귀 기초</t>
        </is>
      </c>
      <c r="J9" s="32" t="inlineStr">
        <is>
          <t>[기초 D2] 26930 괄호 짝 검사 · [실전 D4] 1218 괄호 짝짓기 · [심화 D4] 5432 쇠막대기 / 1224 계산기3</t>
        </is>
      </c>
      <c r="K9" s="45" t="inlineStr">
        <is>
          <t>미수강</t>
        </is>
      </c>
      <c r="L9" s="45" t="inlineStr">
        <is>
          <t>-</t>
        </is>
      </c>
    </row>
    <row r="10" ht="19.5" customHeight="1" s="209">
      <c r="A10" s="50" t="n">
        <v>2</v>
      </c>
      <c r="B10" s="51" t="n">
        <v>46293</v>
      </c>
      <c r="C10" s="50" t="inlineStr">
        <is>
          <t>W06 (1주차)</t>
        </is>
      </c>
      <c r="D10" s="50" t="inlineStr">
        <is>
          <t>선형 자료구조</t>
        </is>
      </c>
      <c r="E10" s="53" t="inlineStr">
        <is>
          <t>[SW문제해결 기본] 스택</t>
        </is>
      </c>
      <c r="F10" s="53" t="inlineStr">
        <is>
          <t>스택_Stack</t>
        </is>
      </c>
      <c r="G10" s="50" t="inlineStr">
        <is>
          <t>김태희 강사</t>
        </is>
      </c>
      <c r="H10" s="50" t="inlineStr">
        <is>
          <t>00:21:13</t>
        </is>
      </c>
      <c r="I10" s="53" t="inlineStr">
        <is>
          <t>스택 LIFO 원리, 괄호 검사, 후위 표기법 계산기, 재귀 기초</t>
        </is>
      </c>
      <c r="J10" s="55" t="inlineStr">
        <is>
          <t>[기초 D2] 26930 괄호 짝 검사 · [실전 D4] 1218 괄호 짝짓기 · [심화 D4] 5432 쇠막대기 / 1224 계산기3</t>
        </is>
      </c>
      <c r="K10" s="50" t="inlineStr">
        <is>
          <t>미수강</t>
        </is>
      </c>
      <c r="L10" s="50" t="inlineStr">
        <is>
          <t>-</t>
        </is>
      </c>
    </row>
    <row r="11" ht="19.5" customHeight="1" s="209">
      <c r="A11" s="45" t="n">
        <v>3</v>
      </c>
      <c r="B11" s="47" t="n">
        <v>46293</v>
      </c>
      <c r="C11" s="45" t="inlineStr">
        <is>
          <t>W06 (1주차)</t>
        </is>
      </c>
      <c r="D11" s="45" t="inlineStr">
        <is>
          <t>선형 자료구조</t>
        </is>
      </c>
      <c r="E11" s="48" t="inlineStr">
        <is>
          <t>[SW문제해결 기본] 스택</t>
        </is>
      </c>
      <c r="F11" s="48" t="inlineStr">
        <is>
          <t>스택 활용_계산기</t>
        </is>
      </c>
      <c r="G11" s="45" t="inlineStr">
        <is>
          <t>김태희 강사</t>
        </is>
      </c>
      <c r="H11" s="45" t="inlineStr">
        <is>
          <t>00:10:10</t>
        </is>
      </c>
      <c r="I11" s="48" t="inlineStr">
        <is>
          <t>스택 LIFO 원리, 괄호 검사, 후위 표기법 계산기, 재귀 기초</t>
        </is>
      </c>
      <c r="J11" s="32" t="inlineStr">
        <is>
          <t>[기초 D2] 1948 날짜 계산기 · [실전 D4] 1222 계산기1 · [심화 D4] 1224 계산기3</t>
        </is>
      </c>
      <c r="K11" s="45" t="inlineStr">
        <is>
          <t>미수강</t>
        </is>
      </c>
      <c r="L11" s="45" t="inlineStr">
        <is>
          <t>-</t>
        </is>
      </c>
    </row>
    <row r="12" ht="19.5" customHeight="1" s="209">
      <c r="A12" s="50" t="n">
        <v>4</v>
      </c>
      <c r="B12" s="51" t="n">
        <v>46293</v>
      </c>
      <c r="C12" s="50" t="inlineStr">
        <is>
          <t>W06 (1주차)</t>
        </is>
      </c>
      <c r="D12" s="50" t="inlineStr">
        <is>
          <t>선형 자료구조</t>
        </is>
      </c>
      <c r="E12" s="53" t="inlineStr">
        <is>
          <t>[SW문제해결 기본] 스택</t>
        </is>
      </c>
      <c r="F12" s="53" t="inlineStr">
        <is>
          <t>스택 활용_브라우저</t>
        </is>
      </c>
      <c r="G12" s="50" t="inlineStr">
        <is>
          <t>김태희 강사</t>
        </is>
      </c>
      <c r="H12" s="50" t="inlineStr">
        <is>
          <t>00:05:05</t>
        </is>
      </c>
      <c r="I12" s="53" t="inlineStr">
        <is>
          <t>스택 LIFO 원리, 괄호 검사, 후위 표기법 계산기, 재귀 기초</t>
        </is>
      </c>
      <c r="J12" s="55" t="inlineStr">
        <is>
          <t>[기초 D2] 26930 괄호 짝 검사 · [실전 D4] 1218 괄호 짝짓기 · [심화 D4] 5432 쇠막대기 자르기</t>
        </is>
      </c>
      <c r="K12" s="50" t="inlineStr">
        <is>
          <t>미수강</t>
        </is>
      </c>
      <c r="L12" s="50" t="inlineStr">
        <is>
          <t>-</t>
        </is>
      </c>
    </row>
    <row r="13" ht="19.5" customHeight="1" s="209">
      <c r="A13" s="45" t="n">
        <v>5</v>
      </c>
      <c r="B13" s="47" t="n">
        <v>46293</v>
      </c>
      <c r="C13" s="45" t="inlineStr">
        <is>
          <t>W06 (1주차)</t>
        </is>
      </c>
      <c r="D13" s="45" t="inlineStr">
        <is>
          <t>선형 자료구조</t>
        </is>
      </c>
      <c r="E13" s="48" t="inlineStr">
        <is>
          <t>[SW문제해결 기본] 스택</t>
        </is>
      </c>
      <c r="F13" s="48" t="inlineStr">
        <is>
          <t>재귀 호출</t>
        </is>
      </c>
      <c r="G13" s="45" t="inlineStr">
        <is>
          <t>김태희 강사</t>
        </is>
      </c>
      <c r="H13" s="45" t="inlineStr">
        <is>
          <t>00:22:54</t>
        </is>
      </c>
      <c r="I13" s="48" t="inlineStr">
        <is>
          <t>스택 LIFO 원리, 괄호 검사, 후위 표기법 계산기, 재귀 기초</t>
        </is>
      </c>
      <c r="J13" s="32" t="inlineStr">
        <is>
          <t>[기초 D2] 26953 코드 점검 · [실전 D3] 1217 거듭 제곱 · [심화 D4] 1210 Ladder1</t>
        </is>
      </c>
      <c r="K13" s="45" t="inlineStr">
        <is>
          <t>미수강</t>
        </is>
      </c>
      <c r="L13" s="45" t="inlineStr">
        <is>
          <t>-</t>
        </is>
      </c>
    </row>
    <row r="14" ht="19.5" customHeight="1" s="209">
      <c r="A14" s="50" t="n">
        <v>6</v>
      </c>
      <c r="B14" s="51" t="n">
        <v>46294</v>
      </c>
      <c r="C14" s="50" t="inlineStr">
        <is>
          <t>W06 (1주차)</t>
        </is>
      </c>
      <c r="D14" s="50" t="inlineStr">
        <is>
          <t>선형 자료구조</t>
        </is>
      </c>
      <c r="E14" s="53" t="inlineStr">
        <is>
          <t>[SW문제해결 기본] 큐</t>
        </is>
      </c>
      <c r="F14" s="53" t="inlineStr">
        <is>
          <t>큐_Queue</t>
        </is>
      </c>
      <c r="G14" s="50" t="inlineStr">
        <is>
          <t>김태희 강사</t>
        </is>
      </c>
      <c r="H14" s="50" t="inlineStr">
        <is>
          <t>00:19:51</t>
        </is>
      </c>
      <c r="I14" s="53" t="inlineStr">
        <is>
          <t>큐 FIFO 원리, 원형 큐, 덱(Deque) 양방향 입출력, 하노이탑 재귀</t>
        </is>
      </c>
      <c r="J14" s="55" t="inlineStr">
        <is>
          <t>[기초 D1] 27023 은행 번호표 · [기초 D2] 26931 컨베이어 상자 · [실전 D3] 1225 암호생성기</t>
        </is>
      </c>
      <c r="K14" s="50" t="inlineStr">
        <is>
          <t>미수강</t>
        </is>
      </c>
      <c r="L14" s="50" t="inlineStr">
        <is>
          <t>-</t>
        </is>
      </c>
    </row>
    <row r="15" ht="19.5" customHeight="1" s="209">
      <c r="A15" s="45" t="n">
        <v>7</v>
      </c>
      <c r="B15" s="47" t="n">
        <v>46294</v>
      </c>
      <c r="C15" s="45" t="inlineStr">
        <is>
          <t>W06 (1주차)</t>
        </is>
      </c>
      <c r="D15" s="45" t="inlineStr">
        <is>
          <t>선형 자료구조</t>
        </is>
      </c>
      <c r="E15" s="48" t="inlineStr">
        <is>
          <t>[SW문제해결 기본] 큐</t>
        </is>
      </c>
      <c r="F15" s="48" t="inlineStr">
        <is>
          <t>큐 활용_마이쮸</t>
        </is>
      </c>
      <c r="G15" s="45" t="inlineStr">
        <is>
          <t>김태희 강사</t>
        </is>
      </c>
      <c r="H15" s="45" t="inlineStr">
        <is>
          <t>00:22:05</t>
        </is>
      </c>
      <c r="I15" s="48" t="inlineStr">
        <is>
          <t>큐 FIFO 원리, 원형 큐, 덱(Deque) 양방향 입출력, 하노이탑 재귀</t>
        </is>
      </c>
      <c r="J15" s="32" t="inlineStr">
        <is>
          <t>[기초 D1] 27023 은행 번호표 발급기 · [기초 D2] 26931 컨베이어 벨트 · [실전 D3] 1225 암호생성기</t>
        </is>
      </c>
      <c r="K15" s="45" t="inlineStr">
        <is>
          <t>미수강</t>
        </is>
      </c>
      <c r="L15" s="45" t="inlineStr">
        <is>
          <t>-</t>
        </is>
      </c>
    </row>
    <row r="16" ht="19.5" customHeight="1" s="209">
      <c r="A16" s="50" t="n">
        <v>8</v>
      </c>
      <c r="B16" s="51" t="n">
        <v>46294</v>
      </c>
      <c r="C16" s="50" t="inlineStr">
        <is>
          <t>W06 (1주차)</t>
        </is>
      </c>
      <c r="D16" s="50" t="inlineStr">
        <is>
          <t>선형 자료구조</t>
        </is>
      </c>
      <c r="E16" s="53" t="inlineStr">
        <is>
          <t>[SW문제해결 기본] 큐</t>
        </is>
      </c>
      <c r="F16" s="53" t="inlineStr">
        <is>
          <t>덱_Deque</t>
        </is>
      </c>
      <c r="G16" s="50" t="inlineStr">
        <is>
          <t>김태희 강사</t>
        </is>
      </c>
      <c r="H16" s="50" t="inlineStr">
        <is>
          <t>00:12:50</t>
        </is>
      </c>
      <c r="I16" s="53" t="inlineStr">
        <is>
          <t>큐 FIFO 원리, 원형 큐, 덱(Deque) 양방향 입출력, 하노이탑 재귀</t>
        </is>
      </c>
      <c r="J16" s="55" t="inlineStr">
        <is>
          <t>[기초 D2] 26940 우선 처리판 · [실전 D3] 1225 암호생성기 · [심화 D3] 7102 준홍이의 카드놀이</t>
        </is>
      </c>
      <c r="K16" s="50" t="inlineStr">
        <is>
          <t>미수강</t>
        </is>
      </c>
      <c r="L16" s="50" t="inlineStr">
        <is>
          <t>-</t>
        </is>
      </c>
    </row>
    <row r="17" ht="19.5" customHeight="1" s="209">
      <c r="A17" s="45" t="n">
        <v>9</v>
      </c>
      <c r="B17" s="47" t="n">
        <v>46294</v>
      </c>
      <c r="C17" s="45" t="inlineStr">
        <is>
          <t>W06 (1주차)</t>
        </is>
      </c>
      <c r="D17" s="45" t="inlineStr">
        <is>
          <t>선형 자료구조</t>
        </is>
      </c>
      <c r="E17" s="48" t="inlineStr">
        <is>
          <t>[SW문제해결 기본] 큐</t>
        </is>
      </c>
      <c r="F17" s="48" t="inlineStr">
        <is>
          <t>재귀_피보나치 수열</t>
        </is>
      </c>
      <c r="G17" s="45" t="inlineStr">
        <is>
          <t>김태희 강사</t>
        </is>
      </c>
      <c r="H17" s="45" t="inlineStr">
        <is>
          <t>00:37:00</t>
        </is>
      </c>
      <c r="I17" s="48" t="inlineStr">
        <is>
          <t>큐 FIFO 원리, 원형 큐, 덱(Deque) 양방향 입출력, 하노이탑 재귀</t>
        </is>
      </c>
      <c r="J17" s="32" t="inlineStr">
        <is>
          <t>[기초 D2] 26927 비트연산 · [실전 D3] 1217 거듭 제곱 · [심화 D3] 2806 N-Queen</t>
        </is>
      </c>
      <c r="K17" s="45" t="inlineStr">
        <is>
          <t>미수강</t>
        </is>
      </c>
      <c r="L17" s="45" t="inlineStr">
        <is>
          <t>-</t>
        </is>
      </c>
    </row>
    <row r="18" ht="19.5" customHeight="1" s="209">
      <c r="A18" s="50" t="n">
        <v>10</v>
      </c>
      <c r="B18" s="51" t="n">
        <v>46294</v>
      </c>
      <c r="C18" s="50" t="inlineStr">
        <is>
          <t>W06 (1주차)</t>
        </is>
      </c>
      <c r="D18" s="50" t="inlineStr">
        <is>
          <t>선형 자료구조</t>
        </is>
      </c>
      <c r="E18" s="53" t="inlineStr">
        <is>
          <t>[SW문제해결 기본] 큐</t>
        </is>
      </c>
      <c r="F18" s="53" t="inlineStr">
        <is>
          <t>재귀 응용_하노이 탑</t>
        </is>
      </c>
      <c r="G18" s="50" t="inlineStr">
        <is>
          <t>김태희 강사</t>
        </is>
      </c>
      <c r="H18" s="50" t="inlineStr">
        <is>
          <t>00:21:00</t>
        </is>
      </c>
      <c r="I18" s="53" t="inlineStr">
        <is>
          <t>큐 FIFO 원리, 원형 큐, 덱(Deque) 양방향 입출력, 하노이탑 재귀</t>
        </is>
      </c>
      <c r="J18" s="55" t="inlineStr">
        <is>
          <t>[기초 D2] 26928 사전 펼치기 · [실전 D3] 1217 거듭 제곱 · [심화 D4] 1210 Ladder1</t>
        </is>
      </c>
      <c r="K18" s="50" t="inlineStr">
        <is>
          <t>미수강</t>
        </is>
      </c>
      <c r="L18" s="50" t="inlineStr">
        <is>
          <t>-</t>
        </is>
      </c>
    </row>
    <row r="19" ht="19.5" customHeight="1" s="209">
      <c r="A19" s="45" t="n">
        <v>11</v>
      </c>
      <c r="B19" s="47" t="n">
        <v>46295</v>
      </c>
      <c r="C19" s="45" t="inlineStr">
        <is>
          <t>W06 (1주차)</t>
        </is>
      </c>
      <c r="D19" s="45" t="inlineStr">
        <is>
          <t>선형 자료구조</t>
        </is>
      </c>
      <c r="E19" s="48" t="inlineStr">
        <is>
          <t>[SW문제해결 기본] 연결리스트1</t>
        </is>
      </c>
      <c r="F19" s="48" t="inlineStr">
        <is>
          <t>리스트</t>
        </is>
      </c>
      <c r="G19" s="45" t="inlineStr">
        <is>
          <t>김태희 강사</t>
        </is>
      </c>
      <c r="H19" s="45" t="inlineStr">
        <is>
          <t>00:33:17</t>
        </is>
      </c>
      <c r="I19" s="48" t="inlineStr">
        <is>
          <t>단순 연결리스트 노드 구현, 삽입/삭제 포인터 연산, 슬라이딩 윈도우</t>
        </is>
      </c>
      <c r="J19" s="32" t="inlineStr">
        <is>
          <t>[기초 D2] 26045 부분 수열 판별 · [실전 D3] 1228 암호문1 · [심화 D3] 1229 암호문2</t>
        </is>
      </c>
      <c r="K19" s="45" t="inlineStr">
        <is>
          <t>미수강</t>
        </is>
      </c>
      <c r="L19" s="45" t="inlineStr">
        <is>
          <t>-</t>
        </is>
      </c>
    </row>
    <row r="20" ht="19.5" customHeight="1" s="209">
      <c r="A20" s="50" t="n">
        <v>12</v>
      </c>
      <c r="B20" s="51" t="n">
        <v>46295</v>
      </c>
      <c r="C20" s="50" t="inlineStr">
        <is>
          <t>W06 (1주차)</t>
        </is>
      </c>
      <c r="D20" s="50" t="inlineStr">
        <is>
          <t>선형 자료구조</t>
        </is>
      </c>
      <c r="E20" s="53" t="inlineStr">
        <is>
          <t>[SW문제해결 기본] 연결리스트1</t>
        </is>
      </c>
      <c r="F20" s="53" t="inlineStr">
        <is>
          <t>단순 연결 리스트</t>
        </is>
      </c>
      <c r="G20" s="50" t="inlineStr">
        <is>
          <t>김태희 강사</t>
        </is>
      </c>
      <c r="H20" s="50" t="inlineStr">
        <is>
          <t>00:03:13</t>
        </is>
      </c>
      <c r="I20" s="53" t="inlineStr">
        <is>
          <t>단순 연결리스트 노드 구현, 삽입/삭제 포인터 연산, 슬라이딩 윈도우</t>
        </is>
      </c>
      <c r="J20" s="55" t="inlineStr">
        <is>
          <t>[기초 D2] 26045 부분 수열 판별 · [실전 D3] 1228 암호문1 · [심화 D3] 1229 암호문2</t>
        </is>
      </c>
      <c r="K20" s="50" t="inlineStr">
        <is>
          <t>미수강</t>
        </is>
      </c>
      <c r="L20" s="50" t="inlineStr">
        <is>
          <t>-</t>
        </is>
      </c>
    </row>
    <row r="21" ht="19.5" customHeight="1" s="209">
      <c r="A21" s="45" t="n">
        <v>13</v>
      </c>
      <c r="B21" s="47" t="n">
        <v>46295</v>
      </c>
      <c r="C21" s="45" t="inlineStr">
        <is>
          <t>W06 (1주차)</t>
        </is>
      </c>
      <c r="D21" s="45" t="inlineStr">
        <is>
          <t>선형 자료구조</t>
        </is>
      </c>
      <c r="E21" s="48" t="inlineStr">
        <is>
          <t>[SW문제해결 기본] 연결리스트1</t>
        </is>
      </c>
      <c r="F21" s="48" t="inlineStr">
        <is>
          <t>단순 연결 리스트_삽입 연산</t>
        </is>
      </c>
      <c r="G21" s="45" t="inlineStr">
        <is>
          <t>김태희 강사</t>
        </is>
      </c>
      <c r="H21" s="45" t="inlineStr">
        <is>
          <t>00:10:08</t>
        </is>
      </c>
      <c r="I21" s="48" t="inlineStr">
        <is>
          <t>단순 연결리스트 노드 구현, 삽입/삭제 포인터 연산, 슬라이딩 윈도우</t>
        </is>
      </c>
      <c r="J21" s="32" t="inlineStr">
        <is>
          <t>[기초 D2] 26045 부분 수열 판별 · [실전 D3] 1228 암호문1 · [심화 D3] 1229 암호문2</t>
        </is>
      </c>
      <c r="K21" s="45" t="inlineStr">
        <is>
          <t>미수강</t>
        </is>
      </c>
      <c r="L21" s="45" t="inlineStr">
        <is>
          <t>-</t>
        </is>
      </c>
    </row>
    <row r="22" ht="19.5" customHeight="1" s="209">
      <c r="A22" s="50" t="n">
        <v>14</v>
      </c>
      <c r="B22" s="51" t="n">
        <v>46295</v>
      </c>
      <c r="C22" s="50" t="inlineStr">
        <is>
          <t>W06 (1주차)</t>
        </is>
      </c>
      <c r="D22" s="50" t="inlineStr">
        <is>
          <t>선형 자료구조</t>
        </is>
      </c>
      <c r="E22" s="53" t="inlineStr">
        <is>
          <t>[SW문제해결 기본] 연결리스트1</t>
        </is>
      </c>
      <c r="F22" s="53" t="inlineStr">
        <is>
          <t>단순 연결 리스트_삭제 연산</t>
        </is>
      </c>
      <c r="G22" s="50" t="inlineStr">
        <is>
          <t>김태희 강사</t>
        </is>
      </c>
      <c r="H22" s="50" t="inlineStr">
        <is>
          <t>00:06:08</t>
        </is>
      </c>
      <c r="I22" s="53" t="inlineStr">
        <is>
          <t>단순 연결리스트 노드 구현, 삽입/삭제 포인터 연산, 슬라이딩 윈도우</t>
        </is>
      </c>
      <c r="J22" s="55" t="inlineStr">
        <is>
          <t>[기초 D2] 26045 부분 수열 판별 · [실전 D3] 1228 암호문1 · [심화 D3] 1229 암호문2</t>
        </is>
      </c>
      <c r="K22" s="50" t="inlineStr">
        <is>
          <t>미수강</t>
        </is>
      </c>
      <c r="L22" s="50" t="inlineStr">
        <is>
          <t>-</t>
        </is>
      </c>
    </row>
    <row r="23" ht="19.5" customHeight="1" s="209">
      <c r="A23" s="45" t="n">
        <v>15</v>
      </c>
      <c r="B23" s="47" t="n">
        <v>46295</v>
      </c>
      <c r="C23" s="45" t="inlineStr">
        <is>
          <t>W06 (1주차)</t>
        </is>
      </c>
      <c r="D23" s="45" t="inlineStr">
        <is>
          <t>선형 자료구조</t>
        </is>
      </c>
      <c r="E23" s="48" t="inlineStr">
        <is>
          <t>[SW문제해결 기본] 연결리스트1</t>
        </is>
      </c>
      <c r="F23" s="48" t="inlineStr">
        <is>
          <t>단순 연결 리스트 응용_스택 구현</t>
        </is>
      </c>
      <c r="G23" s="45" t="inlineStr">
        <is>
          <t>김태희 강사</t>
        </is>
      </c>
      <c r="H23" s="45" t="inlineStr">
        <is>
          <t>00:25:30</t>
        </is>
      </c>
      <c r="I23" s="48" t="inlineStr">
        <is>
          <t>단순 연결리스트 노드 구현, 삽입/삭제 포인터 연산, 슬라이딩 윈도우</t>
        </is>
      </c>
      <c r="J23" s="32" t="inlineStr">
        <is>
          <t>[기초 D2] 26045 부분 수열 판별 · [실전 D3] 1228 암호문1 · [심화 D3] 1229 암호문2</t>
        </is>
      </c>
      <c r="K23" s="45" t="inlineStr">
        <is>
          <t>미수강</t>
        </is>
      </c>
      <c r="L23" s="45" t="inlineStr">
        <is>
          <t>-</t>
        </is>
      </c>
    </row>
    <row r="24" ht="19.5" customHeight="1" s="209">
      <c r="A24" s="50" t="n">
        <v>16</v>
      </c>
      <c r="B24" s="51" t="n">
        <v>46295</v>
      </c>
      <c r="C24" s="50" t="inlineStr">
        <is>
          <t>W06 (1주차)</t>
        </is>
      </c>
      <c r="D24" s="50" t="inlineStr">
        <is>
          <t>선형 자료구조</t>
        </is>
      </c>
      <c r="E24" s="53" t="inlineStr">
        <is>
          <t>[SW문제해결 기본] 연결리스트1</t>
        </is>
      </c>
      <c r="F24" s="53" t="inlineStr">
        <is>
          <t>리스트 관련 알고리즘_슬라이딩 윈도우</t>
        </is>
      </c>
      <c r="G24" s="50" t="inlineStr">
        <is>
          <t>김태희 강사</t>
        </is>
      </c>
      <c r="H24" s="50" t="inlineStr">
        <is>
          <t>00:15:56</t>
        </is>
      </c>
      <c r="I24" s="53" t="inlineStr">
        <is>
          <t>단순 연결리스트 노드 구현, 삽입/삭제 포인터 연산, 슬라이딩 윈도우</t>
        </is>
      </c>
      <c r="J24" s="55" t="inlineStr">
        <is>
          <t>[기초 D1] 21936 회문 찾기 · [기초 D2] 2001 파리 퇴치 · [실전 D3] 1206 View / 12712 파리퇴치3</t>
        </is>
      </c>
      <c r="K24" s="50" t="inlineStr">
        <is>
          <t>미수강</t>
        </is>
      </c>
      <c r="L24" s="50" t="inlineStr">
        <is>
          <t>-</t>
        </is>
      </c>
    </row>
    <row r="25" ht="19.5" customHeight="1" s="209">
      <c r="A25" s="45" t="n">
        <v>17</v>
      </c>
      <c r="B25" s="47" t="n">
        <v>46296</v>
      </c>
      <c r="C25" s="45" t="inlineStr">
        <is>
          <t>W06 (1주차)</t>
        </is>
      </c>
      <c r="D25" s="45" t="inlineStr">
        <is>
          <t>선형 자료구조</t>
        </is>
      </c>
      <c r="E25" s="48" t="inlineStr">
        <is>
          <t>[SW문제해결 기본] 연결리스트2</t>
        </is>
      </c>
      <c r="F25" s="48" t="inlineStr">
        <is>
          <t>이중 연결 리스트</t>
        </is>
      </c>
      <c r="G25" s="45" t="inlineStr">
        <is>
          <t>김태희 강사</t>
        </is>
      </c>
      <c r="H25" s="45" t="inlineStr">
        <is>
          <t>00:12:26</t>
        </is>
      </c>
      <c r="I25" s="48" t="inlineStr">
        <is>
          <t>이중 연결리스트, 투 포인터(Two Pointers) 연속 구간 탐색</t>
        </is>
      </c>
      <c r="J25" s="32" t="inlineStr">
        <is>
          <t>[기초 D2] 26045 부분수열 · [실전 D3] 1230 암호문3 · [심화 D4] 5432 쇠막대기 자르기</t>
        </is>
      </c>
      <c r="K25" s="45" t="inlineStr">
        <is>
          <t>미수강</t>
        </is>
      </c>
      <c r="L25" s="45" t="inlineStr">
        <is>
          <t>-</t>
        </is>
      </c>
    </row>
    <row r="26" ht="19.5" customHeight="1" s="209">
      <c r="A26" s="50" t="n">
        <v>18</v>
      </c>
      <c r="B26" s="51" t="n">
        <v>46296</v>
      </c>
      <c r="C26" s="50" t="inlineStr">
        <is>
          <t>W06 (1주차)</t>
        </is>
      </c>
      <c r="D26" s="50" t="inlineStr">
        <is>
          <t>선형 자료구조</t>
        </is>
      </c>
      <c r="E26" s="53" t="inlineStr">
        <is>
          <t>[SW문제해결 기본] 연결리스트2</t>
        </is>
      </c>
      <c r="F26" s="53" t="inlineStr">
        <is>
          <t>이중 연결 리스트_삽입 연산</t>
        </is>
      </c>
      <c r="G26" s="50" t="inlineStr">
        <is>
          <t>김태희 강사</t>
        </is>
      </c>
      <c r="H26" s="50" t="inlineStr">
        <is>
          <t>00:12:54</t>
        </is>
      </c>
      <c r="I26" s="53" t="inlineStr">
        <is>
          <t>이중 연결리스트, 투 포인터(Two Pointers) 연속 구간 탐색</t>
        </is>
      </c>
      <c r="J26" s="55" t="inlineStr">
        <is>
          <t>[기초 D2] 26045 부분수열 · [실전 D3] 1230 암호문3 · [심화 D4] 5432 쇠막대기 자르기</t>
        </is>
      </c>
      <c r="K26" s="50" t="inlineStr">
        <is>
          <t>미수강</t>
        </is>
      </c>
      <c r="L26" s="50" t="inlineStr">
        <is>
          <t>-</t>
        </is>
      </c>
    </row>
    <row r="27" ht="19.5" customHeight="1" s="209">
      <c r="A27" s="45" t="n">
        <v>19</v>
      </c>
      <c r="B27" s="47" t="n">
        <v>46296</v>
      </c>
      <c r="C27" s="45" t="inlineStr">
        <is>
          <t>W06 (1주차)</t>
        </is>
      </c>
      <c r="D27" s="45" t="inlineStr">
        <is>
          <t>선형 자료구조</t>
        </is>
      </c>
      <c r="E27" s="48" t="inlineStr">
        <is>
          <t>[SW문제해결 기본] 연결리스트2</t>
        </is>
      </c>
      <c r="F27" s="48" t="inlineStr">
        <is>
          <t>이중 연결 리스트_삭제 연산</t>
        </is>
      </c>
      <c r="G27" s="45" t="inlineStr">
        <is>
          <t>김태희 강사</t>
        </is>
      </c>
      <c r="H27" s="45" t="inlineStr">
        <is>
          <t>00:17:31</t>
        </is>
      </c>
      <c r="I27" s="48" t="inlineStr">
        <is>
          <t>이중 연결리스트, 투 포인터(Two Pointers) 연속 구간 탐색</t>
        </is>
      </c>
      <c r="J27" s="32" t="inlineStr">
        <is>
          <t>[기초 D2] 26045 부분수열 · [실전 D3] 1230 암호문3 · [심화 D4] 5432 쇠막대기 자르기</t>
        </is>
      </c>
      <c r="K27" s="45" t="inlineStr">
        <is>
          <t>미수강</t>
        </is>
      </c>
      <c r="L27" s="45" t="inlineStr">
        <is>
          <t>-</t>
        </is>
      </c>
    </row>
    <row r="28" ht="19.5" customHeight="1" s="209">
      <c r="A28" s="50" t="n">
        <v>20</v>
      </c>
      <c r="B28" s="51" t="n">
        <v>46296</v>
      </c>
      <c r="C28" s="50" t="inlineStr">
        <is>
          <t>W06 (1주차)</t>
        </is>
      </c>
      <c r="D28" s="50" t="inlineStr">
        <is>
          <t>선형 자료구조</t>
        </is>
      </c>
      <c r="E28" s="53" t="inlineStr">
        <is>
          <t>[SW문제해결 기본] 연결리스트2</t>
        </is>
      </c>
      <c r="F28" s="53" t="inlineStr">
        <is>
          <t>리스트 관련 알고리즘_투 포인터1</t>
        </is>
      </c>
      <c r="G28" s="50" t="inlineStr">
        <is>
          <t>김태희 강사</t>
        </is>
      </c>
      <c r="H28" s="50" t="inlineStr">
        <is>
          <t>00:35:55</t>
        </is>
      </c>
      <c r="I28" s="53" t="inlineStr">
        <is>
          <t>이중 연결리스트, 투 포인터(Two Pointers) 연속 구간 탐색</t>
        </is>
      </c>
      <c r="J28" s="55" t="inlineStr">
        <is>
          <t>[기초 D2] 1959 두 개의 숫자열 · [실전 D3] 1206 View · [심화 D3] 12712 파리퇴치3</t>
        </is>
      </c>
      <c r="K28" s="50" t="inlineStr">
        <is>
          <t>미수강</t>
        </is>
      </c>
      <c r="L28" s="50" t="inlineStr">
        <is>
          <t>-</t>
        </is>
      </c>
    </row>
    <row r="29" ht="19.5" customHeight="1" s="209">
      <c r="A29" s="45" t="n">
        <v>21</v>
      </c>
      <c r="B29" s="47" t="n">
        <v>46296</v>
      </c>
      <c r="C29" s="45" t="inlineStr">
        <is>
          <t>W06 (1주차)</t>
        </is>
      </c>
      <c r="D29" s="45" t="inlineStr">
        <is>
          <t>선형 자료구조</t>
        </is>
      </c>
      <c r="E29" s="48" t="inlineStr">
        <is>
          <t>[SW문제해결 기본] 연결리스트2</t>
        </is>
      </c>
      <c r="F29" s="48" t="inlineStr">
        <is>
          <t>리스트 관련 알고리즘_투 포인터2</t>
        </is>
      </c>
      <c r="G29" s="45" t="inlineStr">
        <is>
          <t>김태희 강사</t>
        </is>
      </c>
      <c r="H29" s="45" t="inlineStr">
        <is>
          <t>00:28:06</t>
        </is>
      </c>
      <c r="I29" s="48" t="inlineStr">
        <is>
          <t>이중 연결리스트, 투 포인터(Two Pointers) 연속 구간 탐색</t>
        </is>
      </c>
      <c r="J29" s="32" t="inlineStr">
        <is>
          <t>[기초 D2] 1974 스도쿠 검증 · [실전 D3] 1209 Sum · [심화 D4] 1210 Ladder1</t>
        </is>
      </c>
      <c r="K29" s="45" t="inlineStr">
        <is>
          <t>미수강</t>
        </is>
      </c>
      <c r="L29" s="45" t="inlineStr">
        <is>
          <t>-</t>
        </is>
      </c>
    </row>
    <row r="30" ht="19.5" customHeight="1" s="209">
      <c r="A30" s="50" t="n">
        <v>22</v>
      </c>
      <c r="B30" s="51" t="n">
        <v>46300</v>
      </c>
      <c r="C30" s="50" t="inlineStr">
        <is>
          <t>W07 (2주차)</t>
        </is>
      </c>
      <c r="D30" s="50" t="inlineStr">
        <is>
          <t>비선형 자료구조</t>
        </is>
      </c>
      <c r="E30" s="53" t="inlineStr">
        <is>
          <t>[SW문제해결 기본] 트리1</t>
        </is>
      </c>
      <c r="F30" s="53" t="inlineStr">
        <is>
          <t>트리_Tree</t>
        </is>
      </c>
      <c r="G30" s="50" t="inlineStr">
        <is>
          <t>김태희 강사</t>
        </is>
      </c>
      <c r="H30" s="50" t="inlineStr">
        <is>
          <t>00:29:35</t>
        </is>
      </c>
      <c r="I30" s="53" t="inlineStr">
        <is>
          <t>트리 기본 용어, 이진 트리 배열/노드 표현, 트리 레벨별 BFS 탐색</t>
        </is>
      </c>
      <c r="J30" s="55" t="inlineStr">
        <is>
          <t>[기초 D2] 26938 하위 조직 인원수 · [실전 D4] 1231 중위순회 / 1232 사칙연산 · [심화 D5] 1248 공통조상</t>
        </is>
      </c>
      <c r="K30" s="50" t="inlineStr">
        <is>
          <t>미수강</t>
        </is>
      </c>
      <c r="L30" s="50" t="inlineStr">
        <is>
          <t>-</t>
        </is>
      </c>
    </row>
    <row r="31" ht="19.5" customHeight="1" s="209">
      <c r="A31" s="45" t="n">
        <v>23</v>
      </c>
      <c r="B31" s="47" t="n">
        <v>46300</v>
      </c>
      <c r="C31" s="45" t="inlineStr">
        <is>
          <t>W07 (2주차)</t>
        </is>
      </c>
      <c r="D31" s="45" t="inlineStr">
        <is>
          <t>비선형 자료구조</t>
        </is>
      </c>
      <c r="E31" s="48" t="inlineStr">
        <is>
          <t>[SW문제해결 기본] 트리1</t>
        </is>
      </c>
      <c r="F31" s="48" t="inlineStr">
        <is>
          <t>이진 트리</t>
        </is>
      </c>
      <c r="G31" s="45" t="inlineStr">
        <is>
          <t>김태희 강사</t>
        </is>
      </c>
      <c r="H31" s="45" t="inlineStr">
        <is>
          <t>00:24:33</t>
        </is>
      </c>
      <c r="I31" s="48" t="inlineStr">
        <is>
          <t>트리 기본 용어, 이진 트리 배열/노드 표현, 트리 레벨별 BFS 탐색</t>
        </is>
      </c>
      <c r="J31" s="32" t="inlineStr">
        <is>
          <t>[기초 D2] 26938 하위 조직 인원수 세기 · [실전 D4] 1231 중위순회 · [심화 D5] 1248 공통조상</t>
        </is>
      </c>
      <c r="K31" s="45" t="inlineStr">
        <is>
          <t>미수강</t>
        </is>
      </c>
      <c r="L31" s="45" t="inlineStr">
        <is>
          <t>-</t>
        </is>
      </c>
    </row>
    <row r="32" ht="19.5" customHeight="1" s="209">
      <c r="A32" s="50" t="n">
        <v>24</v>
      </c>
      <c r="B32" s="51" t="n">
        <v>46300</v>
      </c>
      <c r="C32" s="50" t="inlineStr">
        <is>
          <t>W07 (2주차)</t>
        </is>
      </c>
      <c r="D32" s="50" t="inlineStr">
        <is>
          <t>비선형 자료구조</t>
        </is>
      </c>
      <c r="E32" s="53" t="inlineStr">
        <is>
          <t>[SW문제해결 기본] 트리1</t>
        </is>
      </c>
      <c r="F32" s="53" t="inlineStr">
        <is>
          <t>이진 트리의 표현</t>
        </is>
      </c>
      <c r="G32" s="50" t="inlineStr">
        <is>
          <t>김태희 강사</t>
        </is>
      </c>
      <c r="H32" s="50" t="inlineStr">
        <is>
          <t>00:17:42</t>
        </is>
      </c>
      <c r="I32" s="53" t="inlineStr">
        <is>
          <t>트리 기본 용어, 이진 트리 배열/노드 표현, 트리 레벨별 BFS 탐색</t>
        </is>
      </c>
      <c r="J32" s="55" t="inlineStr">
        <is>
          <t>[기초 D2] 26938 하위 조직 인원수 · [실전 D4] 1231 중위순회 / 1232 사칙연산 · [심화 D5] 1248 공통조상</t>
        </is>
      </c>
      <c r="K32" s="50" t="inlineStr">
        <is>
          <t>미수강</t>
        </is>
      </c>
      <c r="L32" s="50" t="inlineStr">
        <is>
          <t>-</t>
        </is>
      </c>
    </row>
    <row r="33" ht="19.5" customHeight="1" s="209">
      <c r="A33" s="45" t="n">
        <v>25</v>
      </c>
      <c r="B33" s="47" t="n">
        <v>46300</v>
      </c>
      <c r="C33" s="45" t="inlineStr">
        <is>
          <t>W07 (2주차)</t>
        </is>
      </c>
      <c r="D33" s="45" t="inlineStr">
        <is>
          <t>비선형 자료구조</t>
        </is>
      </c>
      <c r="E33" s="48" t="inlineStr">
        <is>
          <t>[SW문제해결 기본] 트리1</t>
        </is>
      </c>
      <c r="F33" s="48" t="inlineStr">
        <is>
          <t>비선형 자료구조 탐색</t>
        </is>
      </c>
      <c r="G33" s="45" t="inlineStr">
        <is>
          <t>김태희 강사</t>
        </is>
      </c>
      <c r="H33" s="45" t="inlineStr">
        <is>
          <t>00:10:17</t>
        </is>
      </c>
      <c r="I33" s="48" t="inlineStr">
        <is>
          <t>트리 기본 용어, 이진 트리 배열/노드 표현, 트리 레벨별 BFS 탐색</t>
        </is>
      </c>
      <c r="J33" s="32" t="inlineStr">
        <is>
          <t>[기초 D2] 26938 하위 조직 인원수 · [실전 D4] 1231 중위순회 / 1232 사칙연산 · [심화 D5] 1248 공통조상</t>
        </is>
      </c>
      <c r="K33" s="45" t="inlineStr">
        <is>
          <t>미수강</t>
        </is>
      </c>
      <c r="L33" s="45" t="inlineStr">
        <is>
          <t>-</t>
        </is>
      </c>
    </row>
    <row r="34" ht="19.5" customHeight="1" s="209">
      <c r="A34" s="50" t="n">
        <v>26</v>
      </c>
      <c r="B34" s="51" t="n">
        <v>46300</v>
      </c>
      <c r="C34" s="50" t="inlineStr">
        <is>
          <t>W07 (2주차)</t>
        </is>
      </c>
      <c r="D34" s="50" t="inlineStr">
        <is>
          <t>비선형 자료구조</t>
        </is>
      </c>
      <c r="E34" s="53" t="inlineStr">
        <is>
          <t>[SW문제해결 기본] 트리1</t>
        </is>
      </c>
      <c r="F34" s="53" t="inlineStr">
        <is>
          <t>트리 탐색_BFS</t>
        </is>
      </c>
      <c r="G34" s="50" t="inlineStr">
        <is>
          <t>김태희 강사</t>
        </is>
      </c>
      <c r="H34" s="50" t="inlineStr">
        <is>
          <t>00:21:10</t>
        </is>
      </c>
      <c r="I34" s="53" t="inlineStr">
        <is>
          <t>트리 기본 용어, 이진 트리 배열/노드 표현, 트리 레벨별 BFS 탐색</t>
        </is>
      </c>
      <c r="J34" s="55" t="inlineStr">
        <is>
          <t>[기초 D2] 26938 하위 조직 인원수 · [실전 D4] 1231 중위순회 / 1232 사칙연산 · [심화 D5] 1248 공통조상</t>
        </is>
      </c>
      <c r="K34" s="50" t="inlineStr">
        <is>
          <t>미수강</t>
        </is>
      </c>
      <c r="L34" s="50" t="inlineStr">
        <is>
          <t>-</t>
        </is>
      </c>
    </row>
    <row r="35" ht="19.5" customHeight="1" s="209">
      <c r="A35" s="45" t="n">
        <v>27</v>
      </c>
      <c r="B35" s="47" t="n">
        <v>46301</v>
      </c>
      <c r="C35" s="45" t="inlineStr">
        <is>
          <t>W07 (2주차)</t>
        </is>
      </c>
      <c r="D35" s="45" t="inlineStr">
        <is>
          <t>비선형 자료구조</t>
        </is>
      </c>
      <c r="E35" s="48" t="inlineStr">
        <is>
          <t>[SW문제해결 기본] 트리2</t>
        </is>
      </c>
      <c r="F35" s="48" t="inlineStr">
        <is>
          <t>트리 탐색_DFS</t>
        </is>
      </c>
      <c r="G35" s="45" t="inlineStr">
        <is>
          <t>김태희 강사</t>
        </is>
      </c>
      <c r="H35" s="45" t="inlineStr">
        <is>
          <t>01:12:56</t>
        </is>
      </c>
      <c r="I35" s="48" t="inlineStr">
        <is>
          <t>트리 DFS 깊이우선탐색, 전위/중위/후위 순회 재귀 구현</t>
        </is>
      </c>
      <c r="J35" s="32" t="inlineStr">
        <is>
          <t>[실전 D3] 2930 힙 · [실전 D4] 1249 보급로 (PriorityQueue) · [심화 D8] 16546 Baby-gin_실습</t>
        </is>
      </c>
      <c r="K35" s="45" t="inlineStr">
        <is>
          <t>미수강</t>
        </is>
      </c>
      <c r="L35" s="45" t="inlineStr">
        <is>
          <t>-</t>
        </is>
      </c>
    </row>
    <row r="36" ht="19.5" customHeight="1" s="209">
      <c r="A36" s="50" t="n">
        <v>28</v>
      </c>
      <c r="B36" s="51" t="n">
        <v>46301</v>
      </c>
      <c r="C36" s="50" t="inlineStr">
        <is>
          <t>W07 (2주차)</t>
        </is>
      </c>
      <c r="D36" s="50" t="inlineStr">
        <is>
          <t>비선형 자료구조</t>
        </is>
      </c>
      <c r="E36" s="53" t="inlineStr">
        <is>
          <t>[SW문제해결 기본] 트리2</t>
        </is>
      </c>
      <c r="F36" s="53" t="inlineStr">
        <is>
          <t>이진 트리 순회</t>
        </is>
      </c>
      <c r="G36" s="50" t="inlineStr">
        <is>
          <t>김태희 강사</t>
        </is>
      </c>
      <c r="H36" s="50" t="inlineStr">
        <is>
          <t>00:32:25</t>
        </is>
      </c>
      <c r="I36" s="53" t="inlineStr">
        <is>
          <t>트리 DFS 깊이우선탐색, 전위/중위/후위 순회 재귀 구현</t>
        </is>
      </c>
      <c r="J36" s="55" t="inlineStr">
        <is>
          <t>[실전 D3] 2930 힙 · [실전 D4] 1249 보급로 (PriorityQueue) · [심화 D8] 16546 Baby-gin_실습</t>
        </is>
      </c>
      <c r="K36" s="50" t="inlineStr">
        <is>
          <t>미수강</t>
        </is>
      </c>
      <c r="L36" s="50" t="inlineStr">
        <is>
          <t>-</t>
        </is>
      </c>
    </row>
    <row r="37" ht="19.5" customHeight="1" s="209">
      <c r="A37" s="45" t="n">
        <v>29</v>
      </c>
      <c r="B37" s="47" t="n">
        <v>46302</v>
      </c>
      <c r="C37" s="45" t="inlineStr">
        <is>
          <t>W07 (2주차)</t>
        </is>
      </c>
      <c r="D37" s="45" t="inlineStr">
        <is>
          <t>완전탐색 &amp; 힙</t>
        </is>
      </c>
      <c r="E37" s="48" t="inlineStr">
        <is>
          <t>[SW문제해결 기본] 순열</t>
        </is>
      </c>
      <c r="F37" s="48" t="inlineStr">
        <is>
          <t>힙_Heap</t>
        </is>
      </c>
      <c r="G37" s="45" t="inlineStr">
        <is>
          <t>김태희 강사</t>
        </is>
      </c>
      <c r="H37" s="45" t="inlineStr">
        <is>
          <t>00:32:03</t>
        </is>
      </c>
      <c r="I37" s="48" t="inlineStr">
        <is>
          <t>최대/최소 힙 직접 구현, 우선순위 큐, 순열 반복문 기초</t>
        </is>
      </c>
      <c r="J37" s="32" t="inlineStr">
        <is>
          <t>[실전 D3] 6808 규영이와 인영이 카드게임 · [실전 D3] 9940 순열1 · [심화 D4] 8568 3으로 나눈 순열</t>
        </is>
      </c>
      <c r="K37" s="45" t="inlineStr">
        <is>
          <t>미수강</t>
        </is>
      </c>
      <c r="L37" s="45" t="inlineStr">
        <is>
          <t>-</t>
        </is>
      </c>
    </row>
    <row r="38" ht="19.5" customHeight="1" s="209">
      <c r="A38" s="50" t="n">
        <v>30</v>
      </c>
      <c r="B38" s="51" t="n">
        <v>46302</v>
      </c>
      <c r="C38" s="50" t="inlineStr">
        <is>
          <t>W07 (2주차)</t>
        </is>
      </c>
      <c r="D38" s="50" t="inlineStr">
        <is>
          <t>완전탐색 &amp; 힙</t>
        </is>
      </c>
      <c r="E38" s="53" t="inlineStr">
        <is>
          <t>[SW문제해결 기본] 순열</t>
        </is>
      </c>
      <c r="F38" s="53" t="inlineStr">
        <is>
          <t>힙_Heap_활용_우선 순위 큐</t>
        </is>
      </c>
      <c r="G38" s="50" t="inlineStr">
        <is>
          <t>김태희 강사</t>
        </is>
      </c>
      <c r="H38" s="50" t="inlineStr">
        <is>
          <t>00:12:26</t>
        </is>
      </c>
      <c r="I38" s="53" t="inlineStr">
        <is>
          <t>최대/최소 힙 직접 구현, 우선순위 큐, 순열 반복문 기초</t>
        </is>
      </c>
      <c r="J38" s="55" t="inlineStr">
        <is>
          <t>[실전 D3] 6808 규영이와 인영이 카드게임 · [실전 D3] 9940 순열1 · [심화 D4] 8568 3으로 나눈 순열</t>
        </is>
      </c>
      <c r="K38" s="50" t="inlineStr">
        <is>
          <t>미수강</t>
        </is>
      </c>
      <c r="L38" s="50" t="inlineStr">
        <is>
          <t>-</t>
        </is>
      </c>
    </row>
    <row r="39" ht="19.5" customHeight="1" s="209">
      <c r="A39" s="45" t="n">
        <v>31</v>
      </c>
      <c r="B39" s="47" t="n">
        <v>46302</v>
      </c>
      <c r="C39" s="45" t="inlineStr">
        <is>
          <t>W07 (2주차)</t>
        </is>
      </c>
      <c r="D39" s="45" t="inlineStr">
        <is>
          <t>완전탐색 &amp; 힙</t>
        </is>
      </c>
      <c r="E39" s="48" t="inlineStr">
        <is>
          <t>[SW문제해결 기본] 순열</t>
        </is>
      </c>
      <c r="F39" s="48" t="inlineStr">
        <is>
          <t>완전 검색</t>
        </is>
      </c>
      <c r="G39" s="45" t="inlineStr">
        <is>
          <t>김태희 강사</t>
        </is>
      </c>
      <c r="H39" s="45" t="inlineStr">
        <is>
          <t>00:14:40</t>
        </is>
      </c>
      <c r="I39" s="48" t="inlineStr">
        <is>
          <t>최대/최소 힙 직접 구현, 우선순위 큐, 순열 반복문 기초</t>
        </is>
      </c>
      <c r="J39" s="32" t="inlineStr">
        <is>
          <t>[실전 D3] 6808 규영이와 인영이 카드게임 · [실전 D3] 9940 순열1 · [심화 D4] 8568 3으로 나눈 순열</t>
        </is>
      </c>
      <c r="K39" s="45" t="inlineStr">
        <is>
          <t>미수강</t>
        </is>
      </c>
      <c r="L39" s="45" t="inlineStr">
        <is>
          <t>-</t>
        </is>
      </c>
    </row>
    <row r="40" ht="19.5" customHeight="1" s="209">
      <c r="A40" s="50" t="n">
        <v>32</v>
      </c>
      <c r="B40" s="51" t="n">
        <v>46302</v>
      </c>
      <c r="C40" s="50" t="inlineStr">
        <is>
          <t>W07 (2주차)</t>
        </is>
      </c>
      <c r="D40" s="50" t="inlineStr">
        <is>
          <t>완전탐색 &amp; 힙</t>
        </is>
      </c>
      <c r="E40" s="53" t="inlineStr">
        <is>
          <t>[SW문제해결 기본] 순열</t>
        </is>
      </c>
      <c r="F40" s="53" t="inlineStr">
        <is>
          <t>조합적 문제</t>
        </is>
      </c>
      <c r="G40" s="50" t="inlineStr">
        <is>
          <t>김태희 강사</t>
        </is>
      </c>
      <c r="H40" s="50" t="inlineStr">
        <is>
          <t>00:11:23</t>
        </is>
      </c>
      <c r="I40" s="53" t="inlineStr">
        <is>
          <t>최대/최소 힙 직접 구현, 우선순위 큐, 순열 반복문 기초</t>
        </is>
      </c>
      <c r="J40" s="55" t="inlineStr">
        <is>
          <t>[실전 D3] 6808 규영이와 인영이 카드게임 · [실전 D3] 9940 순열1 · [심화 D4] 8568 3으로 나눈 순열</t>
        </is>
      </c>
      <c r="K40" s="50" t="inlineStr">
        <is>
          <t>미수강</t>
        </is>
      </c>
      <c r="L40" s="50" t="inlineStr">
        <is>
          <t>-</t>
        </is>
      </c>
    </row>
    <row r="41" ht="19.5" customHeight="1" s="209">
      <c r="A41" s="45" t="n">
        <v>33</v>
      </c>
      <c r="B41" s="47" t="n">
        <v>46302</v>
      </c>
      <c r="C41" s="45" t="inlineStr">
        <is>
          <t>W07 (2주차)</t>
        </is>
      </c>
      <c r="D41" s="45" t="inlineStr">
        <is>
          <t>완전탐색 &amp; 힙</t>
        </is>
      </c>
      <c r="E41" s="48" t="inlineStr">
        <is>
          <t>[SW문제해결 기본] 순열</t>
        </is>
      </c>
      <c r="F41" s="48" t="inlineStr">
        <is>
          <t>완전 검색_순열</t>
        </is>
      </c>
      <c r="G41" s="45" t="inlineStr">
        <is>
          <t>김태희 강사</t>
        </is>
      </c>
      <c r="H41" s="45" t="inlineStr">
        <is>
          <t>00:02:35</t>
        </is>
      </c>
      <c r="I41" s="48" t="inlineStr">
        <is>
          <t>최대/최소 힙 직접 구현, 우선순위 큐, 순열 반복문 기초</t>
        </is>
      </c>
      <c r="J41" s="32" t="inlineStr">
        <is>
          <t>[실전 D3] 6808 규영이와 인영이 카드게임 · [실전 D3] 9940 순열1 · [심화 D4] 8568 3으로 나눈 순열</t>
        </is>
      </c>
      <c r="K41" s="45" t="inlineStr">
        <is>
          <t>미수강</t>
        </is>
      </c>
      <c r="L41" s="45" t="inlineStr">
        <is>
          <t>-</t>
        </is>
      </c>
    </row>
    <row r="42" ht="19.5" customHeight="1" s="209">
      <c r="A42" s="50" t="n">
        <v>34</v>
      </c>
      <c r="B42" s="51" t="n">
        <v>46302</v>
      </c>
      <c r="C42" s="50" t="inlineStr">
        <is>
          <t>W07 (2주차)</t>
        </is>
      </c>
      <c r="D42" s="50" t="inlineStr">
        <is>
          <t>완전탐색 &amp; 힙</t>
        </is>
      </c>
      <c r="E42" s="53" t="inlineStr">
        <is>
          <t>[SW문제해결 기본] 순열</t>
        </is>
      </c>
      <c r="F42" s="53" t="inlineStr">
        <is>
          <t>순열 구현_반복문</t>
        </is>
      </c>
      <c r="G42" s="50" t="inlineStr">
        <is>
          <t>김태희 강사</t>
        </is>
      </c>
      <c r="H42" s="50" t="inlineStr">
        <is>
          <t>00:10:06</t>
        </is>
      </c>
      <c r="I42" s="53" t="inlineStr">
        <is>
          <t>최대/최소 힙 직접 구현, 우선순위 큐, 순열 반복문 기초</t>
        </is>
      </c>
      <c r="J42" s="55" t="inlineStr">
        <is>
          <t>[실전 D3] 6808 규영이와 인영이 카드게임 · [실전 D3] 9940 순열1 · [심화 D4] 8568 3으로 나눈 순열</t>
        </is>
      </c>
      <c r="K42" s="50" t="inlineStr">
        <is>
          <t>미수강</t>
        </is>
      </c>
      <c r="L42" s="50" t="inlineStr">
        <is>
          <t>-</t>
        </is>
      </c>
    </row>
    <row r="43" ht="19.5" customHeight="1" s="209">
      <c r="A43" s="45" t="n">
        <v>35</v>
      </c>
      <c r="B43" s="47" t="n">
        <v>46303</v>
      </c>
      <c r="C43" s="45" t="inlineStr">
        <is>
          <t>W07 (2주차)</t>
        </is>
      </c>
      <c r="D43" s="45" t="inlineStr">
        <is>
          <t>완전탐색 (순열/조합)</t>
        </is>
      </c>
      <c r="E43" s="48" t="inlineStr">
        <is>
          <t>[SW문제해결기본] 조합</t>
        </is>
      </c>
      <c r="F43" s="48" t="inlineStr">
        <is>
          <t>순열 구현_재귀</t>
        </is>
      </c>
      <c r="G43" s="45" t="inlineStr">
        <is>
          <t>김태희 강사</t>
        </is>
      </c>
      <c r="H43" s="45" t="inlineStr">
        <is>
          <t>00:23:30</t>
        </is>
      </c>
      <c r="I43" s="48" t="inlineStr">
        <is>
          <t>순열(nPr) 재귀 템플릿, 주사위 던지기, 조합(nCr) 반복문 및 재귀</t>
        </is>
      </c>
      <c r="J43" s="32" t="inlineStr">
        <is>
          <t>[기초 D1] 27018 다이얼 자물쇠 · [실전 D3] 5215 햄버거 다이어트 · [심화 D4] 1486 장훈이의 높은 선반</t>
        </is>
      </c>
      <c r="K43" s="45" t="inlineStr">
        <is>
          <t>미수강</t>
        </is>
      </c>
      <c r="L43" s="45" t="inlineStr">
        <is>
          <t>-</t>
        </is>
      </c>
    </row>
    <row r="44" ht="19.5" customHeight="1" s="209">
      <c r="A44" s="50" t="n">
        <v>36</v>
      </c>
      <c r="B44" s="51" t="n">
        <v>46303</v>
      </c>
      <c r="C44" s="50" t="inlineStr">
        <is>
          <t>W07 (2주차)</t>
        </is>
      </c>
      <c r="D44" s="50" t="inlineStr">
        <is>
          <t>완전탐색 (순열/조합)</t>
        </is>
      </c>
      <c r="E44" s="53" t="inlineStr">
        <is>
          <t>[SW문제해결기본] 조합</t>
        </is>
      </c>
      <c r="F44" s="53" t="inlineStr">
        <is>
          <t>완전 검색 활용_주사위 던지기 part1</t>
        </is>
      </c>
      <c r="G44" s="50" t="inlineStr">
        <is>
          <t>김태희 강사</t>
        </is>
      </c>
      <c r="H44" s="50" t="inlineStr">
        <is>
          <t>00:31:04</t>
        </is>
      </c>
      <c r="I44" s="53" t="inlineStr">
        <is>
          <t>순열(nPr) 재귀 템플릿, 주사위 던지기, 조합(nCr) 반복문 및 재귀</t>
        </is>
      </c>
      <c r="J44" s="55" t="inlineStr">
        <is>
          <t>[기초 D1] 27018 다이얼 자물쇠 · [실전 D3] 5215 햄버거 다이어트 · [심화 D4] 1486 장훈이의 높은 선반</t>
        </is>
      </c>
      <c r="K44" s="50" t="inlineStr">
        <is>
          <t>미수강</t>
        </is>
      </c>
      <c r="L44" s="50" t="inlineStr">
        <is>
          <t>-</t>
        </is>
      </c>
    </row>
    <row r="45" ht="19.5" customHeight="1" s="209">
      <c r="A45" s="45" t="n">
        <v>37</v>
      </c>
      <c r="B45" s="47" t="n">
        <v>46303</v>
      </c>
      <c r="C45" s="45" t="inlineStr">
        <is>
          <t>W07 (2주차)</t>
        </is>
      </c>
      <c r="D45" s="45" t="inlineStr">
        <is>
          <t>완전탐색 (순열/조합)</t>
        </is>
      </c>
      <c r="E45" s="48" t="inlineStr">
        <is>
          <t>[SW문제해결기본] 조합</t>
        </is>
      </c>
      <c r="F45" s="48" t="inlineStr">
        <is>
          <t>완전 검색_조합</t>
        </is>
      </c>
      <c r="G45" s="45" t="inlineStr">
        <is>
          <t>김태희 강사</t>
        </is>
      </c>
      <c r="H45" s="45" t="inlineStr">
        <is>
          <t>00:07:42</t>
        </is>
      </c>
      <c r="I45" s="48" t="inlineStr">
        <is>
          <t>순열(nPr) 재귀 템플릿, 주사위 던지기, 조합(nCr) 반복문 및 재귀</t>
        </is>
      </c>
      <c r="J45" s="32" t="inlineStr">
        <is>
          <t>[기초 D1] 27018 다이얼 자물쇠 · [실전 D3] 5215 햄버거 다이어트 · [심화 D4] 1486 장훈이의 높은 선반</t>
        </is>
      </c>
      <c r="K45" s="45" t="inlineStr">
        <is>
          <t>미수강</t>
        </is>
      </c>
      <c r="L45" s="45" t="inlineStr">
        <is>
          <t>-</t>
        </is>
      </c>
    </row>
    <row r="46" ht="19.5" customHeight="1" s="209">
      <c r="A46" s="50" t="n">
        <v>38</v>
      </c>
      <c r="B46" s="51" t="n">
        <v>46303</v>
      </c>
      <c r="C46" s="50" t="inlineStr">
        <is>
          <t>W07 (2주차)</t>
        </is>
      </c>
      <c r="D46" s="50" t="inlineStr">
        <is>
          <t>완전탐색 (순열/조합)</t>
        </is>
      </c>
      <c r="E46" s="53" t="inlineStr">
        <is>
          <t>[SW문제해결기본] 조합</t>
        </is>
      </c>
      <c r="F46" s="53" t="inlineStr">
        <is>
          <t>조합 구현_반복문</t>
        </is>
      </c>
      <c r="G46" s="50" t="inlineStr">
        <is>
          <t>김태희 강사</t>
        </is>
      </c>
      <c r="H46" s="50" t="inlineStr">
        <is>
          <t>00:08:33</t>
        </is>
      </c>
      <c r="I46" s="53" t="inlineStr">
        <is>
          <t>순열(nPr) 재귀 템플릿, 주사위 던지기, 조합(nCr) 반복문 및 재귀</t>
        </is>
      </c>
      <c r="J46" s="55" t="inlineStr">
        <is>
          <t>[기초 D1] 27018 다이얼 자물쇠 · [실전 D3] 5215 햄버거 다이어트 · [심화 D4] 1486 장훈이의 높은 선반</t>
        </is>
      </c>
      <c r="K46" s="50" t="inlineStr">
        <is>
          <t>미수강</t>
        </is>
      </c>
      <c r="L46" s="50" t="inlineStr">
        <is>
          <t>-</t>
        </is>
      </c>
    </row>
    <row r="47" ht="19.5" customHeight="1" s="209">
      <c r="A47" s="45" t="n">
        <v>39</v>
      </c>
      <c r="B47" s="47" t="n">
        <v>46303</v>
      </c>
      <c r="C47" s="45" t="inlineStr">
        <is>
          <t>W07 (2주차)</t>
        </is>
      </c>
      <c r="D47" s="45" t="inlineStr">
        <is>
          <t>완전탐색 (순열/조합)</t>
        </is>
      </c>
      <c r="E47" s="48" t="inlineStr">
        <is>
          <t>[SW문제해결기본] 조합</t>
        </is>
      </c>
      <c r="F47" s="48" t="inlineStr">
        <is>
          <t>부록_조합 구현_재귀</t>
        </is>
      </c>
      <c r="G47" s="45" t="inlineStr">
        <is>
          <t>김태희 강사</t>
        </is>
      </c>
      <c r="H47" s="45" t="inlineStr">
        <is>
          <t>00:07:42</t>
        </is>
      </c>
      <c r="I47" s="48" t="inlineStr">
        <is>
          <t>순열(nPr) 재귀 템플릿, 주사위 던지기, 조합(nCr) 반복문 및 재귀</t>
        </is>
      </c>
      <c r="J47" s="32" t="inlineStr">
        <is>
          <t>[기초 D1] 27018 다이얼 자물쇠 · [실전 D3] 5215 햄버거 다이어트 · [심화 D4] 1486 장훈이의 높은 선반</t>
        </is>
      </c>
      <c r="K47" s="45" t="inlineStr">
        <is>
          <t>미수강</t>
        </is>
      </c>
      <c r="L47" s="45" t="inlineStr">
        <is>
          <t>-</t>
        </is>
      </c>
    </row>
    <row r="48" ht="19.5" customHeight="1" s="209">
      <c r="A48" s="50" t="n">
        <v>40</v>
      </c>
      <c r="B48" s="51" t="n">
        <v>46303</v>
      </c>
      <c r="C48" s="50" t="inlineStr">
        <is>
          <t>W07 (2주차)</t>
        </is>
      </c>
      <c r="D48" s="50" t="inlineStr">
        <is>
          <t>완전탐색 (순열/조합)</t>
        </is>
      </c>
      <c r="E48" s="53" t="inlineStr">
        <is>
          <t>[SW문제해결기본] 조합</t>
        </is>
      </c>
      <c r="F48" s="53" t="inlineStr">
        <is>
          <t>완전 검색 활용_주사위 던지기 part 2</t>
        </is>
      </c>
      <c r="G48" s="50" t="inlineStr">
        <is>
          <t>김태희 강사</t>
        </is>
      </c>
      <c r="H48" s="50" t="inlineStr">
        <is>
          <t>00:13:50</t>
        </is>
      </c>
      <c r="I48" s="53" t="inlineStr">
        <is>
          <t>순열(nPr) 재귀 템플릿, 주사위 던지기, 조합(nCr) 반복문 및 재귀</t>
        </is>
      </c>
      <c r="J48" s="55" t="inlineStr">
        <is>
          <t>[기초 D1] 27018 다이얼 자물쇠 · [실전 D3] 5215 햄버거 다이어트 · [심화 D4] 1486 장훈이의 높은 선반</t>
        </is>
      </c>
      <c r="K48" s="50" t="inlineStr">
        <is>
          <t>미수강</t>
        </is>
      </c>
      <c r="L48" s="50" t="inlineStr">
        <is>
          <t>-</t>
        </is>
      </c>
    </row>
    <row r="49" ht="19.5" customHeight="1" s="209">
      <c r="A49" s="45" t="n">
        <v>41</v>
      </c>
      <c r="B49" s="47" t="n">
        <v>46304</v>
      </c>
      <c r="C49" s="45" t="inlineStr">
        <is>
          <t>W07 (2주차)</t>
        </is>
      </c>
      <c r="D49" s="45" t="inlineStr">
        <is>
          <t>완전탐색 (부분집합)</t>
        </is>
      </c>
      <c r="E49" s="48" t="inlineStr">
        <is>
          <t>[SW문제해결기본] 부분집합</t>
        </is>
      </c>
      <c r="F49" s="48" t="inlineStr">
        <is>
          <t>완전 검색_부분집합</t>
        </is>
      </c>
      <c r="G49" s="45" t="inlineStr">
        <is>
          <t>김태희 강사</t>
        </is>
      </c>
      <c r="H49" s="45" t="inlineStr">
        <is>
          <t>00:23:04</t>
        </is>
      </c>
      <c r="I49" s="48" t="inlineStr">
        <is>
          <t>부분집합 재귀 생성, 부분집합의 합, 비트 연산, 바이너리 카운팅</t>
        </is>
      </c>
      <c r="J49" s="32" t="inlineStr">
        <is>
          <t>[기초 D2] 26927 비트연산 · [실전 D3] 2817 부분수열의 합 · [심화 D4] 1486 장훈이의 높은 선반</t>
        </is>
      </c>
      <c r="K49" s="45" t="inlineStr">
        <is>
          <t>미수강</t>
        </is>
      </c>
      <c r="L49" s="45" t="inlineStr">
        <is>
          <t>-</t>
        </is>
      </c>
    </row>
    <row r="50" ht="19.5" customHeight="1" s="209">
      <c r="A50" s="50" t="n">
        <v>42</v>
      </c>
      <c r="B50" s="51" t="n">
        <v>46304</v>
      </c>
      <c r="C50" s="50" t="inlineStr">
        <is>
          <t>W07 (2주차)</t>
        </is>
      </c>
      <c r="D50" s="50" t="inlineStr">
        <is>
          <t>완전탐색 (부분집합)</t>
        </is>
      </c>
      <c r="E50" s="53" t="inlineStr">
        <is>
          <t>[SW문제해결기본] 부분집합</t>
        </is>
      </c>
      <c r="F50" s="53" t="inlineStr">
        <is>
          <t>부분집합 구현_반복문</t>
        </is>
      </c>
      <c r="G50" s="50" t="inlineStr">
        <is>
          <t>김태희 강사</t>
        </is>
      </c>
      <c r="H50" s="50" t="inlineStr">
        <is>
          <t>00:04:27</t>
        </is>
      </c>
      <c r="I50" s="53" t="inlineStr">
        <is>
          <t>부분집합 재귀 생성, 부분집합의 합, 비트 연산, 바이너리 카운팅</t>
        </is>
      </c>
      <c r="J50" s="55" t="inlineStr">
        <is>
          <t>[기초 D2] 26927 비트연산 · [실전 D3] 2817 부분수열의 합 · [심화 D4] 1486 장훈이의 높은 선반</t>
        </is>
      </c>
      <c r="K50" s="50" t="inlineStr">
        <is>
          <t>미수강</t>
        </is>
      </c>
      <c r="L50" s="50" t="inlineStr">
        <is>
          <t>-</t>
        </is>
      </c>
    </row>
    <row r="51" ht="19.5" customHeight="1" s="209">
      <c r="A51" s="45" t="n">
        <v>43</v>
      </c>
      <c r="B51" s="47" t="n">
        <v>46304</v>
      </c>
      <c r="C51" s="45" t="inlineStr">
        <is>
          <t>W07 (2주차)</t>
        </is>
      </c>
      <c r="D51" s="45" t="inlineStr">
        <is>
          <t>완전탐색 (부분집합)</t>
        </is>
      </c>
      <c r="E51" s="48" t="inlineStr">
        <is>
          <t>[SW문제해결기본] 부분집합</t>
        </is>
      </c>
      <c r="F51" s="48" t="inlineStr">
        <is>
          <t>부분집합 구현_재귀</t>
        </is>
      </c>
      <c r="G51" s="45" t="inlineStr">
        <is>
          <t>김태희 강사</t>
        </is>
      </c>
      <c r="H51" s="45" t="inlineStr">
        <is>
          <t>00:21:14</t>
        </is>
      </c>
      <c r="I51" s="48" t="inlineStr">
        <is>
          <t>부분집합 재귀 생성, 부분집합의 합, 비트 연산, 바이너리 카운팅</t>
        </is>
      </c>
      <c r="J51" s="32" t="inlineStr">
        <is>
          <t>[기초 D2] 26927 비트연산 · [실전 D3] 2817 부분수열의 합 · [심화 D4] 1486 장훈이의 높은 선반</t>
        </is>
      </c>
      <c r="K51" s="45" t="inlineStr">
        <is>
          <t>미수강</t>
        </is>
      </c>
      <c r="L51" s="45" t="inlineStr">
        <is>
          <t>-</t>
        </is>
      </c>
    </row>
    <row r="52" ht="19.5" customHeight="1" s="209">
      <c r="A52" s="50" t="n">
        <v>44</v>
      </c>
      <c r="B52" s="51" t="n">
        <v>46304</v>
      </c>
      <c r="C52" s="50" t="inlineStr">
        <is>
          <t>W07 (2주차)</t>
        </is>
      </c>
      <c r="D52" s="50" t="inlineStr">
        <is>
          <t>완전탐색 (부분집합)</t>
        </is>
      </c>
      <c r="E52" s="53" t="inlineStr">
        <is>
          <t>[SW문제해결기본] 부분집합</t>
        </is>
      </c>
      <c r="F52" s="53" t="inlineStr">
        <is>
          <t>완전 검색_부분집합의 합</t>
        </is>
      </c>
      <c r="G52" s="50" t="inlineStr">
        <is>
          <t>김태희 강사</t>
        </is>
      </c>
      <c r="H52" s="50" t="inlineStr">
        <is>
          <t>00:14:33</t>
        </is>
      </c>
      <c r="I52" s="53" t="inlineStr">
        <is>
          <t>부분집합 재귀 생성, 부분집합의 합, 비트 연산, 바이너리 카운팅</t>
        </is>
      </c>
      <c r="J52" s="55" t="inlineStr">
        <is>
          <t>[기초 D2] 26927 비트연산 · [실전 D3] 2817 부분수열의 합 · [심화 D4] 1486 장훈이의 높은 선반</t>
        </is>
      </c>
      <c r="K52" s="50" t="inlineStr">
        <is>
          <t>미수강</t>
        </is>
      </c>
      <c r="L52" s="50" t="inlineStr">
        <is>
          <t>-</t>
        </is>
      </c>
    </row>
    <row r="53" ht="19.5" customHeight="1" s="209">
      <c r="A53" s="45" t="n">
        <v>45</v>
      </c>
      <c r="B53" s="47" t="n">
        <v>46304</v>
      </c>
      <c r="C53" s="45" t="inlineStr">
        <is>
          <t>W07 (2주차)</t>
        </is>
      </c>
      <c r="D53" s="45" t="inlineStr">
        <is>
          <t>완전탐색 (부분집합)</t>
        </is>
      </c>
      <c r="E53" s="48" t="inlineStr">
        <is>
          <t>[SW문제해결기본] 부분집합</t>
        </is>
      </c>
      <c r="F53" s="48" t="inlineStr">
        <is>
          <t>비트 연산</t>
        </is>
      </c>
      <c r="G53" s="45" t="inlineStr">
        <is>
          <t>김태희 강사</t>
        </is>
      </c>
      <c r="H53" s="45" t="inlineStr">
        <is>
          <t>00:25:10</t>
        </is>
      </c>
      <c r="I53" s="48" t="inlineStr">
        <is>
          <t>부분집합 재귀 생성, 부분집합의 합, 비트 연산, 바이너리 카운팅</t>
        </is>
      </c>
      <c r="J53" s="32" t="inlineStr">
        <is>
          <t>[기초 D2] 26927 비트연산 · [실전 D3] 2817 부분수열의 합 · [심화 D4] 1486 장훈이의 높은 선반</t>
        </is>
      </c>
      <c r="K53" s="45" t="inlineStr">
        <is>
          <t>미수강</t>
        </is>
      </c>
      <c r="L53" s="45" t="inlineStr">
        <is>
          <t>-</t>
        </is>
      </c>
    </row>
    <row r="54" ht="19.5" customHeight="1" s="209">
      <c r="A54" s="50" t="n">
        <v>46</v>
      </c>
      <c r="B54" s="51" t="n">
        <v>46304</v>
      </c>
      <c r="C54" s="50" t="inlineStr">
        <is>
          <t>W07 (2주차)</t>
        </is>
      </c>
      <c r="D54" s="50" t="inlineStr">
        <is>
          <t>완전탐색 (부분집합)</t>
        </is>
      </c>
      <c r="E54" s="53" t="inlineStr">
        <is>
          <t>[SW문제해결기본] 부분집합</t>
        </is>
      </c>
      <c r="F54" s="53" t="inlineStr">
        <is>
          <t>부분집합 응용_바이너리 카운팅</t>
        </is>
      </c>
      <c r="G54" s="50" t="inlineStr">
        <is>
          <t>김태희 강사</t>
        </is>
      </c>
      <c r="H54" s="50" t="inlineStr">
        <is>
          <t>00:15:14</t>
        </is>
      </c>
      <c r="I54" s="53" t="inlineStr">
        <is>
          <t>부분집합 재귀 생성, 부분집합의 합, 비트 연산, 바이너리 카운팅</t>
        </is>
      </c>
      <c r="J54" s="55" t="inlineStr">
        <is>
          <t>[기초 D2] 26927 비트연산 · [실전 D3] 2817 부분수열의 합 · [심화 D4] 1486 장훈이의 높은 선반</t>
        </is>
      </c>
      <c r="K54" s="50" t="inlineStr">
        <is>
          <t>미수강</t>
        </is>
      </c>
      <c r="L54" s="50" t="inlineStr">
        <is>
          <t>-</t>
        </is>
      </c>
    </row>
    <row r="55" ht="19.5" customHeight="1" s="209">
      <c r="A55" s="45" t="n">
        <v>47</v>
      </c>
      <c r="B55" s="47" t="n">
        <v>46307</v>
      </c>
      <c r="C55" s="45" t="inlineStr">
        <is>
          <t>W08 (3주차)</t>
        </is>
      </c>
      <c r="D55" s="45" t="inlineStr">
        <is>
          <t>완탐 심화</t>
        </is>
      </c>
      <c r="E55" s="48" t="inlineStr">
        <is>
          <t>[SW문제해결응용] 완탐응용</t>
        </is>
      </c>
      <c r="F55" s="48" t="inlineStr">
        <is>
          <t>비트 연산</t>
        </is>
      </c>
      <c r="G55" s="45" t="inlineStr">
        <is>
          <t>김태희 강사</t>
        </is>
      </c>
      <c r="H55" s="45" t="inlineStr">
        <is>
          <t>00:32:52</t>
        </is>
      </c>
      <c r="I55" s="48" t="inlineStr">
        <is>
          <t>비트마스킹 순열(메모리/시간 최적화), Next Permutation 사전순 구현</t>
        </is>
      </c>
      <c r="J55" s="32" t="inlineStr">
        <is>
          <t>[실전 D3] 1873 상호의 배틀필드 · [심화 D3] 2806 N-Queen · [심화 D5] 1247 최적 경로</t>
        </is>
      </c>
      <c r="K55" s="45" t="inlineStr">
        <is>
          <t>미수강</t>
        </is>
      </c>
      <c r="L55" s="45" t="inlineStr">
        <is>
          <t>-</t>
        </is>
      </c>
    </row>
    <row r="56" ht="19.5" customHeight="1" s="209">
      <c r="A56" s="50" t="n">
        <v>48</v>
      </c>
      <c r="B56" s="51" t="n">
        <v>46307</v>
      </c>
      <c r="C56" s="50" t="inlineStr">
        <is>
          <t>W08 (3주차)</t>
        </is>
      </c>
      <c r="D56" s="50" t="inlineStr">
        <is>
          <t>완탐 심화</t>
        </is>
      </c>
      <c r="E56" s="53" t="inlineStr">
        <is>
          <t>[SW문제해결응용] 완탐응용</t>
        </is>
      </c>
      <c r="F56" s="53" t="inlineStr">
        <is>
          <t>순열 응용_비트 마스킹 순열</t>
        </is>
      </c>
      <c r="G56" s="50" t="inlineStr">
        <is>
          <t>김태희 강사</t>
        </is>
      </c>
      <c r="H56" s="50" t="inlineStr">
        <is>
          <t>00:18:27</t>
        </is>
      </c>
      <c r="I56" s="53" t="inlineStr">
        <is>
          <t>비트마스킹 순열(메모리/시간 최적화), Next Permutation 사전순 구현</t>
        </is>
      </c>
      <c r="J56" s="55" t="inlineStr">
        <is>
          <t>[실전 D3] 1873 상호의 배틀필드 · [심화 D3] 2806 N-Queen · [심화 D5] 1247 최적 경로</t>
        </is>
      </c>
      <c r="K56" s="50" t="inlineStr">
        <is>
          <t>미수강</t>
        </is>
      </c>
      <c r="L56" s="50" t="inlineStr">
        <is>
          <t>-</t>
        </is>
      </c>
    </row>
    <row r="57" ht="19.5" customHeight="1" s="209">
      <c r="A57" s="45" t="n">
        <v>49</v>
      </c>
      <c r="B57" s="47" t="n">
        <v>46307</v>
      </c>
      <c r="C57" s="45" t="inlineStr">
        <is>
          <t>W08 (3주차)</t>
        </is>
      </c>
      <c r="D57" s="45" t="inlineStr">
        <is>
          <t>완탐 심화</t>
        </is>
      </c>
      <c r="E57" s="48" t="inlineStr">
        <is>
          <t>[SW문제해결응용] 완탐응용</t>
        </is>
      </c>
      <c r="F57" s="48" t="inlineStr">
        <is>
          <t>순열 응용_Next Permutation</t>
        </is>
      </c>
      <c r="G57" s="45" t="inlineStr">
        <is>
          <t>김태희 강사</t>
        </is>
      </c>
      <c r="H57" s="45" t="inlineStr">
        <is>
          <t>01:01:59</t>
        </is>
      </c>
      <c r="I57" s="48" t="inlineStr">
        <is>
          <t>비트마스킹 순열(메모리/시간 최적화), Next Permutation 사전순 구현</t>
        </is>
      </c>
      <c r="J57" s="32" t="inlineStr">
        <is>
          <t>[실전 D3] 1873 상호의 배틀필드 · [심화 D3] 2806 N-Queen · [심화 D5] 1247 최적 경로</t>
        </is>
      </c>
      <c r="K57" s="45" t="inlineStr">
        <is>
          <t>미수강</t>
        </is>
      </c>
      <c r="L57" s="45" t="inlineStr">
        <is>
          <t>-</t>
        </is>
      </c>
    </row>
    <row r="58" ht="19.5" customHeight="1" s="209">
      <c r="A58" s="50" t="n">
        <v>50</v>
      </c>
      <c r="B58" s="51" t="n">
        <v>46308</v>
      </c>
      <c r="C58" s="50" t="inlineStr">
        <is>
          <t>W08 (3주차)</t>
        </is>
      </c>
      <c r="D58" s="50" t="inlineStr">
        <is>
          <t>실전 문제풀이</t>
        </is>
      </c>
      <c r="E58" s="53" t="inlineStr">
        <is>
          <t>[SW문제해결응용] 문제풀이</t>
        </is>
      </c>
      <c r="F58" s="53" t="inlineStr">
        <is>
          <t>SW 문제 해결</t>
        </is>
      </c>
      <c r="G58" s="50" t="inlineStr">
        <is>
          <t>김태희 강사</t>
        </is>
      </c>
      <c r="H58" s="50" t="inlineStr">
        <is>
          <t>00:20:42</t>
        </is>
      </c>
      <c r="I58" s="53" t="inlineStr">
        <is>
          <t>시뮬레이션 구현 테크닉 (1873 상호의 배틀필드 격자 맵 조작)</t>
        </is>
      </c>
      <c r="J58" s="55" t="inlineStr">
        <is>
          <t>[기초 D2] 1954 달팽이 숫자 · [실전 D3] 1209 Sum · [심화 D4] 1210 Ladder1</t>
        </is>
      </c>
      <c r="K58" s="50" t="inlineStr">
        <is>
          <t>미수강</t>
        </is>
      </c>
      <c r="L58" s="50" t="inlineStr">
        <is>
          <t>-</t>
        </is>
      </c>
    </row>
    <row r="59" ht="19.5" customHeight="1" s="209">
      <c r="A59" s="45" t="n">
        <v>51</v>
      </c>
      <c r="B59" s="47" t="n">
        <v>46308</v>
      </c>
      <c r="C59" s="45" t="inlineStr">
        <is>
          <t>W08 (3주차)</t>
        </is>
      </c>
      <c r="D59" s="45" t="inlineStr">
        <is>
          <t>실전 문제풀이</t>
        </is>
      </c>
      <c r="E59" s="48" t="inlineStr">
        <is>
          <t>[SW문제해결응용] 문제풀이</t>
        </is>
      </c>
      <c r="F59" s="48" t="inlineStr">
        <is>
          <t>문제 풀이_6808_규영이와 인영이의 카드게임</t>
        </is>
      </c>
      <c r="G59" s="45" t="inlineStr">
        <is>
          <t>김태희 강사</t>
        </is>
      </c>
      <c r="H59" s="45" t="inlineStr">
        <is>
          <t>00:29:24</t>
        </is>
      </c>
      <c r="I59" s="48" t="inlineStr">
        <is>
          <t>시뮬레이션 구현 테크닉 (1873 상호의 배틀필드 격자 맵 조작)</t>
        </is>
      </c>
      <c r="J59" s="32" t="inlineStr">
        <is>
          <t>[기초 D2] 1954 달팽이 숫자 · [실전 D3] 1209 Sum · [심화 D4] 1210 Ladder1</t>
        </is>
      </c>
      <c r="K59" s="45" t="inlineStr">
        <is>
          <t>미수강</t>
        </is>
      </c>
      <c r="L59" s="45" t="inlineStr">
        <is>
          <t>-</t>
        </is>
      </c>
    </row>
    <row r="60" ht="19.5" customHeight="1" s="209">
      <c r="A60" s="50" t="n">
        <v>52</v>
      </c>
      <c r="B60" s="51" t="n">
        <v>46308</v>
      </c>
      <c r="C60" s="50" t="inlineStr">
        <is>
          <t>W08 (3주차)</t>
        </is>
      </c>
      <c r="D60" s="50" t="inlineStr">
        <is>
          <t>실전 문제풀이</t>
        </is>
      </c>
      <c r="E60" s="53" t="inlineStr">
        <is>
          <t>[SW문제해결응용] 문제풀이</t>
        </is>
      </c>
      <c r="F60" s="53" t="inlineStr">
        <is>
          <t>문제 풀이_1873_상호의 배틀필드</t>
        </is>
      </c>
      <c r="G60" s="50" t="inlineStr">
        <is>
          <t>김태희 강사</t>
        </is>
      </c>
      <c r="H60" s="50" t="inlineStr">
        <is>
          <t>00:39:34</t>
        </is>
      </c>
      <c r="I60" s="53" t="inlineStr">
        <is>
          <t>시뮬레이션 구현 테크닉 (1873 상호의 배틀필드 격자 맵 조작)</t>
        </is>
      </c>
      <c r="J60" s="55" t="inlineStr">
        <is>
          <t>[기초 D2] 1954 달팽이 숫자 · [실전 D3] 1209 Sum · [심화 D4] 1210 Ladder1</t>
        </is>
      </c>
      <c r="K60" s="50" t="inlineStr">
        <is>
          <t>미수강</t>
        </is>
      </c>
      <c r="L60" s="50" t="inlineStr">
        <is>
          <t>-</t>
        </is>
      </c>
    </row>
    <row r="61" ht="19.5" customHeight="1" s="209">
      <c r="A61" s="45" t="n">
        <v>53</v>
      </c>
      <c r="B61" s="47" t="n">
        <v>46309</v>
      </c>
      <c r="C61" s="45" t="inlineStr">
        <is>
          <t>W08 (3주차)</t>
        </is>
      </c>
      <c r="D61" s="45" t="inlineStr">
        <is>
          <t>백트래킹</t>
        </is>
      </c>
      <c r="E61" s="48" t="inlineStr">
        <is>
          <t>[SW문제해결응용] 백트래킹</t>
        </is>
      </c>
      <c r="F61" s="48" t="inlineStr">
        <is>
          <t>백트래킹</t>
        </is>
      </c>
      <c r="G61" s="45" t="inlineStr">
        <is>
          <t>김태희 강사</t>
        </is>
      </c>
      <c r="H61" s="45" t="inlineStr">
        <is>
          <t>00:52:40</t>
        </is>
      </c>
      <c r="I61" s="48" t="inlineStr">
        <is>
          <t>백트래킹 원리, 가지치기(Pruning) 조건 설계, N-Queen 체스판 탐색</t>
        </is>
      </c>
      <c r="J61" s="32" t="inlineStr">
        <is>
          <t>[실전 D3] 2806 N-Queen · [실전 D3] 26949 전기 자전거 · [심화 D4] 1210 Ladder1 / 1868 파핑파핑</t>
        </is>
      </c>
      <c r="K61" s="45" t="inlineStr">
        <is>
          <t>미수강</t>
        </is>
      </c>
      <c r="L61" s="45" t="inlineStr">
        <is>
          <t>-</t>
        </is>
      </c>
    </row>
    <row r="62" ht="19.5" customHeight="1" s="209">
      <c r="A62" s="50" t="n">
        <v>54</v>
      </c>
      <c r="B62" s="51" t="n">
        <v>46309</v>
      </c>
      <c r="C62" s="50" t="inlineStr">
        <is>
          <t>W08 (3주차)</t>
        </is>
      </c>
      <c r="D62" s="50" t="inlineStr">
        <is>
          <t>백트래킹</t>
        </is>
      </c>
      <c r="E62" s="53" t="inlineStr">
        <is>
          <t>[SW문제해결응용] 백트래킹</t>
        </is>
      </c>
      <c r="F62" s="53" t="inlineStr">
        <is>
          <t>백트래킹_NQueen</t>
        </is>
      </c>
      <c r="G62" s="50" t="inlineStr">
        <is>
          <t>김태희 강사</t>
        </is>
      </c>
      <c r="H62" s="50" t="inlineStr">
        <is>
          <t>01:05:51</t>
        </is>
      </c>
      <c r="I62" s="53" t="inlineStr">
        <is>
          <t>백트래킹 원리, 가지치기(Pruning) 조건 설계, N-Queen 체스판 탐색</t>
        </is>
      </c>
      <c r="J62" s="55" t="inlineStr">
        <is>
          <t>[실전 D3] 2806 N-Queen · [실전 D3] 26949 전기 자전거 · [심화 D4] 1210 Ladder1 / 1868 파핑파핑</t>
        </is>
      </c>
      <c r="K62" s="50" t="inlineStr">
        <is>
          <t>미수강</t>
        </is>
      </c>
      <c r="L62" s="50" t="inlineStr">
        <is>
          <t>-</t>
        </is>
      </c>
    </row>
    <row r="63" ht="19.5" customHeight="1" s="209">
      <c r="A63" s="45" t="n">
        <v>55</v>
      </c>
      <c r="B63" s="47" t="n">
        <v>46310</v>
      </c>
      <c r="C63" s="45" t="inlineStr">
        <is>
          <t>W08 (3주차)</t>
        </is>
      </c>
      <c r="D63" s="45" t="inlineStr">
        <is>
          <t>탐욕 (Greedy)</t>
        </is>
      </c>
      <c r="E63" s="48" t="inlineStr">
        <is>
          <t>[SW문제해결응용] 탐욕</t>
        </is>
      </c>
      <c r="F63" s="48" t="inlineStr">
        <is>
          <t>백트래킹 활용_부분 집합의 합</t>
        </is>
      </c>
      <c r="G63" s="45" t="inlineStr">
        <is>
          <t>김태희 강사</t>
        </is>
      </c>
      <c r="H63" s="45" t="inlineStr">
        <is>
          <t>00:18:48</t>
        </is>
      </c>
      <c r="I63" s="48" t="inlineStr">
        <is>
          <t>그리디 선택 속성, 부분 배낭 문제, 회의실 배정 정렬, 동전 자판기</t>
        </is>
      </c>
      <c r="J63" s="32" t="inlineStr">
        <is>
          <t>[기초 D2] 1970 쉬운 거스름돈 · [실전 D2] 14510 나무 높이 · [심화 D3] 1208 Flatten</t>
        </is>
      </c>
      <c r="K63" s="45" t="inlineStr">
        <is>
          <t>미수강</t>
        </is>
      </c>
      <c r="L63" s="45" t="inlineStr">
        <is>
          <t>-</t>
        </is>
      </c>
    </row>
    <row r="64" ht="19.5" customHeight="1" s="209">
      <c r="A64" s="50" t="n">
        <v>56</v>
      </c>
      <c r="B64" s="51" t="n">
        <v>46310</v>
      </c>
      <c r="C64" s="50" t="inlineStr">
        <is>
          <t>W08 (3주차)</t>
        </is>
      </c>
      <c r="D64" s="50" t="inlineStr">
        <is>
          <t>탐욕 (Greedy)</t>
        </is>
      </c>
      <c r="E64" s="53" t="inlineStr">
        <is>
          <t>[SW문제해결응용] 탐욕</t>
        </is>
      </c>
      <c r="F64" s="53" t="inlineStr">
        <is>
          <t>탐욕 기법</t>
        </is>
      </c>
      <c r="G64" s="50" t="inlineStr">
        <is>
          <t>김태희 강사</t>
        </is>
      </c>
      <c r="H64" s="50" t="inlineStr">
        <is>
          <t>00:23:57</t>
        </is>
      </c>
      <c r="I64" s="53" t="inlineStr">
        <is>
          <t>그리디 선택 속성, 부분 배낭 문제, 회의실 배정 정렬, 동전 자판기</t>
        </is>
      </c>
      <c r="J64" s="55" t="inlineStr">
        <is>
          <t>[기초 D2] 1970 쉬운 거스름돈 · [실전 D2] 14510 나무 높이 · [심화 D3] 1208 Flatten</t>
        </is>
      </c>
      <c r="K64" s="50" t="inlineStr">
        <is>
          <t>미수강</t>
        </is>
      </c>
      <c r="L64" s="50" t="inlineStr">
        <is>
          <t>-</t>
        </is>
      </c>
    </row>
    <row r="65" ht="19.5" customHeight="1" s="209">
      <c r="A65" s="45" t="n">
        <v>57</v>
      </c>
      <c r="B65" s="47" t="n">
        <v>46310</v>
      </c>
      <c r="C65" s="45" t="inlineStr">
        <is>
          <t>W08 (3주차)</t>
        </is>
      </c>
      <c r="D65" s="45" t="inlineStr">
        <is>
          <t>탐욕 (Greedy)</t>
        </is>
      </c>
      <c r="E65" s="48" t="inlineStr">
        <is>
          <t>[SW문제해결응용] 탐욕</t>
        </is>
      </c>
      <c r="F65" s="48" t="inlineStr">
        <is>
          <t>탐욕 기법_배낭 짐싸기</t>
        </is>
      </c>
      <c r="G65" s="45" t="inlineStr">
        <is>
          <t>김태희 강사</t>
        </is>
      </c>
      <c r="H65" s="45" t="inlineStr">
        <is>
          <t>00:12:52</t>
        </is>
      </c>
      <c r="I65" s="48" t="inlineStr">
        <is>
          <t>그리디 선택 속성, 부분 배낭 문제, 회의실 배정 정렬, 동전 자판기</t>
        </is>
      </c>
      <c r="J65" s="32" t="inlineStr">
        <is>
          <t>[기초 D2] 1970 쉬운 거스름돈 · [실전 D2] 14510 나무 높이 · [심화 D3] 1208 Flatten</t>
        </is>
      </c>
      <c r="K65" s="45" t="inlineStr">
        <is>
          <t>미수강</t>
        </is>
      </c>
      <c r="L65" s="45" t="inlineStr">
        <is>
          <t>-</t>
        </is>
      </c>
    </row>
    <row r="66" ht="19.5" customHeight="1" s="209">
      <c r="A66" s="50" t="n">
        <v>58</v>
      </c>
      <c r="B66" s="51" t="n">
        <v>46310</v>
      </c>
      <c r="C66" s="50" t="inlineStr">
        <is>
          <t>W08 (3주차)</t>
        </is>
      </c>
      <c r="D66" s="50" t="inlineStr">
        <is>
          <t>탐욕 (Greedy)</t>
        </is>
      </c>
      <c r="E66" s="53" t="inlineStr">
        <is>
          <t>[SW문제해결응용] 탐욕</t>
        </is>
      </c>
      <c r="F66" s="53" t="inlineStr">
        <is>
          <t>탐욕 기법 활용_회의실 배정</t>
        </is>
      </c>
      <c r="G66" s="50" t="inlineStr">
        <is>
          <t>김태희 강사</t>
        </is>
      </c>
      <c r="H66" s="50" t="inlineStr">
        <is>
          <t>00:27:45</t>
        </is>
      </c>
      <c r="I66" s="53" t="inlineStr">
        <is>
          <t>그리디 선택 속성, 부분 배낭 문제, 회의실 배정 정렬, 동전 자판기</t>
        </is>
      </c>
      <c r="J66" s="55" t="inlineStr">
        <is>
          <t>[기초 D2] 1970 쉬운 거스름돈 · [실전 D2] 14510 나무 높이 · [심화 D3] 1208 Flatten</t>
        </is>
      </c>
      <c r="K66" s="50" t="inlineStr">
        <is>
          <t>미수강</t>
        </is>
      </c>
      <c r="L66" s="50" t="inlineStr">
        <is>
          <t>-</t>
        </is>
      </c>
    </row>
    <row r="67" ht="19.5" customHeight="1" s="209">
      <c r="A67" s="45" t="n">
        <v>59</v>
      </c>
      <c r="B67" s="47" t="n">
        <v>46310</v>
      </c>
      <c r="C67" s="45" t="inlineStr">
        <is>
          <t>W08 (3주차)</t>
        </is>
      </c>
      <c r="D67" s="45" t="inlineStr">
        <is>
          <t>탐욕 (Greedy)</t>
        </is>
      </c>
      <c r="E67" s="48" t="inlineStr">
        <is>
          <t>[SW문제해결응용] 탐욕</t>
        </is>
      </c>
      <c r="F67" s="48" t="inlineStr">
        <is>
          <t>탐욕 기법 응용_동전 자판기</t>
        </is>
      </c>
      <c r="G67" s="45" t="inlineStr">
        <is>
          <t>김태희 강사</t>
        </is>
      </c>
      <c r="H67" s="45" t="inlineStr">
        <is>
          <t>00:05:54</t>
        </is>
      </c>
      <c r="I67" s="48" t="inlineStr">
        <is>
          <t>그리디 선택 속성, 부분 배낭 문제, 회의실 배정 정렬, 동전 자판기</t>
        </is>
      </c>
      <c r="J67" s="32" t="inlineStr">
        <is>
          <t>[기초 D2] 1970 쉬운 거스름돈 · [실전 D2] 14510 나무 높이 · [심화 D3] 1208 Flatten</t>
        </is>
      </c>
      <c r="K67" s="45" t="inlineStr">
        <is>
          <t>미수강</t>
        </is>
      </c>
      <c r="L67" s="45" t="inlineStr">
        <is>
          <t>-</t>
        </is>
      </c>
    </row>
    <row r="68" ht="19.5" customHeight="1" s="209">
      <c r="A68" s="50" t="n">
        <v>60</v>
      </c>
      <c r="B68" s="51" t="n">
        <v>46311</v>
      </c>
      <c r="C68" s="50" t="inlineStr">
        <is>
          <t>W08 (3주차)</t>
        </is>
      </c>
      <c r="D68" s="50" t="inlineStr">
        <is>
          <t>분할정복 &amp; 이진탐색</t>
        </is>
      </c>
      <c r="E68" s="53" t="inlineStr">
        <is>
          <t>[SW문제해결응용] 분할정복</t>
        </is>
      </c>
      <c r="F68" s="53" t="inlineStr">
        <is>
          <t>탐욕 알고리즘 리뷰_동전 자판기</t>
        </is>
      </c>
      <c r="G68" s="50" t="inlineStr">
        <is>
          <t>김태희 강사</t>
        </is>
      </c>
      <c r="H68" s="50" t="inlineStr">
        <is>
          <t>00:38:27</t>
        </is>
      </c>
      <c r="I68" s="53" t="inlineStr">
        <is>
          <t>분할정복(색종이 공간 분할), 이진 탐색(Binary Search), Lower/Upper Bound, 파라메트릭 서치, 1767 프로세서</t>
        </is>
      </c>
      <c r="J68" s="55" t="inlineStr">
        <is>
          <t>[기초 D2] 26928 사전 펼치기 · [실전 D3] 1217 거듭 제곱 · [실전 D3] 10726 이진수 표현</t>
        </is>
      </c>
      <c r="K68" s="50" t="inlineStr">
        <is>
          <t>미수강</t>
        </is>
      </c>
      <c r="L68" s="50" t="inlineStr">
        <is>
          <t>-</t>
        </is>
      </c>
    </row>
    <row r="69" ht="19.5" customHeight="1" s="209">
      <c r="A69" s="45" t="n">
        <v>61</v>
      </c>
      <c r="B69" s="47" t="n">
        <v>46311</v>
      </c>
      <c r="C69" s="45" t="inlineStr">
        <is>
          <t>W08 (3주차)</t>
        </is>
      </c>
      <c r="D69" s="45" t="inlineStr">
        <is>
          <t>분할정복 &amp; 이진탐색</t>
        </is>
      </c>
      <c r="E69" s="48" t="inlineStr">
        <is>
          <t>[SW문제해결응용] 분할정복</t>
        </is>
      </c>
      <c r="F69" s="48" t="inlineStr">
        <is>
          <t>분할 정복 기법</t>
        </is>
      </c>
      <c r="G69" s="45" t="inlineStr">
        <is>
          <t>김태희 강사</t>
        </is>
      </c>
      <c r="H69" s="45" t="inlineStr">
        <is>
          <t>00:23:39</t>
        </is>
      </c>
      <c r="I69" s="48" t="inlineStr">
        <is>
          <t>분할정복(색종이 공간 분할), 이진 탐색(Binary Search), Lower/Upper Bound, 파라메트릭 서치, 1767 프로세서</t>
        </is>
      </c>
      <c r="J69" s="32" t="inlineStr">
        <is>
          <t>[기초 D2] 26928 사전 펼치기 · [실전 D3] 1217 거듭 제곱 · [실전 D3] 10726 이진수 표현</t>
        </is>
      </c>
      <c r="K69" s="45" t="inlineStr">
        <is>
          <t>미수강</t>
        </is>
      </c>
      <c r="L69" s="45" t="inlineStr">
        <is>
          <t>-</t>
        </is>
      </c>
    </row>
    <row r="70" ht="19.5" customHeight="1" s="209">
      <c r="A70" s="50" t="n">
        <v>62</v>
      </c>
      <c r="B70" s="51" t="n">
        <v>46311</v>
      </c>
      <c r="C70" s="50" t="inlineStr">
        <is>
          <t>W08 (3주차)</t>
        </is>
      </c>
      <c r="D70" s="50" t="inlineStr">
        <is>
          <t>분할정복 &amp; 이진탐색</t>
        </is>
      </c>
      <c r="E70" s="53" t="inlineStr">
        <is>
          <t>[SW문제해결응용] 분할정복</t>
        </is>
      </c>
      <c r="F70" s="53" t="inlineStr">
        <is>
          <t>분할 정복 응용_같은 색 공간 만들기</t>
        </is>
      </c>
      <c r="G70" s="50" t="inlineStr">
        <is>
          <t>김태희 강사</t>
        </is>
      </c>
      <c r="H70" s="50" t="inlineStr">
        <is>
          <t>00:25:03</t>
        </is>
      </c>
      <c r="I70" s="53" t="inlineStr">
        <is>
          <t>분할정복(색종이 공간 분할), 이진 탐색(Binary Search), Lower/Upper Bound, 파라메트릭 서치, 1767 프로세서</t>
        </is>
      </c>
      <c r="J70" s="55" t="inlineStr">
        <is>
          <t>[기초 D2] 26928 사전 펼치기 · [실전 D3] 1217 거듭 제곱 · [실전 D3] 10726 이진수 표현</t>
        </is>
      </c>
      <c r="K70" s="50" t="inlineStr">
        <is>
          <t>미수강</t>
        </is>
      </c>
      <c r="L70" s="50" t="inlineStr">
        <is>
          <t>-</t>
        </is>
      </c>
    </row>
    <row r="71" ht="19.5" customHeight="1" s="209">
      <c r="A71" s="45" t="n">
        <v>63</v>
      </c>
      <c r="B71" s="47" t="n">
        <v>46311</v>
      </c>
      <c r="C71" s="45" t="inlineStr">
        <is>
          <t>W08 (3주차)</t>
        </is>
      </c>
      <c r="D71" s="45" t="inlineStr">
        <is>
          <t>분할정복 &amp; 이진탐색</t>
        </is>
      </c>
      <c r="E71" s="48" t="inlineStr">
        <is>
          <t>[SW문제해결응용] 분할정복</t>
        </is>
      </c>
      <c r="F71" s="48" t="inlineStr">
        <is>
          <t>이진 탐색</t>
        </is>
      </c>
      <c r="G71" s="45" t="inlineStr">
        <is>
          <t>김태희 강사</t>
        </is>
      </c>
      <c r="H71" s="45" t="inlineStr">
        <is>
          <t>00:18:49</t>
        </is>
      </c>
      <c r="I71" s="48" t="inlineStr">
        <is>
          <t>분할정복(색종이 공간 분할), 이진 탐색(Binary Search), Lower/Upper Bound, 파라메트릭 서치, 1767 프로세서</t>
        </is>
      </c>
      <c r="J71" s="32" t="inlineStr">
        <is>
          <t>[기초 D2] 26928 사전 펼치기 · [실전 D3] 1217 거듭 제곱 · [실전 D3] 10726 이진수 표현</t>
        </is>
      </c>
      <c r="K71" s="45" t="inlineStr">
        <is>
          <t>미수강</t>
        </is>
      </c>
      <c r="L71" s="45" t="inlineStr">
        <is>
          <t>-</t>
        </is>
      </c>
    </row>
    <row r="72" ht="19.5" customHeight="1" s="209">
      <c r="A72" s="50" t="n">
        <v>64</v>
      </c>
      <c r="B72" s="51" t="n">
        <v>46311</v>
      </c>
      <c r="C72" s="50" t="inlineStr">
        <is>
          <t>W08 (3주차)</t>
        </is>
      </c>
      <c r="D72" s="50" t="inlineStr">
        <is>
          <t>분할정복 &amp; 이진탐색</t>
        </is>
      </c>
      <c r="E72" s="53" t="inlineStr">
        <is>
          <t>[SW문제해결응용] 분할정복</t>
        </is>
      </c>
      <c r="F72" s="53" t="inlineStr">
        <is>
          <t>Lower Bound_Upper Bound</t>
        </is>
      </c>
      <c r="G72" s="50" t="inlineStr">
        <is>
          <t>김태희 강사</t>
        </is>
      </c>
      <c r="H72" s="50" t="inlineStr">
        <is>
          <t>00:09:14</t>
        </is>
      </c>
      <c r="I72" s="53" t="inlineStr">
        <is>
          <t>분할정복(색종이 공간 분할), 이진 탐색(Binary Search), Lower/Upper Bound, 파라메트릭 서치, 1767 프로세서</t>
        </is>
      </c>
      <c r="J72" s="55" t="inlineStr">
        <is>
          <t>[기초 D2] 26928 사전 펼치기 · [실전 D3] 1217 거듭 제곱 · [실전 D3] 10726 이진수 표현</t>
        </is>
      </c>
      <c r="K72" s="50" t="inlineStr">
        <is>
          <t>미수강</t>
        </is>
      </c>
      <c r="L72" s="50" t="inlineStr">
        <is>
          <t>-</t>
        </is>
      </c>
    </row>
    <row r="73" ht="19.5" customHeight="1" s="209">
      <c r="A73" s="45" t="n">
        <v>65</v>
      </c>
      <c r="B73" s="47" t="n">
        <v>46311</v>
      </c>
      <c r="C73" s="45" t="inlineStr">
        <is>
          <t>W08 (3주차)</t>
        </is>
      </c>
      <c r="D73" s="45" t="inlineStr">
        <is>
          <t>분할정복 &amp; 이진탐색</t>
        </is>
      </c>
      <c r="E73" s="48" t="inlineStr">
        <is>
          <t>[SW문제해결응용] 분할정복</t>
        </is>
      </c>
      <c r="F73" s="48" t="inlineStr">
        <is>
          <t>파라메트릭 서치_Parametric Search</t>
        </is>
      </c>
      <c r="G73" s="45" t="inlineStr">
        <is>
          <t>김태희 강사</t>
        </is>
      </c>
      <c r="H73" s="45" t="inlineStr">
        <is>
          <t>00:45:17</t>
        </is>
      </c>
      <c r="I73" s="48" t="inlineStr">
        <is>
          <t>분할정복(색종이 공간 분할), 이진 탐색(Binary Search), Lower/Upper Bound, 파라메트릭 서치, 1767 프로세서</t>
        </is>
      </c>
      <c r="J73" s="32" t="inlineStr">
        <is>
          <t>[기초 D2] 26928 사전 펼치기 · [실전 D3] 1217 거듭 제곱 · [실전 D3] 10726 이진수 표현</t>
        </is>
      </c>
      <c r="K73" s="45" t="inlineStr">
        <is>
          <t>미수강</t>
        </is>
      </c>
      <c r="L73" s="45" t="inlineStr">
        <is>
          <t>-</t>
        </is>
      </c>
    </row>
    <row r="74" ht="19.5" customHeight="1" s="209">
      <c r="A74" s="50" t="n">
        <v>66</v>
      </c>
      <c r="B74" s="51" t="n">
        <v>46311</v>
      </c>
      <c r="C74" s="50" t="inlineStr">
        <is>
          <t>W08 (3주차)</t>
        </is>
      </c>
      <c r="D74" s="50" t="inlineStr">
        <is>
          <t>분할정복 &amp; 이진탐색</t>
        </is>
      </c>
      <c r="E74" s="53" t="inlineStr">
        <is>
          <t>[SW문제해결응용] 분할정복</t>
        </is>
      </c>
      <c r="F74" s="53" t="inlineStr">
        <is>
          <t>모의 Ad형 등급 검정</t>
        </is>
      </c>
      <c r="G74" s="50" t="inlineStr">
        <is>
          <t>김태희 강사</t>
        </is>
      </c>
      <c r="H74" s="50" t="inlineStr">
        <is>
          <t>00:14:20</t>
        </is>
      </c>
      <c r="I74" s="53" t="inlineStr">
        <is>
          <t>분할정복(색종이 공간 분할), 이진 탐색(Binary Search), Lower/Upper Bound, 파라메트릭 서치, 1767 프로세서</t>
        </is>
      </c>
      <c r="J74" s="55" t="inlineStr">
        <is>
          <t>[기초 D2] 26928 사전 펼치기 · [실전 D3] 1217 거듭 제곱 · [실전 D3] 10726 이진수 표현</t>
        </is>
      </c>
      <c r="K74" s="50" t="inlineStr">
        <is>
          <t>미수강</t>
        </is>
      </c>
      <c r="L74" s="50" t="inlineStr">
        <is>
          <t>-</t>
        </is>
      </c>
    </row>
    <row r="75" ht="19.5" customHeight="1" s="209">
      <c r="A75" s="45" t="n">
        <v>67</v>
      </c>
      <c r="B75" s="47" t="n">
        <v>46311</v>
      </c>
      <c r="C75" s="45" t="inlineStr">
        <is>
          <t>W08 (3주차)</t>
        </is>
      </c>
      <c r="D75" s="45" t="inlineStr">
        <is>
          <t>분할정복 &amp; 이진탐색</t>
        </is>
      </c>
      <c r="E75" s="48" t="inlineStr">
        <is>
          <t>[SW문제해결응용] 분할정복</t>
        </is>
      </c>
      <c r="F75" s="48" t="inlineStr">
        <is>
          <t>SW 문제 해결</t>
        </is>
      </c>
      <c r="G75" s="45" t="inlineStr">
        <is>
          <t>김태희 강사</t>
        </is>
      </c>
      <c r="H75" s="45" t="inlineStr">
        <is>
          <t>00:01:19</t>
        </is>
      </c>
      <c r="I75" s="48" t="inlineStr">
        <is>
          <t>분할정복(색종이 공간 분할), 이진 탐색(Binary Search), Lower/Upper Bound, 파라메트릭 서치, 1767 프로세서</t>
        </is>
      </c>
      <c r="J75" s="32" t="inlineStr">
        <is>
          <t>[기초 D2] 26928 사전 펼치기 · [실전 D3] 1217 거듭 제곱 · [실전 D3] 10726 이진수 표현</t>
        </is>
      </c>
      <c r="K75" s="45" t="inlineStr">
        <is>
          <t>미수강</t>
        </is>
      </c>
      <c r="L75" s="45" t="inlineStr">
        <is>
          <t>-</t>
        </is>
      </c>
    </row>
    <row r="76" ht="19.5" customHeight="1" s="209">
      <c r="A76" s="50" t="n">
        <v>68</v>
      </c>
      <c r="B76" s="51" t="n">
        <v>46311</v>
      </c>
      <c r="C76" s="50" t="inlineStr">
        <is>
          <t>W08 (3주차)</t>
        </is>
      </c>
      <c r="D76" s="50" t="inlineStr">
        <is>
          <t>분할정복 &amp; 이진탐색</t>
        </is>
      </c>
      <c r="E76" s="53" t="inlineStr">
        <is>
          <t>[SW문제해결응용] 분할정복</t>
        </is>
      </c>
      <c r="F76" s="53" t="inlineStr">
        <is>
          <t>Check Point</t>
        </is>
      </c>
      <c r="G76" s="50" t="inlineStr">
        <is>
          <t>김태희 강사</t>
        </is>
      </c>
      <c r="H76" s="50" t="inlineStr">
        <is>
          <t>00:05:12</t>
        </is>
      </c>
      <c r="I76" s="53" t="inlineStr">
        <is>
          <t>분할정복(색종이 공간 분할), 이진 탐색(Binary Search), Lower/Upper Bound, 파라메트릭 서치, 1767 프로세서</t>
        </is>
      </c>
      <c r="J76" s="55" t="inlineStr">
        <is>
          <t>[기초 D2] 26928 사전 펼치기 · [실전 D3] 1217 거듭 제곱 · [실전 D3] 10726 이진수 표현</t>
        </is>
      </c>
      <c r="K76" s="50" t="inlineStr">
        <is>
          <t>미수강</t>
        </is>
      </c>
      <c r="L76" s="50" t="inlineStr">
        <is>
          <t>-</t>
        </is>
      </c>
    </row>
    <row r="77" ht="19.5" customHeight="1" s="209">
      <c r="A77" s="45" t="n">
        <v>69</v>
      </c>
      <c r="B77" s="47" t="n">
        <v>46311</v>
      </c>
      <c r="C77" s="45" t="inlineStr">
        <is>
          <t>W08 (3주차)</t>
        </is>
      </c>
      <c r="D77" s="45" t="inlineStr">
        <is>
          <t>분할정복 &amp; 이진탐색</t>
        </is>
      </c>
      <c r="E77" s="48" t="inlineStr">
        <is>
          <t>[SW문제해결응용] 분할정복</t>
        </is>
      </c>
      <c r="F77" s="48" t="inlineStr">
        <is>
          <t>문제 풀이_1767_프로세서 연결하기</t>
        </is>
      </c>
      <c r="G77" s="45" t="inlineStr">
        <is>
          <t>김태희 강사</t>
        </is>
      </c>
      <c r="H77" s="45" t="inlineStr">
        <is>
          <t>00:40:42</t>
        </is>
      </c>
      <c r="I77" s="48" t="inlineStr">
        <is>
          <t>분할정복(색종이 공간 분할), 이진 탐색(Binary Search), Lower/Upper Bound, 파라메트릭 서치, 1767 프로세서</t>
        </is>
      </c>
      <c r="J77" s="32" t="inlineStr">
        <is>
          <t>[기초 D2] 26928 사전 펼치기 · [실전 D3] 1217 거듭 제곱 · [실전 D3] 10726 이진수 표현</t>
        </is>
      </c>
      <c r="K77" s="45" t="inlineStr">
        <is>
          <t>미수강</t>
        </is>
      </c>
      <c r="L77" s="45" t="inlineStr">
        <is>
          <t>-</t>
        </is>
      </c>
    </row>
    <row r="78" ht="19.5" customHeight="1" s="209">
      <c r="A78" s="50" t="n">
        <v>70</v>
      </c>
      <c r="B78" s="51" t="n">
        <v>46314</v>
      </c>
      <c r="C78" s="50" t="inlineStr">
        <is>
          <t>W09 (4주차)</t>
        </is>
      </c>
      <c r="D78" s="50" t="inlineStr">
        <is>
          <t>그래프 기초</t>
        </is>
      </c>
      <c r="E78" s="53" t="inlineStr">
        <is>
          <t>[SW문제해결응용] 그래프1</t>
        </is>
      </c>
      <c r="F78" s="53" t="inlineStr">
        <is>
          <t>그래프</t>
        </is>
      </c>
      <c r="G78" s="50" t="inlineStr">
        <is>
          <t>김태희 강사</t>
        </is>
      </c>
      <c r="H78" s="50" t="inlineStr">
        <is>
          <t>00:56:41</t>
        </is>
      </c>
      <c r="I78" s="53" t="inlineStr">
        <is>
          <t>그래프 4대 표현법 (인접행렬, 인접리스트, 간선리스트, 2차원 격자 그래프)</t>
        </is>
      </c>
      <c r="J78" s="55" t="inlineStr">
        <is>
          <t>[기초 D2] 26936 지하철 최소 이동 구간 · [실전 D4] 1219 길찾기 · [심화 D4] 1226 미로1</t>
        </is>
      </c>
      <c r="K78" s="50" t="inlineStr">
        <is>
          <t>미수강</t>
        </is>
      </c>
      <c r="L78" s="50" t="inlineStr">
        <is>
          <t>-</t>
        </is>
      </c>
    </row>
    <row r="79" ht="19.5" customHeight="1" s="209">
      <c r="A79" s="45" t="n">
        <v>71</v>
      </c>
      <c r="B79" s="47" t="n">
        <v>46314</v>
      </c>
      <c r="C79" s="45" t="inlineStr">
        <is>
          <t>W09 (4주차)</t>
        </is>
      </c>
      <c r="D79" s="45" t="inlineStr">
        <is>
          <t>그래프 기초</t>
        </is>
      </c>
      <c r="E79" s="48" t="inlineStr">
        <is>
          <t>[SW문제해결응용] 그래프1</t>
        </is>
      </c>
      <c r="F79" s="48" t="inlineStr">
        <is>
          <t>그래프_인접 행렬</t>
        </is>
      </c>
      <c r="G79" s="45" t="inlineStr">
        <is>
          <t>김태희 강사</t>
        </is>
      </c>
      <c r="H79" s="45" t="inlineStr">
        <is>
          <t>00:11:49</t>
        </is>
      </c>
      <c r="I79" s="48" t="inlineStr">
        <is>
          <t>그래프 4대 표현법 (인접행렬, 인접리스트, 간선리스트, 2차원 격자 그래프)</t>
        </is>
      </c>
      <c r="J79" s="32" t="inlineStr">
        <is>
          <t>[기초 D2] 26936 지하철 최소 이동 구간 · [실전 D4] 1219 길찾기 · [심화 D4] 1226 미로1</t>
        </is>
      </c>
      <c r="K79" s="45" t="inlineStr">
        <is>
          <t>미수강</t>
        </is>
      </c>
      <c r="L79" s="45" t="inlineStr">
        <is>
          <t>-</t>
        </is>
      </c>
    </row>
    <row r="80" ht="19.5" customHeight="1" s="209">
      <c r="A80" s="50" t="n">
        <v>72</v>
      </c>
      <c r="B80" s="51" t="n">
        <v>46314</v>
      </c>
      <c r="C80" s="50" t="inlineStr">
        <is>
          <t>W09 (4주차)</t>
        </is>
      </c>
      <c r="D80" s="50" t="inlineStr">
        <is>
          <t>그래프 기초</t>
        </is>
      </c>
      <c r="E80" s="53" t="inlineStr">
        <is>
          <t>[SW문제해결응용] 그래프1</t>
        </is>
      </c>
      <c r="F80" s="53" t="inlineStr">
        <is>
          <t>그래프_인접 리스트</t>
        </is>
      </c>
      <c r="G80" s="50" t="inlineStr">
        <is>
          <t>김태희 강사</t>
        </is>
      </c>
      <c r="H80" s="50" t="inlineStr">
        <is>
          <t>00:08:25</t>
        </is>
      </c>
      <c r="I80" s="53" t="inlineStr">
        <is>
          <t>그래프 4대 표현법 (인접행렬, 인접리스트, 간선리스트, 2차원 격자 그래프)</t>
        </is>
      </c>
      <c r="J80" s="55" t="inlineStr">
        <is>
          <t>[기초 D2] 26936 지하철 최소 이동 구간 · [실전 D4] 1219 길찾기 · [심화 D4] 1226 미로1</t>
        </is>
      </c>
      <c r="K80" s="50" t="inlineStr">
        <is>
          <t>미수강</t>
        </is>
      </c>
      <c r="L80" s="50" t="inlineStr">
        <is>
          <t>-</t>
        </is>
      </c>
    </row>
    <row r="81" ht="19.5" customHeight="1" s="209">
      <c r="A81" s="45" t="n">
        <v>73</v>
      </c>
      <c r="B81" s="47" t="n">
        <v>46314</v>
      </c>
      <c r="C81" s="45" t="inlineStr">
        <is>
          <t>W09 (4주차)</t>
        </is>
      </c>
      <c r="D81" s="45" t="inlineStr">
        <is>
          <t>그래프 기초</t>
        </is>
      </c>
      <c r="E81" s="48" t="inlineStr">
        <is>
          <t>[SW문제해결응용] 그래프1</t>
        </is>
      </c>
      <c r="F81" s="48" t="inlineStr">
        <is>
          <t>그래프_간선 리스트</t>
        </is>
      </c>
      <c r="G81" s="45" t="inlineStr">
        <is>
          <t>김태희 강사</t>
        </is>
      </c>
      <c r="H81" s="45" t="inlineStr">
        <is>
          <t>00:02:41</t>
        </is>
      </c>
      <c r="I81" s="48" t="inlineStr">
        <is>
          <t>그래프 4대 표현법 (인접행렬, 인접리스트, 간선리스트, 2차원 격자 그래프)</t>
        </is>
      </c>
      <c r="J81" s="32" t="inlineStr">
        <is>
          <t>[기초 D2] 26936 지하철 최소 이동 구간 · [실전 D4] 1219 길찾기 · [심화 D4] 1226 미로1</t>
        </is>
      </c>
      <c r="K81" s="45" t="inlineStr">
        <is>
          <t>미수강</t>
        </is>
      </c>
      <c r="L81" s="45" t="inlineStr">
        <is>
          <t>-</t>
        </is>
      </c>
    </row>
    <row r="82" ht="19.5" customHeight="1" s="209">
      <c r="A82" s="50" t="n">
        <v>74</v>
      </c>
      <c r="B82" s="51" t="n">
        <v>46314</v>
      </c>
      <c r="C82" s="50" t="inlineStr">
        <is>
          <t>W09 (4주차)</t>
        </is>
      </c>
      <c r="D82" s="50" t="inlineStr">
        <is>
          <t>그래프 기초</t>
        </is>
      </c>
      <c r="E82" s="53" t="inlineStr">
        <is>
          <t>[SW문제해결응용] 그래프1</t>
        </is>
      </c>
      <c r="F82" s="53" t="inlineStr">
        <is>
          <t>그래프_격자 그래프</t>
        </is>
      </c>
      <c r="G82" s="50" t="inlineStr">
        <is>
          <t>김태희 강사</t>
        </is>
      </c>
      <c r="H82" s="50" t="inlineStr">
        <is>
          <t>00:38:07</t>
        </is>
      </c>
      <c r="I82" s="53" t="inlineStr">
        <is>
          <t>그래프 4대 표현법 (인접행렬, 인접리스트, 간선리스트, 2차원 격자 그래프)</t>
        </is>
      </c>
      <c r="J82" s="55" t="inlineStr">
        <is>
          <t>[기초 D2] 26936 지하철 최소 이동 구간 · [실전 D4] 1219 길찾기 · [심화 D4] 1226 미로1</t>
        </is>
      </c>
      <c r="K82" s="50" t="inlineStr">
        <is>
          <t>미수강</t>
        </is>
      </c>
      <c r="L82" s="50" t="inlineStr">
        <is>
          <t>-</t>
        </is>
      </c>
    </row>
    <row r="83" ht="19.5" customHeight="1" s="209">
      <c r="A83" s="45" t="n">
        <v>75</v>
      </c>
      <c r="B83" s="47" t="n">
        <v>46315</v>
      </c>
      <c r="C83" s="45" t="inlineStr">
        <is>
          <t>W09 (4주차)</t>
        </is>
      </c>
      <c r="D83" s="45" t="inlineStr">
        <is>
          <t>그래프 탐색 (BFS)</t>
        </is>
      </c>
      <c r="E83" s="48" t="inlineStr">
        <is>
          <t>[SW문제해결응용] 그래프2</t>
        </is>
      </c>
      <c r="F83" s="48" t="inlineStr">
        <is>
          <t>그래프 탐색_너비 우선 탐색_BFS</t>
        </is>
      </c>
      <c r="G83" s="45" t="inlineStr">
        <is>
          <t>김태희 강사</t>
        </is>
      </c>
      <c r="H83" s="45" t="inlineStr">
        <is>
          <t>00:47:39</t>
        </is>
      </c>
      <c r="I83" s="48" t="inlineStr">
        <is>
          <t>너비우선탐색(BFS) Queue 구현, 가중치 없는 최단 경로 탐색</t>
        </is>
      </c>
      <c r="J83" s="32" t="inlineStr">
        <is>
          <t>[기초 D2] 26936 지하철 구간 · [실전 D4] 1219 길찾기 · [심화 D4] 1226 미로1 / 1227 미로2 / 1249 보급로</t>
        </is>
      </c>
      <c r="K83" s="45" t="inlineStr">
        <is>
          <t>미수강</t>
        </is>
      </c>
      <c r="L83" s="45" t="inlineStr">
        <is>
          <t>-</t>
        </is>
      </c>
    </row>
    <row r="84" ht="19.5" customHeight="1" s="209">
      <c r="A84" s="50" t="n">
        <v>76</v>
      </c>
      <c r="B84" s="51" t="n">
        <v>46315</v>
      </c>
      <c r="C84" s="50" t="inlineStr">
        <is>
          <t>W09 (4주차)</t>
        </is>
      </c>
      <c r="D84" s="50" t="inlineStr">
        <is>
          <t>그래프 탐색 (BFS)</t>
        </is>
      </c>
      <c r="E84" s="53" t="inlineStr">
        <is>
          <t>[SW문제해결응용] 그래프2</t>
        </is>
      </c>
      <c r="F84" s="53" t="inlineStr">
        <is>
          <t>너비 우선 탐색_BFS_구현_인접 행렬</t>
        </is>
      </c>
      <c r="G84" s="50" t="inlineStr">
        <is>
          <t>김태희 강사</t>
        </is>
      </c>
      <c r="H84" s="50" t="inlineStr">
        <is>
          <t>00:24:44</t>
        </is>
      </c>
      <c r="I84" s="53" t="inlineStr">
        <is>
          <t>너비우선탐색(BFS) Queue 구현, 가중치 없는 최단 경로 탐색</t>
        </is>
      </c>
      <c r="J84" s="55" t="inlineStr">
        <is>
          <t>[기초 D2] 26936 지하철 구간 · [실전 D4] 1219 길찾기 · [심화 D4] 1226 미로1 / 1227 미로2 / 1249 보급로</t>
        </is>
      </c>
      <c r="K84" s="50" t="inlineStr">
        <is>
          <t>미수강</t>
        </is>
      </c>
      <c r="L84" s="50" t="inlineStr">
        <is>
          <t>-</t>
        </is>
      </c>
    </row>
    <row r="85" ht="19.5" customHeight="1" s="209">
      <c r="A85" s="45" t="n">
        <v>77</v>
      </c>
      <c r="B85" s="47" t="n">
        <v>46315</v>
      </c>
      <c r="C85" s="45" t="inlineStr">
        <is>
          <t>W09 (4주차)</t>
        </is>
      </c>
      <c r="D85" s="45" t="inlineStr">
        <is>
          <t>그래프 탐색 (BFS)</t>
        </is>
      </c>
      <c r="E85" s="48" t="inlineStr">
        <is>
          <t>[SW문제해결응용] 그래프2</t>
        </is>
      </c>
      <c r="F85" s="48" t="inlineStr">
        <is>
          <t>너비 우선 탐색_BFS_구현_인접 리스트</t>
        </is>
      </c>
      <c r="G85" s="45" t="inlineStr">
        <is>
          <t>김태희 강사</t>
        </is>
      </c>
      <c r="H85" s="45" t="inlineStr">
        <is>
          <t>00:11:49</t>
        </is>
      </c>
      <c r="I85" s="48" t="inlineStr">
        <is>
          <t>너비우선탐색(BFS) Queue 구현, 가중치 없는 최단 경로 탐색</t>
        </is>
      </c>
      <c r="J85" s="32" t="inlineStr">
        <is>
          <t>[기초 D2] 26936 지하철 구간 · [실전 D4] 1219 길찾기 · [심화 D4] 1226 미로1 / 1227 미로2 / 1249 보급로</t>
        </is>
      </c>
      <c r="K85" s="45" t="inlineStr">
        <is>
          <t>미수강</t>
        </is>
      </c>
      <c r="L85" s="45" t="inlineStr">
        <is>
          <t>-</t>
        </is>
      </c>
    </row>
    <row r="86" ht="19.5" customHeight="1" s="209">
      <c r="A86" s="50" t="n">
        <v>78</v>
      </c>
      <c r="B86" s="51" t="n">
        <v>46315</v>
      </c>
      <c r="C86" s="50" t="inlineStr">
        <is>
          <t>W09 (4주차)</t>
        </is>
      </c>
      <c r="D86" s="50" t="inlineStr">
        <is>
          <t>그래프 탐색 (BFS)</t>
        </is>
      </c>
      <c r="E86" s="53" t="inlineStr">
        <is>
          <t>[SW문제해결응용] 그래프2</t>
        </is>
      </c>
      <c r="F86" s="53" t="inlineStr">
        <is>
          <t>너비 우선 탐색_BFS_활용_최단 경로</t>
        </is>
      </c>
      <c r="G86" s="50" t="inlineStr">
        <is>
          <t>김태희 강사</t>
        </is>
      </c>
      <c r="H86" s="50" t="inlineStr">
        <is>
          <t>00:23:20</t>
        </is>
      </c>
      <c r="I86" s="53" t="inlineStr">
        <is>
          <t>너비우선탐색(BFS) Queue 구현, 가중치 없는 최단 경로 탐색</t>
        </is>
      </c>
      <c r="J86" s="55" t="inlineStr">
        <is>
          <t>[기초 D2] 26936 지하철 구간 · [실전 D4] 1219 길찾기 · [심화 D4] 1226 미로1 / 1227 미로2 / 1249 보급로</t>
        </is>
      </c>
      <c r="K86" s="50" t="inlineStr">
        <is>
          <t>미수강</t>
        </is>
      </c>
      <c r="L86" s="50" t="inlineStr">
        <is>
          <t>-</t>
        </is>
      </c>
    </row>
    <row r="87" ht="19.5" customHeight="1" s="209">
      <c r="A87" s="45" t="n">
        <v>79</v>
      </c>
      <c r="B87" s="47" t="n">
        <v>46316</v>
      </c>
      <c r="C87" s="45" t="inlineStr">
        <is>
          <t>W09 (4주차)</t>
        </is>
      </c>
      <c r="D87" s="45" t="inlineStr">
        <is>
          <t>그래프 탐색 (DFS)</t>
        </is>
      </c>
      <c r="E87" s="48" t="inlineStr">
        <is>
          <t>[SW문제해결응용] 그래프3</t>
        </is>
      </c>
      <c r="F87" s="48" t="inlineStr">
        <is>
          <t>그래프 탐색_깊이 우선 탐색_DFS</t>
        </is>
      </c>
      <c r="G87" s="45" t="inlineStr">
        <is>
          <t>김태희 강사</t>
        </is>
      </c>
      <c r="H87" s="45" t="inlineStr">
        <is>
          <t>00:46:58</t>
        </is>
      </c>
      <c r="I87" s="48" t="inlineStr">
        <is>
          <t>깊이우선탐색(DFS) 재귀 구현, 영역 채우기(Flood Fill), 위상정렬(Topological Sort)</t>
        </is>
      </c>
      <c r="J87" s="32" t="inlineStr">
        <is>
          <t>[기초 D2] 26938 하위조직 · [실전 D3] 1244 최대 상금 · [심화 D4] 1219 길찾기 / 2819 격자판</t>
        </is>
      </c>
      <c r="K87" s="45" t="inlineStr">
        <is>
          <t>미수강</t>
        </is>
      </c>
      <c r="L87" s="45" t="inlineStr">
        <is>
          <t>-</t>
        </is>
      </c>
    </row>
    <row r="88" ht="19.5" customHeight="1" s="209">
      <c r="A88" s="50" t="n">
        <v>80</v>
      </c>
      <c r="B88" s="51" t="n">
        <v>46316</v>
      </c>
      <c r="C88" s="50" t="inlineStr">
        <is>
          <t>W09 (4주차)</t>
        </is>
      </c>
      <c r="D88" s="50" t="inlineStr">
        <is>
          <t>그래프 탐색 (DFS)</t>
        </is>
      </c>
      <c r="E88" s="53" t="inlineStr">
        <is>
          <t>[SW문제해결응용] 그래프3</t>
        </is>
      </c>
      <c r="F88" s="53" t="inlineStr">
        <is>
          <t>깊이 우선 탐색_DFS 구현_인접 행렬</t>
        </is>
      </c>
      <c r="G88" s="50" t="inlineStr">
        <is>
          <t>김태희 강사</t>
        </is>
      </c>
      <c r="H88" s="50" t="inlineStr">
        <is>
          <t>00:06:31</t>
        </is>
      </c>
      <c r="I88" s="53" t="inlineStr">
        <is>
          <t>깊이우선탐색(DFS) 재귀 구현, 영역 채우기(Flood Fill), 위상정렬(Topological Sort)</t>
        </is>
      </c>
      <c r="J88" s="55" t="inlineStr">
        <is>
          <t>[기초 D2] 26938 하위조직 · [실전 D3] 1244 최대 상금 · [심화 D4] 1219 길찾기 / 2819 격자판</t>
        </is>
      </c>
      <c r="K88" s="50" t="inlineStr">
        <is>
          <t>미수강</t>
        </is>
      </c>
      <c r="L88" s="50" t="inlineStr">
        <is>
          <t>-</t>
        </is>
      </c>
    </row>
    <row r="89" ht="19.5" customHeight="1" s="209">
      <c r="A89" s="45" t="n">
        <v>81</v>
      </c>
      <c r="B89" s="47" t="n">
        <v>46316</v>
      </c>
      <c r="C89" s="45" t="inlineStr">
        <is>
          <t>W09 (4주차)</t>
        </is>
      </c>
      <c r="D89" s="45" t="inlineStr">
        <is>
          <t>그래프 탐색 (DFS)</t>
        </is>
      </c>
      <c r="E89" s="48" t="inlineStr">
        <is>
          <t>[SW문제해결응용] 그래프3</t>
        </is>
      </c>
      <c r="F89" s="48" t="inlineStr">
        <is>
          <t>깊이 우선 탐색_DFS 구현_인접 리스트</t>
        </is>
      </c>
      <c r="G89" s="45" t="inlineStr">
        <is>
          <t>김태희 강사</t>
        </is>
      </c>
      <c r="H89" s="45" t="inlineStr">
        <is>
          <t>00:04:51</t>
        </is>
      </c>
      <c r="I89" s="48" t="inlineStr">
        <is>
          <t>깊이우선탐색(DFS) 재귀 구현, 영역 채우기(Flood Fill), 위상정렬(Topological Sort)</t>
        </is>
      </c>
      <c r="J89" s="32" t="inlineStr">
        <is>
          <t>[기초 D2] 26938 하위조직 · [실전 D3] 1244 최대 상금 · [심화 D4] 1219 길찾기 / 2819 격자판</t>
        </is>
      </c>
      <c r="K89" s="45" t="inlineStr">
        <is>
          <t>미수강</t>
        </is>
      </c>
      <c r="L89" s="45" t="inlineStr">
        <is>
          <t>-</t>
        </is>
      </c>
    </row>
    <row r="90" ht="19.5" customHeight="1" s="209">
      <c r="A90" s="50" t="n">
        <v>82</v>
      </c>
      <c r="B90" s="51" t="n">
        <v>46316</v>
      </c>
      <c r="C90" s="50" t="inlineStr">
        <is>
          <t>W09 (4주차)</t>
        </is>
      </c>
      <c r="D90" s="50" t="inlineStr">
        <is>
          <t>그래프 탐색 (DFS)</t>
        </is>
      </c>
      <c r="E90" s="53" t="inlineStr">
        <is>
          <t>[SW문제해결응용] 그래프3</t>
        </is>
      </c>
      <c r="F90" s="53" t="inlineStr">
        <is>
          <t>Flood Fill 알고리즘</t>
        </is>
      </c>
      <c r="G90" s="50" t="inlineStr">
        <is>
          <t>김태희 강사</t>
        </is>
      </c>
      <c r="H90" s="50" t="inlineStr">
        <is>
          <t>00:30:30</t>
        </is>
      </c>
      <c r="I90" s="53" t="inlineStr">
        <is>
          <t>깊이우선탐색(DFS) 재귀 구현, 영역 채우기(Flood Fill), 위상정렬(Topological Sort)</t>
        </is>
      </c>
      <c r="J90" s="55" t="inlineStr">
        <is>
          <t>[기초 D2] 26938 하위조직 · [실전 D3] 1244 최대 상금 · [심화 D4] 1219 길찾기 / 2819 격자판</t>
        </is>
      </c>
      <c r="K90" s="50" t="inlineStr">
        <is>
          <t>미수강</t>
        </is>
      </c>
      <c r="L90" s="50" t="inlineStr">
        <is>
          <t>-</t>
        </is>
      </c>
    </row>
    <row r="91" ht="19.5" customHeight="1" s="209">
      <c r="A91" s="45" t="n">
        <v>83</v>
      </c>
      <c r="B91" s="47" t="n">
        <v>46316</v>
      </c>
      <c r="C91" s="45" t="inlineStr">
        <is>
          <t>W09 (4주차)</t>
        </is>
      </c>
      <c r="D91" s="45" t="inlineStr">
        <is>
          <t>그래프 탐색 (DFS)</t>
        </is>
      </c>
      <c r="E91" s="48" t="inlineStr">
        <is>
          <t>[SW문제해결응용] 그래프3</t>
        </is>
      </c>
      <c r="F91" s="48" t="inlineStr">
        <is>
          <t>위상 정렬</t>
        </is>
      </c>
      <c r="G91" s="45" t="inlineStr">
        <is>
          <t>김태희 강사</t>
        </is>
      </c>
      <c r="H91" s="45" t="inlineStr">
        <is>
          <t>00:21:35</t>
        </is>
      </c>
      <c r="I91" s="48" t="inlineStr">
        <is>
          <t>깊이우선탐색(DFS) 재귀 구현, 영역 채우기(Flood Fill), 위상정렬(Topological Sort)</t>
        </is>
      </c>
      <c r="J91" s="32" t="inlineStr">
        <is>
          <t>[기초 D2] 26938 하위조직 · [실전 D3] 1244 최대 상금 · [심화 D4] 1219 길찾기 / 2819 격자판</t>
        </is>
      </c>
      <c r="K91" s="45" t="inlineStr">
        <is>
          <t>미수강</t>
        </is>
      </c>
      <c r="L91" s="45" t="inlineStr">
        <is>
          <t>-</t>
        </is>
      </c>
    </row>
    <row r="92" ht="19.5" customHeight="1" s="209">
      <c r="A92" s="50" t="n">
        <v>84</v>
      </c>
      <c r="B92" s="51" t="n">
        <v>46317</v>
      </c>
      <c r="C92" s="50" t="inlineStr">
        <is>
          <t>W09 (4주차)</t>
        </is>
      </c>
      <c r="D92" s="50" t="inlineStr">
        <is>
          <t>서로소 집합</t>
        </is>
      </c>
      <c r="E92" s="53" t="inlineStr">
        <is>
          <t>[SW문제해결응용] 서로소집합</t>
        </is>
      </c>
      <c r="F92" s="53" t="inlineStr">
        <is>
          <t>리뷰_위상정렬 구현</t>
        </is>
      </c>
      <c r="G92" s="50" t="inlineStr">
        <is>
          <t>김태희 강사</t>
        </is>
      </c>
      <c r="H92" s="50" t="inlineStr">
        <is>
          <t>00:23:43</t>
        </is>
      </c>
      <c r="I92" s="53" t="inlineStr">
        <is>
          <t>서로소 집합(Disjoint Set / Union-Find), 경로 압축(Path Compression), Rank 최적화</t>
        </is>
      </c>
      <c r="J92" s="55" t="inlineStr">
        <is>
          <t>[실전 D4] 3289 서로소 집합 · [실전 D4] 7465 창용 마을 무리의 개수 · [심화 D4] 1251 하나로 / 1267 작업순서</t>
        </is>
      </c>
      <c r="K92" s="50" t="inlineStr">
        <is>
          <t>미수강</t>
        </is>
      </c>
      <c r="L92" s="50" t="inlineStr">
        <is>
          <t>-</t>
        </is>
      </c>
    </row>
    <row r="93" ht="19.5" customHeight="1" s="209">
      <c r="A93" s="45" t="n">
        <v>85</v>
      </c>
      <c r="B93" s="47" t="n">
        <v>46317</v>
      </c>
      <c r="C93" s="45" t="inlineStr">
        <is>
          <t>W09 (4주차)</t>
        </is>
      </c>
      <c r="D93" s="45" t="inlineStr">
        <is>
          <t>서로소 집합</t>
        </is>
      </c>
      <c r="E93" s="48" t="inlineStr">
        <is>
          <t>[SW문제해결응용] 서로소집합</t>
        </is>
      </c>
      <c r="F93" s="48" t="inlineStr">
        <is>
          <t>서로소 집합</t>
        </is>
      </c>
      <c r="G93" s="45" t="inlineStr">
        <is>
          <t>김태희 강사</t>
        </is>
      </c>
      <c r="H93" s="45" t="inlineStr">
        <is>
          <t>00:51:25</t>
        </is>
      </c>
      <c r="I93" s="48" t="inlineStr">
        <is>
          <t>서로소 집합(Disjoint Set / Union-Find), 경로 압축(Path Compression), Rank 최적화</t>
        </is>
      </c>
      <c r="J93" s="32" t="inlineStr">
        <is>
          <t>[실전 D4] 3289 서로소 집합 · [실전 D4] 7465 창용 마을 무리의 개수 · [심화 D4] 1251 하나로 / 1267 작업순서</t>
        </is>
      </c>
      <c r="K93" s="45" t="inlineStr">
        <is>
          <t>미수강</t>
        </is>
      </c>
      <c r="L93" s="45" t="inlineStr">
        <is>
          <t>-</t>
        </is>
      </c>
    </row>
    <row r="94" ht="19.5" customHeight="1" s="209">
      <c r="A94" s="50" t="n">
        <v>86</v>
      </c>
      <c r="B94" s="51" t="n">
        <v>46317</v>
      </c>
      <c r="C94" s="50" t="inlineStr">
        <is>
          <t>W09 (4주차)</t>
        </is>
      </c>
      <c r="D94" s="50" t="inlineStr">
        <is>
          <t>서로소 집합</t>
        </is>
      </c>
      <c r="E94" s="53" t="inlineStr">
        <is>
          <t>[SW문제해결응용] 서로소집합</t>
        </is>
      </c>
      <c r="F94" s="53" t="inlineStr">
        <is>
          <t>서로소 집합_최적화</t>
        </is>
      </c>
      <c r="G94" s="50" t="inlineStr">
        <is>
          <t>김태희 강사</t>
        </is>
      </c>
      <c r="H94" s="50" t="inlineStr">
        <is>
          <t>00:34:53</t>
        </is>
      </c>
      <c r="I94" s="53" t="inlineStr">
        <is>
          <t>서로소 집합(Disjoint Set / Union-Find), 경로 압축(Path Compression), Rank 최적화</t>
        </is>
      </c>
      <c r="J94" s="55" t="inlineStr">
        <is>
          <t>[실전 D4] 3289 서로소 집합 · [실전 D4] 7465 창용 마을 무리의 개수 · [심화 D4] 1251 하나로 / 1267 작업순서</t>
        </is>
      </c>
      <c r="K94" s="50" t="inlineStr">
        <is>
          <t>미수강</t>
        </is>
      </c>
      <c r="L94" s="50" t="inlineStr">
        <is>
          <t>-</t>
        </is>
      </c>
    </row>
    <row r="95" ht="15.75" customHeight="1" s="20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 ht="15.75" customHeight="1" s="20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 ht="15.75" customHeight="1" s="20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15.75" customHeight="1" s="20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 ht="15.75" customHeight="1" s="20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15.75" customHeight="1" s="20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</row>
  </sheetData>
  <mergeCells count="14">
    <mergeCell ref="J5:L5"/>
    <mergeCell ref="J6:L6"/>
    <mergeCell ref="A2:L2"/>
    <mergeCell ref="D5:F5"/>
    <mergeCell ref="A5:C5"/>
    <mergeCell ref="G5:I5"/>
    <mergeCell ref="G6:I6"/>
    <mergeCell ref="A1:L1"/>
    <mergeCell ref="A6:C6"/>
    <mergeCell ref="D4:F4"/>
    <mergeCell ref="G4:I4"/>
    <mergeCell ref="J4:L4"/>
    <mergeCell ref="A4:C4"/>
    <mergeCell ref="D6:F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09" min="1" max="1"/>
    <col width="10" customWidth="1" style="209" min="2" max="2"/>
    <col width="15.6" customWidth="1" style="209" min="3" max="3"/>
    <col width="41.4" customWidth="1" style="209" min="4" max="4"/>
    <col width="13" customWidth="1" style="209" min="5" max="5"/>
    <col width="13" customWidth="1" style="209" min="6" max="6"/>
    <col width="21.2" customWidth="1" style="209" min="7" max="7"/>
    <col width="47" customWidth="1" style="209" min="8" max="8"/>
    <col width="55" customWidth="1" style="209" min="9" max="9"/>
    <col width="15" customWidth="1" style="209" min="10" max="10"/>
    <col width="36.6" customWidth="1" style="209" min="11" max="11"/>
    <col width="55" customWidth="1" style="209" min="12" max="12"/>
    <col width="10" customWidth="1" style="209" min="13" max="13"/>
  </cols>
  <sheetData>
    <row r="1" ht="26" customHeight="1" s="209">
      <c r="A1" s="286" t="inlineStr">
        <is>
          <t>No</t>
        </is>
      </c>
      <c r="B1" s="286" t="inlineStr">
        <is>
          <t>난이도</t>
        </is>
      </c>
      <c r="C1" s="286" t="inlineStr">
        <is>
          <t>주제 (Topic)</t>
        </is>
      </c>
      <c r="D1" s="286" t="inlineStr">
        <is>
          <t>문제 제목</t>
        </is>
      </c>
      <c r="E1" s="286" t="inlineStr">
        <is>
          <t>업로드 여부</t>
        </is>
      </c>
      <c r="F1" s="286" t="inlineStr">
        <is>
          <t>업로드 일자</t>
        </is>
      </c>
      <c r="G1" s="286" t="inlineStr">
        <is>
          <t>SWEA 문제번호 / URL</t>
        </is>
      </c>
      <c r="H1" s="286" t="inlineStr">
        <is>
          <t>연계 SSAFY 주차/단원</t>
        </is>
      </c>
      <c r="I1" s="286" t="inlineStr">
        <is>
          <t>디렉토리 상대경로</t>
        </is>
      </c>
      <c r="J1" s="286" t="inlineStr">
        <is>
          <t>6종 규격 검증</t>
        </is>
      </c>
      <c r="K1" s="286" t="inlineStr">
        <is>
          <t>인지적 사고 단계 (Cognitive Step)</t>
        </is>
      </c>
      <c r="L1" s="286" t="inlineStr">
        <is>
          <t>풀이 핵심 요약 및 제약사항</t>
        </is>
      </c>
      <c r="M1" s="286" t="inlineStr">
        <is>
          <t>비고</t>
        </is>
      </c>
    </row>
    <row r="2" ht="20" customHeight="1" s="209">
      <c r="A2" s="287" t="n">
        <v>1</v>
      </c>
      <c r="B2" s="288" t="inlineStr">
        <is>
          <t>D2</t>
        </is>
      </c>
      <c r="C2" s="287" t="inlineStr">
        <is>
          <t>BFS</t>
        </is>
      </c>
      <c r="D2" s="289" t="inlineStr">
        <is>
          <t>BFS에_대해서</t>
        </is>
      </c>
      <c r="E2" s="290" t="inlineStr">
        <is>
          <t>⬜ 대기</t>
        </is>
      </c>
      <c r="F2" s="287" t="inlineStr">
        <is>
          <t>-</t>
        </is>
      </c>
      <c r="G2" s="287" t="inlineStr">
        <is>
          <t>-</t>
        </is>
      </c>
      <c r="H2" s="291" t="inlineStr">
        <is>
          <t>Tier 3. 격자 시뮬레이션 &amp; 최단 경로 (골드 상위)</t>
        </is>
      </c>
      <c r="I2" s="291" t="inlineStr">
        <is>
          <t>BFS/D2_BFS_BFS에_대해서</t>
        </is>
      </c>
      <c r="J2" s="287" t="inlineStr">
        <is>
          <t>✅ 6종 완비</t>
        </is>
      </c>
      <c r="K2" s="291" t="inlineStr">
        <is>
          <t>Lv.3 개념뼈대 완결</t>
        </is>
      </c>
      <c r="L2" s="291" t="inlineStr">
        <is>
          <t>1번부터 N번까지의 정점과 M개의 양방향 간선이 주어질 때, 1번 정점에서 출발하여 BFS로 방문하는 정점들의 순서를 공백으로 구분하여 출력하십시오 (인접 정점이 여러 개일 경우 번호가 작은 정점부터 먼저 방문합니다...</t>
        </is>
      </c>
      <c r="M2" s="291" t="inlineStr">
        <is>
          <t>-</t>
        </is>
      </c>
    </row>
    <row r="3" ht="20" customHeight="1" s="209">
      <c r="A3" s="292" t="n">
        <v>2</v>
      </c>
      <c r="B3" s="288" t="inlineStr">
        <is>
          <t>D2</t>
        </is>
      </c>
      <c r="C3" s="292" t="inlineStr">
        <is>
          <t>BFS</t>
        </is>
      </c>
      <c r="D3" s="293" t="inlineStr">
        <is>
          <t>미로_탈출_기초</t>
        </is>
      </c>
      <c r="E3" s="290" t="inlineStr">
        <is>
          <t>⬜ 대기</t>
        </is>
      </c>
      <c r="F3" s="292" t="inlineStr">
        <is>
          <t>-</t>
        </is>
      </c>
      <c r="G3" s="292" t="inlineStr">
        <is>
          <t>-</t>
        </is>
      </c>
      <c r="H3" s="294" t="inlineStr">
        <is>
          <t>Tier 3. 격자 시뮬레이션 &amp; 최단 경로 (골드 상위)</t>
        </is>
      </c>
      <c r="I3" s="294" t="inlineStr">
        <is>
          <t>BFS/D2_BFS_미로_탈출_기초</t>
        </is>
      </c>
      <c r="J3" s="292" t="inlineStr">
        <is>
          <t>✅ 6종 완비</t>
        </is>
      </c>
      <c r="K3" s="294" t="inlineStr">
        <is>
          <t>Lv.4 경계완충/징검다리</t>
        </is>
      </c>
      <c r="L3" s="294" t="inlineStr">
        <is>
          <t>너비 우선 탐색(BFS) 알고리즘 개념 및 동작 원리 설명: 너비 우선 탐색(BFS)은 시작 위치에서 출발하여 거리가 1인 칸부터 큐(Queue)에 넣어 가까운 곳부터 차례대로 탐색하는 대표적인 최단 경로 탐색 원리...</t>
        </is>
      </c>
      <c r="M3" s="294" t="inlineStr">
        <is>
          <t>-</t>
        </is>
      </c>
    </row>
    <row r="4" ht="20" customHeight="1" s="209">
      <c r="A4" s="287" t="n">
        <v>3</v>
      </c>
      <c r="B4" s="288" t="inlineStr">
        <is>
          <t>D2</t>
        </is>
      </c>
      <c r="C4" s="287" t="inlineStr">
        <is>
          <t>BFS</t>
        </is>
      </c>
      <c r="D4" s="289" t="inlineStr">
        <is>
          <t>미로_탈출_최단거리_기초</t>
        </is>
      </c>
      <c r="E4" s="290" t="inlineStr">
        <is>
          <t>⬜ 대기</t>
        </is>
      </c>
      <c r="F4" s="287" t="inlineStr">
        <is>
          <t>-</t>
        </is>
      </c>
      <c r="G4" s="287" t="inlineStr">
        <is>
          <t>-</t>
        </is>
      </c>
      <c r="H4" s="291" t="inlineStr">
        <is>
          <t>Tier 3. 격자 시뮬레이션 &amp; 최단 경로 (골드 상위)</t>
        </is>
      </c>
      <c r="I4" s="291" t="inlineStr">
        <is>
          <t>BFS/D2_BFS_미로_탈출_최단거리_기초</t>
        </is>
      </c>
      <c r="J4" s="287" t="inlineStr">
        <is>
          <t>✅ 6종 완비</t>
        </is>
      </c>
      <c r="K4" s="291" t="inlineStr">
        <is>
          <t>Lv.4 경계완충/징검다리</t>
        </is>
      </c>
      <c r="L4" s="291" t="inlineStr">
        <is>
          <t>주어진 N x M 크기의 미로에서 (0,0)에서 (N-1, M-1)까지 지나야 하는 최소 칸 수를 구하십시오 (시작 칸과 끝 칸도 개수에 포함).</t>
        </is>
      </c>
      <c r="M4" s="291" t="inlineStr">
        <is>
          <t>-</t>
        </is>
      </c>
    </row>
    <row r="5" ht="20" customHeight="1" s="209">
      <c r="A5" s="292" t="n">
        <v>4</v>
      </c>
      <c r="B5" s="288" t="inlineStr">
        <is>
          <t>D2</t>
        </is>
      </c>
      <c r="C5" s="292" t="inlineStr">
        <is>
          <t>BFS</t>
        </is>
      </c>
      <c r="D5" s="293" t="inlineStr">
        <is>
          <t>숨바꼭질_1차원_최단시간</t>
        </is>
      </c>
      <c r="E5" s="290" t="inlineStr">
        <is>
          <t>⬜ 대기</t>
        </is>
      </c>
      <c r="F5" s="292" t="inlineStr">
        <is>
          <t>-</t>
        </is>
      </c>
      <c r="G5" s="292" t="inlineStr">
        <is>
          <t>-</t>
        </is>
      </c>
      <c r="H5" s="294" t="inlineStr">
        <is>
          <t>Tier 3. 격자 시뮬레이션 &amp; 최단 경로 (골드 상위)</t>
        </is>
      </c>
      <c r="I5" s="294" t="inlineStr">
        <is>
          <t>BFS/D2_BFS_숨바꼭질_1차원_최단시간</t>
        </is>
      </c>
      <c r="J5" s="292" t="inlineStr">
        <is>
          <t>✅ 6종 완비</t>
        </is>
      </c>
      <c r="K5" s="294" t="inlineStr">
        <is>
          <t>Lv.4 경계완충/징검다리</t>
        </is>
      </c>
      <c r="L5" s="294" t="inlineStr">
        <is>
          <t>수빈이의 위치 N과 동생의 위치 K가 주어질 때 동생을 찾는 가장 빠른 시간(초)을 구하십시오.</t>
        </is>
      </c>
      <c r="M5" s="294" t="inlineStr">
        <is>
          <t>-</t>
        </is>
      </c>
    </row>
    <row r="6" ht="20" customHeight="1" s="209">
      <c r="A6" s="287" t="n">
        <v>5</v>
      </c>
      <c r="B6" s="288" t="inlineStr">
        <is>
          <t>D2</t>
        </is>
      </c>
      <c r="C6" s="287" t="inlineStr">
        <is>
          <t>BFS</t>
        </is>
      </c>
      <c r="D6" s="289" t="inlineStr">
        <is>
          <t>숨바꼭질_워프</t>
        </is>
      </c>
      <c r="E6" s="290" t="inlineStr">
        <is>
          <t>⬜ 대기</t>
        </is>
      </c>
      <c r="F6" s="287" t="inlineStr">
        <is>
          <t>-</t>
        </is>
      </c>
      <c r="G6" s="287" t="inlineStr">
        <is>
          <t>-</t>
        </is>
      </c>
      <c r="H6" s="291" t="inlineStr">
        <is>
          <t>Tier 3. 격자 시뮬레이션 &amp; 최단 경로 (골드 상위)</t>
        </is>
      </c>
      <c r="I6" s="291" t="inlineStr">
        <is>
          <t>BFS/D2_BFS_숨바꼭질_워프</t>
        </is>
      </c>
      <c r="J6" s="287" t="inlineStr">
        <is>
          <t>✅ 6종 완비</t>
        </is>
      </c>
      <c r="K6" s="291" t="inlineStr">
        <is>
          <t>Lv.4 경계완충/징검다리</t>
        </is>
      </c>
      <c r="L6" s="291" t="inlineStr">
        <is>
          <t>1차원 BFS 동작 원리 및 개념 설명: 가중치가 1초로 동일한 상태 전이(X-1, X+1, 2*X)에서 최소 도달 시간을 구하기 위해 큐를 활용하여 가장 먼저 도달하는 시간을 기록하는 BFS 원리를 적용합니다.</t>
        </is>
      </c>
      <c r="M6" s="291" t="inlineStr">
        <is>
          <t>-</t>
        </is>
      </c>
    </row>
    <row r="7" ht="20" customHeight="1" s="209">
      <c r="A7" s="292" t="n">
        <v>6</v>
      </c>
      <c r="B7" s="295" t="inlineStr">
        <is>
          <t>D3</t>
        </is>
      </c>
      <c r="C7" s="292" t="inlineStr">
        <is>
          <t>BFS</t>
        </is>
      </c>
      <c r="D7" s="293" t="inlineStr">
        <is>
          <t>나은이의_토마토_농장_동시_확산</t>
        </is>
      </c>
      <c r="E7" s="290" t="inlineStr">
        <is>
          <t>⬜ 대기</t>
        </is>
      </c>
      <c r="F7" s="292" t="inlineStr">
        <is>
          <t>-</t>
        </is>
      </c>
      <c r="G7" s="292" t="inlineStr">
        <is>
          <t>-</t>
        </is>
      </c>
      <c r="H7" s="294" t="inlineStr">
        <is>
          <t>Tier 3. 격자 시뮬레이션 &amp; 최단 경로 (골드 상위)</t>
        </is>
      </c>
      <c r="I7" s="294" t="inlineStr">
        <is>
          <t>BFS/D3_BFS_나은이의_토마토_농장_동시_확산</t>
        </is>
      </c>
      <c r="J7" s="292" t="inlineStr">
        <is>
          <t>✅ 6종 완비</t>
        </is>
      </c>
      <c r="K7" s="294" t="inlineStr">
        <is>
          <t>Lv.5 실전 응용 (스토리텔링)</t>
        </is>
      </c>
      <c r="L7" s="294" t="inlineStr">
        <is>
          <t>스마트팜 토마토 농장을 운영하는 나은이는 보관 창고에 있는 토마토들의 숙성 상태를 모니터링하고 있습니다. 창고는 M x N 크기의 격자 상자로 되어 있으며, 각 칸에는 잘 익은 토마토(1), 아직 익지 않은 토마토(...</t>
        </is>
      </c>
      <c r="M7" s="294" t="inlineStr">
        <is>
          <t>-</t>
        </is>
      </c>
    </row>
    <row r="8" ht="20" customHeight="1" s="209">
      <c r="A8" s="287" t="n">
        <v>7</v>
      </c>
      <c r="B8" s="295" t="inlineStr">
        <is>
          <t>D3</t>
        </is>
      </c>
      <c r="C8" s="287" t="inlineStr">
        <is>
          <t>BFS</t>
        </is>
      </c>
      <c r="D8" s="289" t="inlineStr">
        <is>
          <t>도하의_보물섬_최장_최단거리_탐색</t>
        </is>
      </c>
      <c r="E8" s="290" t="inlineStr">
        <is>
          <t>⬜ 대기</t>
        </is>
      </c>
      <c r="F8" s="287" t="inlineStr">
        <is>
          <t>-</t>
        </is>
      </c>
      <c r="G8" s="287" t="inlineStr">
        <is>
          <t>-</t>
        </is>
      </c>
      <c r="H8" s="291" t="inlineStr">
        <is>
          <t>Tier 3. 격자 시뮬레이션 &amp; 최단 경로 (골드 상위)</t>
        </is>
      </c>
      <c r="I8" s="291" t="inlineStr">
        <is>
          <t>BFS/D3_BFS_도하의_보물섬_최장_최단거리_탐색</t>
        </is>
      </c>
      <c r="J8" s="287" t="inlineStr">
        <is>
          <t>✅ 6종 완비</t>
        </is>
      </c>
      <c r="K8" s="291" t="inlineStr">
        <is>
          <t>Lv.5 실전 응용 (스토리텔링)</t>
        </is>
      </c>
      <c r="L8" s="291" t="inlineStr">
        <is>
          <t>보물 지도를 손에 넣은 모험가 도하는 미지의 보물섬에서 보물이 묻혀 있는 두 지점을 찾고 있습니다. 보물섬 지도는 R행 C열의 직사각형 모양이며, 각 칸은 육지('L') 또는 바다('W')로 표시되어 있습니다.</t>
        </is>
      </c>
      <c r="M8" s="291" t="inlineStr">
        <is>
          <t>-</t>
        </is>
      </c>
    </row>
    <row r="9" ht="20" customHeight="1" s="209">
      <c r="A9" s="292" t="n">
        <v>8</v>
      </c>
      <c r="B9" s="295" t="inlineStr">
        <is>
          <t>D3</t>
        </is>
      </c>
      <c r="C9" s="292" t="inlineStr">
        <is>
          <t>BFS</t>
        </is>
      </c>
      <c r="D9" s="293" t="inlineStr">
        <is>
          <t>바이러스_확산_시간</t>
        </is>
      </c>
      <c r="E9" s="290" t="inlineStr">
        <is>
          <t>⬜ 대기</t>
        </is>
      </c>
      <c r="F9" s="292" t="inlineStr">
        <is>
          <t>-</t>
        </is>
      </c>
      <c r="G9" s="292" t="inlineStr">
        <is>
          <t>-</t>
        </is>
      </c>
      <c r="H9" s="294" t="inlineStr">
        <is>
          <t>Tier 3. 격자 시뮬레이션 &amp; 최단 경로 (골드 상위)</t>
        </is>
      </c>
      <c r="I9" s="294" t="inlineStr">
        <is>
          <t>BFS/D3_BFS_바이러스_확산_시간</t>
        </is>
      </c>
      <c r="J9" s="292" t="inlineStr">
        <is>
          <t>✅ 6종 완비</t>
        </is>
      </c>
      <c r="K9" s="294" t="inlineStr">
        <is>
          <t>Lv.5 실전 응용 (스토리텔링)</t>
        </is>
      </c>
      <c r="L9" s="294" t="inlineStr">
        <is>
          <t>생명공학 연구원 하준이는 연구실 격자 배양기에서 특정 바이러스가 확산되는 시간을 관찰하고 있다. N×N 크기의 연구소에 바이러스가 유출되었다.</t>
        </is>
      </c>
      <c r="M9" s="294" t="inlineStr">
        <is>
          <t>-</t>
        </is>
      </c>
    </row>
    <row r="10" ht="20" customHeight="1" s="209">
      <c r="A10" s="287" t="n">
        <v>9</v>
      </c>
      <c r="B10" s="295" t="inlineStr">
        <is>
          <t>D3</t>
        </is>
      </c>
      <c r="C10" s="287" t="inlineStr">
        <is>
          <t>BFS</t>
        </is>
      </c>
      <c r="D10" s="289" t="inlineStr">
        <is>
          <t>안전_영역_카운트</t>
        </is>
      </c>
      <c r="E10" s="290" t="inlineStr">
        <is>
          <t>⬜ 대기</t>
        </is>
      </c>
      <c r="F10" s="287" t="inlineStr">
        <is>
          <t>-</t>
        </is>
      </c>
      <c r="G10" s="287" t="inlineStr">
        <is>
          <t>-</t>
        </is>
      </c>
      <c r="H10" s="291" t="inlineStr">
        <is>
          <t>Tier 3. 격자 시뮬레이션 &amp; 최단 경로 (골드 상위)</t>
        </is>
      </c>
      <c r="I10" s="291" t="inlineStr">
        <is>
          <t>BFS/D3_BFS_안전_영역_카운트</t>
        </is>
      </c>
      <c r="J10" s="287" t="inlineStr">
        <is>
          <t>✅ 6종 완비</t>
        </is>
      </c>
      <c r="K10" s="291" t="inlineStr">
        <is>
          <t>Lv.5 실전 응용 (스토리텔링)</t>
        </is>
      </c>
      <c r="L10" s="291" t="inlineStr">
        <is>
          <t>기상 분석관 도윤이는 집중호우가 내렸을 때 침수되지 않고 물 위에 안전하게 남는 지대들의 개수를 조사하고 있다. 어떤 지역의 높이 정보를 파악하여, 많은 비가 내렸을 때 물에 잠기지 않는 안전한 영역이 최대 몇 개가...</t>
        </is>
      </c>
      <c r="M10" s="291" t="inlineStr">
        <is>
          <t>-</t>
        </is>
      </c>
    </row>
    <row r="11" ht="20" customHeight="1" s="209">
      <c r="A11" s="292" t="n">
        <v>10</v>
      </c>
      <c r="B11" s="295" t="inlineStr">
        <is>
          <t>D3</t>
        </is>
      </c>
      <c r="C11" s="292" t="inlineStr">
        <is>
          <t>BFS</t>
        </is>
      </c>
      <c r="D11" s="293" t="inlineStr">
        <is>
          <t>토마토_숙성_창고</t>
        </is>
      </c>
      <c r="E11" s="290" t="inlineStr">
        <is>
          <t>⬜ 대기</t>
        </is>
      </c>
      <c r="F11" s="292" t="inlineStr">
        <is>
          <t>-</t>
        </is>
      </c>
      <c r="G11" s="292" t="inlineStr">
        <is>
          <t>-</t>
        </is>
      </c>
      <c r="H11" s="294" t="inlineStr">
        <is>
          <t>Tier 3. 격자 시뮬레이션 &amp; 최단 경로 (골드 상위)</t>
        </is>
      </c>
      <c r="I11" s="294" t="inlineStr">
        <is>
          <t>BFS/D3_BFS_토마토_숙성_창고</t>
        </is>
      </c>
      <c r="J11" s="292" t="inlineStr">
        <is>
          <t>✅ 6종 완비</t>
        </is>
      </c>
      <c r="K11" s="294" t="inlineStr">
        <is>
          <t>Lv.5 실전 응용 (스토리텔링)</t>
        </is>
      </c>
      <c r="L11" s="294" t="inlineStr">
        <is>
          <t>스마트팜 창고를 관리하는 시우는 보관 중인 토마토들이 익은 토마토의 영향을 받아 모두 익는 데 걸리는 최소 일수를 계산하고자 한다. 격자 모양 상자들을 수직으로 쌓아 올려 토마토를 보관하는 3차원 창고가 있다.</t>
        </is>
      </c>
      <c r="M11" s="294" t="inlineStr">
        <is>
          <t>-</t>
        </is>
      </c>
    </row>
    <row r="12" ht="20" customHeight="1" s="209">
      <c r="A12" s="287" t="n">
        <v>11</v>
      </c>
      <c r="B12" s="296" t="inlineStr">
        <is>
          <t>D4</t>
        </is>
      </c>
      <c r="C12" s="287" t="inlineStr">
        <is>
          <t>BFS</t>
        </is>
      </c>
      <c r="D12" s="289" t="inlineStr">
        <is>
          <t>미로_최단경로</t>
        </is>
      </c>
      <c r="E12" s="290" t="inlineStr">
        <is>
          <t>⬜ 대기</t>
        </is>
      </c>
      <c r="F12" s="287" t="inlineStr">
        <is>
          <t>-</t>
        </is>
      </c>
      <c r="G12" s="287" t="inlineStr">
        <is>
          <t>-</t>
        </is>
      </c>
      <c r="H12" s="291" t="inlineStr">
        <is>
          <t>Tier 3. 격자 시뮬레이션 &amp; 최단 경로 (골드 상위)</t>
        </is>
      </c>
      <c r="I12" s="291" t="inlineStr">
        <is>
          <t>BFS/D4_BFS_미로_최단경로</t>
        </is>
      </c>
      <c r="J12" s="287" t="inlineStr">
        <is>
          <t>✅ 6종 완비</t>
        </is>
      </c>
      <c r="K12" s="291" t="inlineStr">
        <is>
          <t>Lv.6 복합 제약 &amp; 시공간 최적화</t>
        </is>
      </c>
      <c r="L12" s="291" t="inlineStr">
        <is>
          <t>아래와 같이 16*16 행렬의 형태로 만들어진 미로가 있다. 미로의 각 칸은 통로(0) 또는 벽(1)으로 이루어져 있으며, 출발점(2)과 도착점(3)이 주어진다.</t>
        </is>
      </c>
      <c r="M12" s="291" t="inlineStr">
        <is>
          <t>-</t>
        </is>
      </c>
    </row>
    <row r="13" ht="20" customHeight="1" s="209">
      <c r="A13" s="292" t="n">
        <v>12</v>
      </c>
      <c r="B13" s="296" t="inlineStr">
        <is>
          <t>D4</t>
        </is>
      </c>
      <c r="C13" s="292" t="inlineStr">
        <is>
          <t>BFS</t>
        </is>
      </c>
      <c r="D13" s="293" t="inlineStr">
        <is>
          <t>벽_부수고_이동하기</t>
        </is>
      </c>
      <c r="E13" s="290" t="inlineStr">
        <is>
          <t>⬜ 대기</t>
        </is>
      </c>
      <c r="F13" s="292" t="inlineStr">
        <is>
          <t>-</t>
        </is>
      </c>
      <c r="G13" s="292" t="inlineStr">
        <is>
          <t>-</t>
        </is>
      </c>
      <c r="H13" s="294" t="inlineStr">
        <is>
          <t>Tier 3. 격자 시뮬레이션 &amp; 최단 경로 (골드 상위)</t>
        </is>
      </c>
      <c r="I13" s="294" t="inlineStr">
        <is>
          <t>BFS/D4_BFS_벽_부수고_이동하기</t>
        </is>
      </c>
      <c r="J13" s="292" t="inlineStr">
        <is>
          <t>✅ 6종 완비</t>
        </is>
      </c>
      <c r="K13" s="294" t="inlineStr">
        <is>
          <t>Lv.6 복합 제약 &amp; 시공간 최적화</t>
        </is>
      </c>
      <c r="L13" s="294" t="inlineStr">
        <is>
          <t>N×M 크기의 행렬로 표현되는 맵이 있다. 맵에서 0은 이동할 수 있는 곳을 나타내고, 1은 이동할 수 없는 벽을 나타낸다.</t>
        </is>
      </c>
      <c r="M13" s="294" t="inlineStr">
        <is>
          <t>-</t>
        </is>
      </c>
    </row>
    <row r="14" ht="20" customHeight="1" s="209">
      <c r="A14" s="287" t="n">
        <v>13</v>
      </c>
      <c r="B14" s="296" t="inlineStr">
        <is>
          <t>D4</t>
        </is>
      </c>
      <c r="C14" s="287" t="inlineStr">
        <is>
          <t>BFS</t>
        </is>
      </c>
      <c r="D14" s="289" t="inlineStr">
        <is>
          <t>불과_비상탈출</t>
        </is>
      </c>
      <c r="E14" s="290" t="inlineStr">
        <is>
          <t>⬜ 대기</t>
        </is>
      </c>
      <c r="F14" s="287" t="inlineStr">
        <is>
          <t>-</t>
        </is>
      </c>
      <c r="G14" s="287" t="inlineStr">
        <is>
          <t>-</t>
        </is>
      </c>
      <c r="H14" s="291" t="inlineStr">
        <is>
          <t>Tier 3. 격자 시뮬레이션 &amp; 최단 경로 (골드 상위)</t>
        </is>
      </c>
      <c r="I14" s="291" t="inlineStr">
        <is>
          <t>BFS/D4_BFS_불과_비상탈출</t>
        </is>
      </c>
      <c r="J14" s="287" t="inlineStr">
        <is>
          <t>✅ 6종 완비</t>
        </is>
      </c>
      <c r="K14" s="291" t="inlineStr">
        <is>
          <t>Lv.6 복합 제약 &amp; 시공간 최적화</t>
        </is>
      </c>
      <c r="L14" s="291" t="inlineStr">
        <is>
          <t>연구소에 불이 났다. 지훈이는 미로에서 탈출해야 한다. 미로는 R×C 크기의 격자이다.</t>
        </is>
      </c>
      <c r="M14" s="291" t="inlineStr">
        <is>
          <t>-</t>
        </is>
      </c>
    </row>
    <row r="15" ht="20" customHeight="1" s="209">
      <c r="A15" s="292" t="n">
        <v>14</v>
      </c>
      <c r="B15" s="296" t="inlineStr">
        <is>
          <t>D4</t>
        </is>
      </c>
      <c r="C15" s="292" t="inlineStr">
        <is>
          <t>BFS</t>
        </is>
      </c>
      <c r="D15" s="293" t="inlineStr">
        <is>
          <t>연구소_보안탈출</t>
        </is>
      </c>
      <c r="E15" s="290" t="inlineStr">
        <is>
          <t>⬜ 대기</t>
        </is>
      </c>
      <c r="F15" s="292" t="inlineStr">
        <is>
          <t>-</t>
        </is>
      </c>
      <c r="G15" s="292" t="inlineStr">
        <is>
          <t>-</t>
        </is>
      </c>
      <c r="H15" s="294" t="inlineStr">
        <is>
          <t>Tier 3. 격자 시뮬레이션 &amp; 최단 경로 (골드 상위)</t>
        </is>
      </c>
      <c r="I15" s="294" t="inlineStr">
        <is>
          <t>BFS/D4_BFS_연구소_보안탈출</t>
        </is>
      </c>
      <c r="J15" s="292" t="inlineStr">
        <is>
          <t>✅ 6종 완비</t>
        </is>
      </c>
      <c r="K15" s="294" t="inlineStr">
        <is>
          <t>Lv.6 복합 제약 &amp; 시공간 최적화</t>
        </is>
      </c>
      <c r="L15" s="294" t="inlineStr">
        <is>
          <t>16×16 크기의 연구소 미로가 있다. 연구소의 경계와 장애물은 벽으로 둘러싸여 있으며, 연구원은 시작점에서 출발하여 잠겨 있는 비상 탈출구로 탈출해야 한다. 이번 연구소에는 비상 보안 시스템이 가동되어 반드시 '보...</t>
        </is>
      </c>
      <c r="M15" s="294" t="inlineStr">
        <is>
          <t>-</t>
        </is>
      </c>
    </row>
    <row r="16" ht="20" customHeight="1" s="209">
      <c r="A16" s="287" t="n">
        <v>15</v>
      </c>
      <c r="B16" s="296" t="inlineStr">
        <is>
          <t>D4</t>
        </is>
      </c>
      <c r="C16" s="287" t="inlineStr">
        <is>
          <t>BFS</t>
        </is>
      </c>
      <c r="D16" s="289" t="inlineStr">
        <is>
          <t>일방통행_연구소_탈출</t>
        </is>
      </c>
      <c r="E16" s="290" t="inlineStr">
        <is>
          <t>⬜ 대기</t>
        </is>
      </c>
      <c r="F16" s="287" t="inlineStr">
        <is>
          <t>-</t>
        </is>
      </c>
      <c r="G16" s="287" t="inlineStr">
        <is>
          <t>-</t>
        </is>
      </c>
      <c r="H16" s="291" t="inlineStr">
        <is>
          <t>Tier 3. 격자 시뮬레이션 &amp; 최단 경로 (골드 상위)</t>
        </is>
      </c>
      <c r="I16" s="291" t="inlineStr">
        <is>
          <t>BFS/D4_BFS_일방통행_연구소_탈출</t>
        </is>
      </c>
      <c r="J16" s="287" t="inlineStr">
        <is>
          <t>✅ 6종 완비</t>
        </is>
      </c>
      <c r="K16" s="291" t="inlineStr">
        <is>
          <t>Lv.6 복합 제약 &amp; 시공간 최적화</t>
        </is>
      </c>
      <c r="L16" s="291" t="inlineStr">
        <is>
          <t>16×16 크기의 연구소 미로가 있다. 연구소 바닥에는 보안 감지 장치가 설치되어 있어 연구원이 한 번 지나간 통로는 센서가 감지하여 폐쇄된다.</t>
        </is>
      </c>
      <c r="M16" s="291" t="inlineStr">
        <is>
          <t>-</t>
        </is>
      </c>
    </row>
    <row r="17" ht="20" customHeight="1" s="209">
      <c r="A17" s="292" t="n">
        <v>16</v>
      </c>
      <c r="B17" s="297" t="inlineStr">
        <is>
          <t>D5</t>
        </is>
      </c>
      <c r="C17" s="292" t="inlineStr">
        <is>
          <t>BFS</t>
        </is>
      </c>
      <c r="D17" s="293" t="inlineStr">
        <is>
          <t>보물섬_열쇠_수집</t>
        </is>
      </c>
      <c r="E17" s="290" t="inlineStr">
        <is>
          <t>⬜ 대기</t>
        </is>
      </c>
      <c r="F17" s="292" t="inlineStr">
        <is>
          <t>-</t>
        </is>
      </c>
      <c r="G17" s="292" t="inlineStr">
        <is>
          <t>-</t>
        </is>
      </c>
      <c r="H17" s="294" t="inlineStr">
        <is>
          <t>Tier 3. 격자 시뮬레이션 &amp; 최단 경로 (골드 상위)</t>
        </is>
      </c>
      <c r="I17" s="294" t="inlineStr">
        <is>
          <t>BFS/D5_BFS_보물섬_열쇠_수집</t>
        </is>
      </c>
      <c r="J17" s="292" t="inlineStr">
        <is>
          <t>✅ 6종 완비</t>
        </is>
      </c>
      <c r="K17" s="294" t="inlineStr">
        <is>
          <t>Lv.7 삼성 B형 Pro (No-STL/메모리풀)</t>
        </is>
      </c>
      <c r="L17" s="294" t="inlineStr">
        <is>
          <t>N×M 크기의 보물섬 지도가 있다. 지도에서 0은 빈 통로, 1은 벽, 2는 출발점, 3은 보물상자(도착점)이다.</t>
        </is>
      </c>
      <c r="M17" s="294" t="inlineStr">
        <is>
          <t>-</t>
        </is>
      </c>
    </row>
    <row r="18" ht="20" customHeight="1" s="209">
      <c r="A18" s="287" t="n">
        <v>17</v>
      </c>
      <c r="B18" s="288" t="inlineStr">
        <is>
          <t>D2</t>
        </is>
      </c>
      <c r="C18" s="287" t="inlineStr">
        <is>
          <t>DFS</t>
        </is>
      </c>
      <c r="D18" s="289" t="inlineStr">
        <is>
          <t>DFS에_대해서</t>
        </is>
      </c>
      <c r="E18" s="290" t="inlineStr">
        <is>
          <t>⬜ 대기</t>
        </is>
      </c>
      <c r="F18" s="287" t="inlineStr">
        <is>
          <t>-</t>
        </is>
      </c>
      <c r="G18" s="287" t="inlineStr">
        <is>
          <t>-</t>
        </is>
      </c>
      <c r="H18" s="291" t="inlineStr">
        <is>
          <t>Tier 3. 격자 시뮬레이션 &amp; 최단 경로 (골드 상위)</t>
        </is>
      </c>
      <c r="I18" s="291" t="inlineStr">
        <is>
          <t>DFS/D2_DFS_DFS에_대해서</t>
        </is>
      </c>
      <c r="J18" s="287" t="inlineStr">
        <is>
          <t>✅ 6종 완비</t>
        </is>
      </c>
      <c r="K18" s="291" t="inlineStr">
        <is>
          <t>Lv.3 개념뼈대 완결</t>
        </is>
      </c>
      <c r="L18" s="291" t="inlineStr">
        <is>
          <t>1번부터 N번까지의 정점과 M개의 양방향 간선이 주어질 때, 1번 정점에서 출발하여 DFS로 방문하는 정점들의 순서를 공백으로 구분하여 출력하십시오 (인접 정점이 여러 개일 경우 번호가 작은 정점부터 먼저 방문합니다...</t>
        </is>
      </c>
      <c r="M18" s="291" t="inlineStr">
        <is>
          <t>-</t>
        </is>
      </c>
    </row>
    <row r="19" ht="20" customHeight="1" s="209">
      <c r="A19" s="292" t="n">
        <v>18</v>
      </c>
      <c r="B19" s="288" t="inlineStr">
        <is>
          <t>D2</t>
        </is>
      </c>
      <c r="C19" s="292" t="inlineStr">
        <is>
          <t>DFS</t>
        </is>
      </c>
      <c r="D19" s="293" t="inlineStr">
        <is>
          <t>단지_번호_붙이기</t>
        </is>
      </c>
      <c r="E19" s="290" t="inlineStr">
        <is>
          <t>⬜ 대기</t>
        </is>
      </c>
      <c r="F19" s="292" t="inlineStr">
        <is>
          <t>-</t>
        </is>
      </c>
      <c r="G19" s="292" t="inlineStr">
        <is>
          <t>-</t>
        </is>
      </c>
      <c r="H19" s="294" t="inlineStr">
        <is>
          <t>Tier 3. 격자 시뮬레이션 &amp; 최단 경로 (골드 상위)</t>
        </is>
      </c>
      <c r="I19" s="294" t="inlineStr">
        <is>
          <t>DFS/D2_DFS_단지_번호_붙이기</t>
        </is>
      </c>
      <c r="J19" s="292" t="inlineStr">
        <is>
          <t>✅ 6종 완비</t>
        </is>
      </c>
      <c r="K19" s="294" t="inlineStr">
        <is>
          <t>Lv.4 경계완충/징검다리</t>
        </is>
      </c>
      <c r="L19" s="294" t="inlineStr">
        <is>
          <t>깊이 우선 탐색(DFS) 알고리즘 개념 및 동작 원리 설명: 깊이 우선 탐색(DFS)은 2차원 격자에서 인접한 연결 요소를 끝까지 파고들며 방문 배열을 통해 이미 센 집을 중복 방문하지 않고 묶어내는 영역 분할 알고...</t>
        </is>
      </c>
      <c r="M19" s="294" t="inlineStr">
        <is>
          <t>-</t>
        </is>
      </c>
    </row>
    <row r="20" ht="20" customHeight="1" s="209">
      <c r="A20" s="287" t="n">
        <v>19</v>
      </c>
      <c r="B20" s="288" t="inlineStr">
        <is>
          <t>D2</t>
        </is>
      </c>
      <c r="C20" s="287" t="inlineStr">
        <is>
          <t>DFS</t>
        </is>
      </c>
      <c r="D20" s="289" t="inlineStr">
        <is>
          <t>바이러스_감염_컴퓨터</t>
        </is>
      </c>
      <c r="E20" s="290" t="inlineStr">
        <is>
          <t>⬜ 대기</t>
        </is>
      </c>
      <c r="F20" s="287" t="inlineStr">
        <is>
          <t>-</t>
        </is>
      </c>
      <c r="G20" s="287" t="inlineStr">
        <is>
          <t>-</t>
        </is>
      </c>
      <c r="H20" s="291" t="inlineStr">
        <is>
          <t>Tier 3. 격자 시뮬레이션 &amp; 최단 경로 (골드 상위)</t>
        </is>
      </c>
      <c r="I20" s="291" t="inlineStr">
        <is>
          <t>DFS/D2_DFS_바이러스_감염_컴퓨터</t>
        </is>
      </c>
      <c r="J20" s="287" t="inlineStr">
        <is>
          <t>✅ 6종 완비</t>
        </is>
      </c>
      <c r="K20" s="291" t="inlineStr">
        <is>
          <t>Lv.4 경계완충/징검다리</t>
        </is>
      </c>
      <c r="L20" s="291" t="inlineStr">
        <is>
          <t>그래프 DFS 순회 개념 및 동작 원리 설명: 인접 리스트로 표현된 네트워크 그래프에서 1번 노드부터 재귀 호출을 통해 연결된 모든 노드를 완전 탐색하며 방문 노드 수를 누적하는 DFS 원리입니다.</t>
        </is>
      </c>
      <c r="M20" s="291" t="inlineStr">
        <is>
          <t>-</t>
        </is>
      </c>
    </row>
    <row r="21" ht="20" customHeight="1" s="209">
      <c r="A21" s="292" t="n">
        <v>20</v>
      </c>
      <c r="B21" s="288" t="inlineStr">
        <is>
          <t>D2</t>
        </is>
      </c>
      <c r="C21" s="292" t="inlineStr">
        <is>
          <t>DFS</t>
        </is>
      </c>
      <c r="D21" s="293" t="inlineStr">
        <is>
          <t>바이러스_전파_연결컴포넌트</t>
        </is>
      </c>
      <c r="E21" s="290" t="inlineStr">
        <is>
          <t>⬜ 대기</t>
        </is>
      </c>
      <c r="F21" s="292" t="inlineStr">
        <is>
          <t>-</t>
        </is>
      </c>
      <c r="G21" s="292" t="inlineStr">
        <is>
          <t>-</t>
        </is>
      </c>
      <c r="H21" s="294" t="inlineStr">
        <is>
          <t>Tier 3. 격자 시뮬레이션 &amp; 최단 경로 (골드 상위)</t>
        </is>
      </c>
      <c r="I21" s="294" t="inlineStr">
        <is>
          <t>DFS/D2_DFS_바이러스_전파_연결컴포넌트</t>
        </is>
      </c>
      <c r="J21" s="292" t="inlineStr">
        <is>
          <t>✅ 6종 완비</t>
        </is>
      </c>
      <c r="K21" s="294" t="inlineStr">
        <is>
          <t>Lv.4 경계완충/징검다리</t>
        </is>
      </c>
      <c r="L21" s="294" t="inlineStr">
        <is>
          <t>컴퓨터의 수 N과 네트워크 연결 수 M이 주어질 때, 1번 컴퓨터를 통해 바이러스에 걸리게 되는 컴퓨터의 수를 구하십시오.</t>
        </is>
      </c>
      <c r="M21" s="294" t="inlineStr">
        <is>
          <t>-</t>
        </is>
      </c>
    </row>
    <row r="22" ht="20" customHeight="1" s="209">
      <c r="A22" s="287" t="n">
        <v>21</v>
      </c>
      <c r="B22" s="288" t="inlineStr">
        <is>
          <t>D2</t>
        </is>
      </c>
      <c r="C22" s="287" t="inlineStr">
        <is>
          <t>DFS</t>
        </is>
      </c>
      <c r="D22" s="289" t="inlineStr">
        <is>
          <t>연결_컴포넌트</t>
        </is>
      </c>
      <c r="E22" s="290" t="inlineStr">
        <is>
          <t>⬜ 대기</t>
        </is>
      </c>
      <c r="F22" s="287" t="inlineStr">
        <is>
          <t>-</t>
        </is>
      </c>
      <c r="G22" s="287" t="inlineStr">
        <is>
          <t>-</t>
        </is>
      </c>
      <c r="H22" s="291" t="inlineStr">
        <is>
          <t>Tier 3. 격자 시뮬레이션 &amp; 최단 경로 (골드 상위)</t>
        </is>
      </c>
      <c r="I22" s="291" t="inlineStr">
        <is>
          <t>DFS/D2_DFS_연결_컴포넌트</t>
        </is>
      </c>
      <c r="J22" s="287" t="inlineStr">
        <is>
          <t>✅ 6종 완비</t>
        </is>
      </c>
      <c r="K22" s="291" t="inlineStr">
        <is>
          <t>Lv.4 경계완충/징검다리</t>
        </is>
      </c>
      <c r="L22" s="291" t="inlineStr">
        <is>
          <t>격자 그래프 연결 요소(Connected Component) 탐색 원리 및 개념 설명: 격자의 모든 좌표를 순회하며 아직 방문하지 않은 육지(1)를 발견할 때마다 DFS 재귀 호출을 시작하여 하나의 독립된 섬을 완전...</t>
        </is>
      </c>
      <c r="M22" s="291" t="inlineStr">
        <is>
          <t>-</t>
        </is>
      </c>
    </row>
    <row r="23" ht="20" customHeight="1" s="209">
      <c r="A23" s="292" t="n">
        <v>22</v>
      </c>
      <c r="B23" s="295" t="inlineStr">
        <is>
          <t>D3</t>
        </is>
      </c>
      <c r="C23" s="292" t="inlineStr">
        <is>
          <t>DFS</t>
        </is>
      </c>
      <c r="D23" s="293" t="inlineStr">
        <is>
          <t>경로의_개수_찾기</t>
        </is>
      </c>
      <c r="E23" s="290" t="inlineStr">
        <is>
          <t>⬜ 대기</t>
        </is>
      </c>
      <c r="F23" s="292" t="inlineStr">
        <is>
          <t>-</t>
        </is>
      </c>
      <c r="G23" s="292" t="inlineStr">
        <is>
          <t>-</t>
        </is>
      </c>
      <c r="H23" s="294" t="inlineStr">
        <is>
          <t>Tier 3. 격자 시뮬레이션 &amp; 최단 경로 (골드 상위)</t>
        </is>
      </c>
      <c r="I23" s="294" t="inlineStr">
        <is>
          <t>DFS/D3_DFS_경로의_개수_찾기</t>
        </is>
      </c>
      <c r="J23" s="292" t="inlineStr">
        <is>
          <t>✅ 6종 완비</t>
        </is>
      </c>
      <c r="K23" s="294" t="inlineStr">
        <is>
          <t>Lv.5 실전 응용 (스토리텔링)</t>
        </is>
      </c>
      <c r="L23" s="294" t="inlineStr">
        <is>
          <t>국립공원 탐방로 설계자 서준이는 등산객들이 출발지에서 도착지까지 안전하게 이동할 수 있는 유효 경로의 총 개수를 집계하고 있다. N×M 크기의 격자 미로가 주어진다.</t>
        </is>
      </c>
      <c r="M23" s="294" t="inlineStr">
        <is>
          <t>-</t>
        </is>
      </c>
    </row>
    <row r="24" ht="20" customHeight="1" s="209">
      <c r="A24" s="287" t="n">
        <v>23</v>
      </c>
      <c r="B24" s="295" t="inlineStr">
        <is>
          <t>D3</t>
        </is>
      </c>
      <c r="C24" s="287" t="inlineStr">
        <is>
          <t>DFS</t>
        </is>
      </c>
      <c r="D24" s="289" t="inlineStr">
        <is>
          <t>시아의_단지번호붙이기_영역_탐색</t>
        </is>
      </c>
      <c r="E24" s="290" t="inlineStr">
        <is>
          <t>⬜ 대기</t>
        </is>
      </c>
      <c r="F24" s="287" t="inlineStr">
        <is>
          <t>-</t>
        </is>
      </c>
      <c r="G24" s="287" t="inlineStr">
        <is>
          <t>-</t>
        </is>
      </c>
      <c r="H24" s="291" t="inlineStr">
        <is>
          <t>Tier 3. 격자 시뮬레이션 &amp; 최단 경로 (골드 상위)</t>
        </is>
      </c>
      <c r="I24" s="291" t="inlineStr">
        <is>
          <t>DFS/D3_DFS_시아의_단지번호붙이기_영역_탐색</t>
        </is>
      </c>
      <c r="J24" s="287" t="inlineStr">
        <is>
          <t>✅ 6종 완비</t>
        </is>
      </c>
      <c r="K24" s="291" t="inlineStr">
        <is>
          <t>Lv.5 실전 응용 (스토리텔링)</t>
        </is>
      </c>
      <c r="L24" s="291" t="inlineStr">
        <is>
          <t>도시 지적도를 분석하는 시아는 N x N 크기의 지도에서 아파트 단지 현황을 조사하고 있습니다. 지도는 1(집이 있는 곳)과 0(집이 없는 곳)으로 이루어져 있습니다.</t>
        </is>
      </c>
      <c r="M24" s="291" t="inlineStr">
        <is>
          <t>-</t>
        </is>
      </c>
    </row>
    <row r="25" ht="20" customHeight="1" s="209">
      <c r="A25" s="292" t="n">
        <v>24</v>
      </c>
      <c r="B25" s="295" t="inlineStr">
        <is>
          <t>D3</t>
        </is>
      </c>
      <c r="C25" s="292" t="inlineStr">
        <is>
          <t>DFS</t>
        </is>
      </c>
      <c r="D25" s="293" t="inlineStr">
        <is>
          <t>알파벳_보드_여행</t>
        </is>
      </c>
      <c r="E25" s="290" t="inlineStr">
        <is>
          <t>⬜ 대기</t>
        </is>
      </c>
      <c r="F25" s="292" t="inlineStr">
        <is>
          <t>-</t>
        </is>
      </c>
      <c r="G25" s="292" t="inlineStr">
        <is>
          <t>-</t>
        </is>
      </c>
      <c r="H25" s="294" t="inlineStr">
        <is>
          <t>Tier 3. 격자 시뮬레이션 &amp; 최단 경로 (골드 상위)</t>
        </is>
      </c>
      <c r="I25" s="294" t="inlineStr">
        <is>
          <t>DFS/D3_DFS_알파벳_보드_여행</t>
        </is>
      </c>
      <c r="J25" s="292" t="inlineStr">
        <is>
          <t>✅ 6종 완비</t>
        </is>
      </c>
      <c r="K25" s="294" t="inlineStr">
        <is>
          <t>Lv.5 실전 응용 (스토리텔링)</t>
        </is>
      </c>
      <c r="L25" s="294" t="inlineStr">
        <is>
          <t>보드게임 개발자 은우는 동일한 알파벳을 중복해서 밟지 않으면서 보드판을 최대한 멀리 여행하는 말판 이동 규칙을 만들었다. 세로 R칸, 가로 C칸으로 된 체스판 모양의 보드가 있다.</t>
        </is>
      </c>
      <c r="M25" s="294" t="inlineStr">
        <is>
          <t>-</t>
        </is>
      </c>
    </row>
    <row r="26" ht="20" customHeight="1" s="209">
      <c r="A26" s="287" t="n">
        <v>25</v>
      </c>
      <c r="B26" s="295" t="inlineStr">
        <is>
          <t>D3</t>
        </is>
      </c>
      <c r="C26" s="287" t="inlineStr">
        <is>
          <t>DFS</t>
        </is>
      </c>
      <c r="D26" s="289" t="inlineStr">
        <is>
          <t>음식물_피하기</t>
        </is>
      </c>
      <c r="E26" s="290" t="inlineStr">
        <is>
          <t>⬜ 대기</t>
        </is>
      </c>
      <c r="F26" s="287" t="inlineStr">
        <is>
          <t>-</t>
        </is>
      </c>
      <c r="G26" s="287" t="inlineStr">
        <is>
          <t>-</t>
        </is>
      </c>
      <c r="H26" s="291" t="inlineStr">
        <is>
          <t>Tier 3. 격자 시뮬레이션 &amp; 최단 경로 (골드 상위)</t>
        </is>
      </c>
      <c r="I26" s="291" t="inlineStr">
        <is>
          <t>DFS/D3_DFS_음식물_피하기</t>
        </is>
      </c>
      <c r="J26" s="287" t="inlineStr">
        <is>
          <t>✅ 6종 완비</t>
        </is>
      </c>
      <c r="K26" s="291" t="inlineStr">
        <is>
          <t>Lv.5 실전 응용 (스토리텔링)</t>
        </is>
      </c>
      <c r="L26" s="291" t="inlineStr">
        <is>
          <t>캠핑장 청소 당번 유준이는 야영장 바닥에 떨어진 음식물 쓰레기들이 인접하여 형성하는 가장 큰 덩어리의 크기를 조사하여 청소 계획을 세우고 있다. 통로의 크기가 N×M인 건물이 있다.</t>
        </is>
      </c>
      <c r="M26" s="291" t="inlineStr">
        <is>
          <t>-</t>
        </is>
      </c>
    </row>
    <row r="27" ht="20" customHeight="1" s="209">
      <c r="A27" s="292" t="n">
        <v>26</v>
      </c>
      <c r="B27" s="295" t="inlineStr">
        <is>
          <t>D3</t>
        </is>
      </c>
      <c r="C27" s="292" t="inlineStr">
        <is>
          <t>DFS</t>
        </is>
      </c>
      <c r="D27" s="293" t="inlineStr">
        <is>
          <t>치즈_외부공기_녹이기</t>
        </is>
      </c>
      <c r="E27" s="290" t="inlineStr">
        <is>
          <t>⬜ 대기</t>
        </is>
      </c>
      <c r="F27" s="292" t="inlineStr">
        <is>
          <t>-</t>
        </is>
      </c>
      <c r="G27" s="292" t="inlineStr">
        <is>
          <t>-</t>
        </is>
      </c>
      <c r="H27" s="294" t="inlineStr">
        <is>
          <t>Tier 3. 격자 시뮬레이션 &amp; 최단 경로 (골드 상위)</t>
        </is>
      </c>
      <c r="I27" s="294" t="inlineStr">
        <is>
          <t>DFS/D3_DFS_치즈_외부공기_녹이기</t>
        </is>
      </c>
      <c r="J27" s="292" t="inlineStr">
        <is>
          <t>✅ 6종 완비</t>
        </is>
      </c>
      <c r="K27" s="294" t="inlineStr">
        <is>
          <t>Lv.5 실전 응용 (스토리텔링)</t>
        </is>
      </c>
      <c r="L27" s="294" t="inlineStr">
        <is>
          <t>식품 보관 연구원 선우는 냉장 창고의 외부 공기와 맞닿은 치즈 표면이 시간에 따라 서서히 녹아내리는 과정을 시뮬레이션하고 있다. N×M 크기의 모눈종이 위에 치즈가 놓여 있다.</t>
        </is>
      </c>
      <c r="M27" s="294" t="inlineStr">
        <is>
          <t>-</t>
        </is>
      </c>
    </row>
    <row r="28" ht="20" customHeight="1" s="209">
      <c r="A28" s="287" t="n">
        <v>27</v>
      </c>
      <c r="B28" s="296" t="inlineStr">
        <is>
          <t>D4</t>
        </is>
      </c>
      <c r="C28" s="287" t="inlineStr">
        <is>
          <t>DFS</t>
        </is>
      </c>
      <c r="D28" s="289" t="inlineStr">
        <is>
          <t>등산로_조성</t>
        </is>
      </c>
      <c r="E28" s="290" t="inlineStr">
        <is>
          <t>⬜ 대기</t>
        </is>
      </c>
      <c r="F28" s="287" t="inlineStr">
        <is>
          <t>-</t>
        </is>
      </c>
      <c r="G28" s="287" t="inlineStr">
        <is>
          <t>-</t>
        </is>
      </c>
      <c r="H28" s="291" t="inlineStr">
        <is>
          <t>Tier 3. 격자 시뮬레이션 &amp; 최단 경로 (골드 상위)</t>
        </is>
      </c>
      <c r="I28" s="291" t="inlineStr">
        <is>
          <t>DFS/D4_DFS_등산로_조성</t>
        </is>
      </c>
      <c r="J28" s="287" t="inlineStr">
        <is>
          <t>✅ 6종 완비</t>
        </is>
      </c>
      <c r="K28" s="291" t="inlineStr">
        <is>
          <t>Lv.6 복합 제약 &amp; 시공간 최적화</t>
        </is>
      </c>
      <c r="L28" s="291" t="inlineStr">
        <is>
          <t>N×N 크기의 지도에 지형의 높이 정보가 주어진다. 등산로를 만들기 위한 규칙은 다음과 같다:</t>
        </is>
      </c>
      <c r="M28" s="291" t="inlineStr">
        <is>
          <t>-</t>
        </is>
      </c>
    </row>
    <row r="29" ht="20" customHeight="1" s="209">
      <c r="A29" s="292" t="n">
        <v>28</v>
      </c>
      <c r="B29" s="296" t="inlineStr">
        <is>
          <t>D4</t>
        </is>
      </c>
      <c r="C29" s="292" t="inlineStr">
        <is>
          <t>DFS</t>
        </is>
      </c>
      <c r="D29" s="293" t="inlineStr">
        <is>
          <t>방향그래프_사이클_검출_타르잔</t>
        </is>
      </c>
      <c r="E29" s="290" t="inlineStr">
        <is>
          <t>⬜ 대기</t>
        </is>
      </c>
      <c r="F29" s="292" t="inlineStr">
        <is>
          <t>-</t>
        </is>
      </c>
      <c r="G29" s="292" t="inlineStr">
        <is>
          <t>-</t>
        </is>
      </c>
      <c r="H29" s="294" t="inlineStr">
        <is>
          <t>Tier 3. 격자 시뮬레이션 &amp; 최단 경로 (골드 상위)</t>
        </is>
      </c>
      <c r="I29" s="294" t="inlineStr">
        <is>
          <t>DFS/D4_DFS_방향그래프_사이클_검출_타르잔</t>
        </is>
      </c>
      <c r="J29" s="292" t="inlineStr">
        <is>
          <t>✅ 6종 완비</t>
        </is>
      </c>
      <c r="K29" s="294" t="inlineStr">
        <is>
          <t>Lv.6 복합 제약 &amp; 시공간 최적화</t>
        </is>
      </c>
      <c r="L29" s="294" t="inlineStr">
        <is>
          <t>주어진 방향 그래프에 사이클이 존재하면 1, 존재하지 않으면 0을 출력하십시오.</t>
        </is>
      </c>
      <c r="M29" s="294" t="inlineStr">
        <is>
          <t>-</t>
        </is>
      </c>
    </row>
    <row r="30" ht="20" customHeight="1" s="209">
      <c r="A30" s="287" t="n">
        <v>29</v>
      </c>
      <c r="B30" s="296" t="inlineStr">
        <is>
          <t>D4</t>
        </is>
      </c>
      <c r="C30" s="287" t="inlineStr">
        <is>
          <t>DFS</t>
        </is>
      </c>
      <c r="D30" s="289" t="inlineStr">
        <is>
          <t>알파벳_보드_최장_경로_백트래킹</t>
        </is>
      </c>
      <c r="E30" s="290" t="inlineStr">
        <is>
          <t>⬜ 대기</t>
        </is>
      </c>
      <c r="F30" s="287" t="inlineStr">
        <is>
          <t>-</t>
        </is>
      </c>
      <c r="G30" s="287" t="inlineStr">
        <is>
          <t>-</t>
        </is>
      </c>
      <c r="H30" s="291" t="inlineStr">
        <is>
          <t>Tier 3. 격자 시뮬레이션 &amp; 최단 경로 (골드 상위)</t>
        </is>
      </c>
      <c r="I30" s="291" t="inlineStr">
        <is>
          <t>DFS/D4_DFS_알파벳_보드_최장_경로_백트래킹</t>
        </is>
      </c>
      <c r="J30" s="287" t="inlineStr">
        <is>
          <t>✅ 6종 완비</t>
        </is>
      </c>
      <c r="K30" s="291" t="inlineStr">
        <is>
          <t>Lv.6 복합 제약 &amp; 시공간 최적화</t>
        </is>
      </c>
      <c r="L30" s="291" t="inlineStr">
        <is>
          <t>주어진 R x C 알파벳 보드에서 말이 이동할 수 있는 최대 칸 수를 구하십시오.</t>
        </is>
      </c>
      <c r="M30" s="291" t="inlineStr">
        <is>
          <t>-</t>
        </is>
      </c>
    </row>
    <row r="31" ht="20" customHeight="1" s="209">
      <c r="A31" s="292" t="n">
        <v>30</v>
      </c>
      <c r="B31" s="296" t="inlineStr">
        <is>
          <t>D4</t>
        </is>
      </c>
      <c r="C31" s="292" t="inlineStr">
        <is>
          <t>DFS</t>
        </is>
      </c>
      <c r="D31" s="293" t="inlineStr">
        <is>
          <t>타일_색칠_이분그래프_판별</t>
        </is>
      </c>
      <c r="E31" s="290" t="inlineStr">
        <is>
          <t>⬜ 대기</t>
        </is>
      </c>
      <c r="F31" s="292" t="inlineStr">
        <is>
          <t>-</t>
        </is>
      </c>
      <c r="G31" s="292" t="inlineStr">
        <is>
          <t>-</t>
        </is>
      </c>
      <c r="H31" s="294" t="inlineStr">
        <is>
          <t>Tier 3. 격자 시뮬레이션 &amp; 최단 경로 (골드 상위)</t>
        </is>
      </c>
      <c r="I31" s="294" t="inlineStr">
        <is>
          <t>DFS/D4_DFS_타일_색칠_이분그래프_판별</t>
        </is>
      </c>
      <c r="J31" s="292" t="inlineStr">
        <is>
          <t>✅ 6종 완비</t>
        </is>
      </c>
      <c r="K31" s="294" t="inlineStr">
        <is>
          <t>Lv.6 복합 제약 &amp; 시공간 최적화</t>
        </is>
      </c>
      <c r="L31" s="294" t="inlineStr">
        <is>
          <t>주어진 그래프가 이분 그래프이면 "YES", 아니면 "NO"를 출력하십시오.</t>
        </is>
      </c>
      <c r="M31" s="294" t="inlineStr">
        <is>
          <t>-</t>
        </is>
      </c>
    </row>
    <row r="32" ht="20" customHeight="1" s="209">
      <c r="A32" s="287" t="n">
        <v>31</v>
      </c>
      <c r="B32" s="296" t="inlineStr">
        <is>
          <t>D4</t>
        </is>
      </c>
      <c r="C32" s="287" t="inlineStr">
        <is>
          <t>DFS</t>
        </is>
      </c>
      <c r="D32" s="289" t="inlineStr">
        <is>
          <t>트리의_지름_2회_탐색_최적화</t>
        </is>
      </c>
      <c r="E32" s="290" t="inlineStr">
        <is>
          <t>⬜ 대기</t>
        </is>
      </c>
      <c r="F32" s="287" t="inlineStr">
        <is>
          <t>-</t>
        </is>
      </c>
      <c r="G32" s="287" t="inlineStr">
        <is>
          <t>-</t>
        </is>
      </c>
      <c r="H32" s="291" t="inlineStr">
        <is>
          <t>Tier 3. 격자 시뮬레이션 &amp; 최단 경로 (골드 상위)</t>
        </is>
      </c>
      <c r="I32" s="291" t="inlineStr">
        <is>
          <t>DFS/D4_DFS_트리의_지름_2회_탐색_최적화</t>
        </is>
      </c>
      <c r="J32" s="287" t="inlineStr">
        <is>
          <t>✅ 6종 완비</t>
        </is>
      </c>
      <c r="K32" s="291" t="inlineStr">
        <is>
          <t>Lv.6 복합 제약 &amp; 시공간 최적화</t>
        </is>
      </c>
      <c r="L32" s="291" t="inlineStr">
        <is>
          <t>주어진 가중치 트리에서 트리의 지름을 구하십시오.</t>
        </is>
      </c>
      <c r="M32" s="291" t="inlineStr">
        <is>
          <t>-</t>
        </is>
      </c>
    </row>
    <row r="33" ht="20" customHeight="1" s="209">
      <c r="A33" s="292" t="n">
        <v>32</v>
      </c>
      <c r="B33" s="297" t="inlineStr">
        <is>
          <t>D5</t>
        </is>
      </c>
      <c r="C33" s="292" t="inlineStr">
        <is>
          <t>DFS</t>
        </is>
      </c>
      <c r="D33" s="293" t="inlineStr">
        <is>
          <t>N_Queen_배치</t>
        </is>
      </c>
      <c r="E33" s="290" t="inlineStr">
        <is>
          <t>⬜ 대기</t>
        </is>
      </c>
      <c r="F33" s="292" t="inlineStr">
        <is>
          <t>-</t>
        </is>
      </c>
      <c r="G33" s="292" t="inlineStr">
        <is>
          <t>-</t>
        </is>
      </c>
      <c r="H33" s="294" t="inlineStr">
        <is>
          <t>Tier 3. 격자 시뮬레이션 &amp; 최단 경로 (골드 상위)</t>
        </is>
      </c>
      <c r="I33" s="294" t="inlineStr">
        <is>
          <t>DFS/D5_DFS_N_Queen_배치</t>
        </is>
      </c>
      <c r="J33" s="292" t="inlineStr">
        <is>
          <t>✅ 6종 완비</t>
        </is>
      </c>
      <c r="K33" s="294" t="inlineStr">
        <is>
          <t>Lv.7 삼성 B형 Pro (No-STL/메모리풀)</t>
        </is>
      </c>
      <c r="L33" s="294" t="inlineStr">
        <is>
          <t>N×N 크기의 체스판 위에 N개의 퀸(Queen)을 서로 공격할 수 없도록 놓으려고 한다. 퀸은 같은 행, 같은 열, 그리고 대각선(좌상-우하, 우상-좌하) 방향의 모든 칸에 있는 말을 공격할 수 있다.</t>
        </is>
      </c>
      <c r="M33" s="294" t="inlineStr">
        <is>
          <t>-</t>
        </is>
      </c>
    </row>
    <row r="34" ht="20" customHeight="1" s="209">
      <c r="A34" s="287" t="n">
        <v>33</v>
      </c>
      <c r="B34" s="297" t="inlineStr">
        <is>
          <t>D5</t>
        </is>
      </c>
      <c r="C34" s="287" t="inlineStr">
        <is>
          <t>DFS</t>
        </is>
      </c>
      <c r="D34" s="289" t="inlineStr">
        <is>
          <t>연구소_방화벽_구축</t>
        </is>
      </c>
      <c r="E34" s="290" t="inlineStr">
        <is>
          <t>⬜ 대기</t>
        </is>
      </c>
      <c r="F34" s="287" t="inlineStr">
        <is>
          <t>-</t>
        </is>
      </c>
      <c r="G34" s="287" t="inlineStr">
        <is>
          <t>-</t>
        </is>
      </c>
      <c r="H34" s="291" t="inlineStr">
        <is>
          <t>Tier 3. 격자 시뮬레이션 &amp; 최단 경로 (골드 상위)</t>
        </is>
      </c>
      <c r="I34" s="291" t="inlineStr">
        <is>
          <t>DFS/D5_DFS_연구소_방화벽_구축</t>
        </is>
      </c>
      <c r="J34" s="287" t="inlineStr">
        <is>
          <t>✅ 6종 완비</t>
        </is>
      </c>
      <c r="K34" s="291" t="inlineStr">
        <is>
          <t>Lv.7 삼성 B형 Pro (No-STL/메모리풀)</t>
        </is>
      </c>
      <c r="L34" s="291" t="inlineStr">
        <is>
          <t>N×M 크기의 연구소에 바이러스가 유출되었다. 연구소의 각 칸은 빈 칸(0), 벽(1), 바이러스가 있는 곳(2)으로 표현된다.</t>
        </is>
      </c>
      <c r="M34" s="291" t="inlineStr">
        <is>
          <t>-</t>
        </is>
      </c>
    </row>
    <row r="35" ht="20" customHeight="1" s="209">
      <c r="A35" s="292" t="n">
        <v>34</v>
      </c>
      <c r="B35" s="288" t="inlineStr">
        <is>
          <t>D2</t>
        </is>
      </c>
      <c r="C35" s="292" t="inlineStr">
        <is>
          <t>DP</t>
        </is>
      </c>
      <c r="D35" s="293" t="inlineStr">
        <is>
          <t>1로_만들기_최소_연산_횟수</t>
        </is>
      </c>
      <c r="E35" s="290" t="inlineStr">
        <is>
          <t>⬜ 대기</t>
        </is>
      </c>
      <c r="F35" s="292" t="inlineStr">
        <is>
          <t>-</t>
        </is>
      </c>
      <c r="G35" s="292" t="inlineStr">
        <is>
          <t>-</t>
        </is>
      </c>
      <c r="H35" s="294" t="inlineStr">
        <is>
          <t>Tier 4. 동적 계획법 &amp; 고급 탐색 (A형 심화)</t>
        </is>
      </c>
      <c r="I35" s="294" t="inlineStr">
        <is>
          <t>DP/D2_DP_1로_만들기_최소_연산_횟수</t>
        </is>
      </c>
      <c r="J35" s="292" t="inlineStr">
        <is>
          <t>✅ 6종 완비</t>
        </is>
      </c>
      <c r="K35" s="294" t="inlineStr">
        <is>
          <t>Lv.4 경계완충/징검다리</t>
        </is>
      </c>
      <c r="L35" s="294" t="inlineStr">
        <is>
          <t>정수 N이 주어질 때 1로 만드는 데 필요한 최소 연산 횟수를 구하십시오.</t>
        </is>
      </c>
      <c r="M35" s="294" t="inlineStr">
        <is>
          <t>-</t>
        </is>
      </c>
    </row>
    <row r="36" ht="20" customHeight="1" s="209">
      <c r="A36" s="287" t="n">
        <v>35</v>
      </c>
      <c r="B36" s="288" t="inlineStr">
        <is>
          <t>D2</t>
        </is>
      </c>
      <c r="C36" s="287" t="inlineStr">
        <is>
          <t>DP</t>
        </is>
      </c>
      <c r="D36" s="289" t="inlineStr">
        <is>
          <t>DP에_대해서</t>
        </is>
      </c>
      <c r="E36" s="290" t="inlineStr">
        <is>
          <t>⬜ 대기</t>
        </is>
      </c>
      <c r="F36" s="287" t="inlineStr">
        <is>
          <t>-</t>
        </is>
      </c>
      <c r="G36" s="287" t="inlineStr">
        <is>
          <t>-</t>
        </is>
      </c>
      <c r="H36" s="291" t="inlineStr">
        <is>
          <t>Tier 4. 동적 계획법 &amp; 고급 탐색 (A형 심화)</t>
        </is>
      </c>
      <c r="I36" s="291" t="inlineStr">
        <is>
          <t>DP/D2_DP_DP에_대해서</t>
        </is>
      </c>
      <c r="J36" s="287" t="inlineStr">
        <is>
          <t>✅ 6종 완비</t>
        </is>
      </c>
      <c r="K36" s="291" t="inlineStr">
        <is>
          <t>Lv.3 개념뼈대 완결</t>
        </is>
      </c>
      <c r="L36" s="291" t="inlineStr">
        <is>
          <t>계단의 수 N이 주어질 때, 1칸 또는 2칸씩 올라가서 N번째 계단에 도달할 수 있는 모든 방법의 수를 1,000,000,007로 나눈 나머지를 구하는 프로그램을 작성하십시오.</t>
        </is>
      </c>
      <c r="M36" s="291" t="inlineStr">
        <is>
          <t>-</t>
        </is>
      </c>
    </row>
    <row r="37" ht="20" customHeight="1" s="209">
      <c r="A37" s="292" t="n">
        <v>36</v>
      </c>
      <c r="B37" s="288" t="inlineStr">
        <is>
          <t>D2</t>
        </is>
      </c>
      <c r="C37" s="292" t="inlineStr">
        <is>
          <t>DP</t>
        </is>
      </c>
      <c r="D37" s="293" t="inlineStr">
        <is>
          <t>막대_자르기</t>
        </is>
      </c>
      <c r="E37" s="290" t="inlineStr">
        <is>
          <t>⬜ 대기</t>
        </is>
      </c>
      <c r="F37" s="292" t="inlineStr">
        <is>
          <t>-</t>
        </is>
      </c>
      <c r="G37" s="292" t="inlineStr">
        <is>
          <t>-</t>
        </is>
      </c>
      <c r="H37" s="294" t="inlineStr">
        <is>
          <t>Tier 4. 동적 계획법 &amp; 고급 탐색 (A형 심화)</t>
        </is>
      </c>
      <c r="I37" s="294" t="inlineStr">
        <is>
          <t>DP/D2_DP_막대_자르기</t>
        </is>
      </c>
      <c r="J37" s="292" t="inlineStr">
        <is>
          <t>✅ 6종 완비</t>
        </is>
      </c>
      <c r="K37" s="294" t="inlineStr">
        <is>
          <t>Lv.4 경계완충/징검다리</t>
        </is>
      </c>
      <c r="L37" s="294" t="inlineStr">
        <is>
          <t>막대의 길이 N과 각 길이 1부터 N까지의 판매 가격 p_1, p_2, ..., p_N이 주어질 때, 막대를 잘라 얻을 수 있는 최대 수익을 구하는 프로그램을 작성하십시오.</t>
        </is>
      </c>
      <c r="M37" s="294" t="inlineStr">
        <is>
          <t>-</t>
        </is>
      </c>
    </row>
    <row r="38" ht="20" customHeight="1" s="209">
      <c r="A38" s="287" t="n">
        <v>37</v>
      </c>
      <c r="B38" s="288" t="inlineStr">
        <is>
          <t>D2</t>
        </is>
      </c>
      <c r="C38" s="287" t="inlineStr">
        <is>
          <t>DP</t>
        </is>
      </c>
      <c r="D38" s="289" t="inlineStr">
        <is>
          <t>정수_삼각형_최대경로</t>
        </is>
      </c>
      <c r="E38" s="290" t="inlineStr">
        <is>
          <t>⬜ 대기</t>
        </is>
      </c>
      <c r="F38" s="287" t="inlineStr">
        <is>
          <t>-</t>
        </is>
      </c>
      <c r="G38" s="287" t="inlineStr">
        <is>
          <t>-</t>
        </is>
      </c>
      <c r="H38" s="291" t="inlineStr">
        <is>
          <t>Tier 4. 동적 계획법 &amp; 고급 탐색 (A형 심화)</t>
        </is>
      </c>
      <c r="I38" s="291" t="inlineStr">
        <is>
          <t>DP/D2_DP_정수_삼각형_최대경로</t>
        </is>
      </c>
      <c r="J38" s="287" t="inlineStr">
        <is>
          <t>✅ 6종 완비</t>
        </is>
      </c>
      <c r="K38" s="291" t="inlineStr">
        <is>
          <t>Lv.4 경계완충/징검다리</t>
        </is>
      </c>
      <c r="L38" s="291" t="inlineStr">
        <is>
          <t>삼각형의 높이 N과 삼각형을 이루는 정수들이 주어질 때, 꼭대기부터 바닥까지 이어지는 경로 중 수들의 합이 최대가 되는 값을 구하는 프로그램을 작성하십시오.</t>
        </is>
      </c>
      <c r="M38" s="291" t="inlineStr">
        <is>
          <t>-</t>
        </is>
      </c>
    </row>
    <row r="39" ht="20" customHeight="1" s="209">
      <c r="A39" s="292" t="n">
        <v>38</v>
      </c>
      <c r="B39" s="288" t="inlineStr">
        <is>
          <t>D2</t>
        </is>
      </c>
      <c r="C39" s="292" t="inlineStr">
        <is>
          <t>DP</t>
        </is>
      </c>
      <c r="D39" s="293" t="inlineStr">
        <is>
          <t>피보나치_수열_메모이제이션</t>
        </is>
      </c>
      <c r="E39" s="290" t="inlineStr">
        <is>
          <t>⬜ 대기</t>
        </is>
      </c>
      <c r="F39" s="292" t="inlineStr">
        <is>
          <t>-</t>
        </is>
      </c>
      <c r="G39" s="292" t="inlineStr">
        <is>
          <t>-</t>
        </is>
      </c>
      <c r="H39" s="294" t="inlineStr">
        <is>
          <t>Tier 4. 동적 계획법 &amp; 고급 탐색 (A형 심화)</t>
        </is>
      </c>
      <c r="I39" s="294" t="inlineStr">
        <is>
          <t>DP/D2_DP_피보나치_수열_메모이제이션</t>
        </is>
      </c>
      <c r="J39" s="292" t="inlineStr">
        <is>
          <t>✅ 6종 완비</t>
        </is>
      </c>
      <c r="K39" s="294" t="inlineStr">
        <is>
          <t>Lv.4 경계완충/징검다리</t>
        </is>
      </c>
      <c r="L39" s="294" t="inlineStr">
        <is>
          <t>자연수 N이 주어질 때, N번째 피보나치 수 F(N)을 1,000,000,007로 나눈 나머지를 동적 계획법을 이용하여 구하는 프로그램을 작성하십시오. (F(0)=0, F(1)=1)</t>
        </is>
      </c>
      <c r="M39" s="294" t="inlineStr">
        <is>
          <t>-</t>
        </is>
      </c>
    </row>
    <row r="40" ht="20" customHeight="1" s="209">
      <c r="A40" s="287" t="n">
        <v>39</v>
      </c>
      <c r="B40" s="295" t="inlineStr">
        <is>
          <t>D3</t>
        </is>
      </c>
      <c r="C40" s="287" t="inlineStr">
        <is>
          <t>DP</t>
        </is>
      </c>
      <c r="D40" s="289" t="inlineStr">
        <is>
          <t>선우의_연속합_최대구간</t>
        </is>
      </c>
      <c r="E40" s="290" t="inlineStr">
        <is>
          <t>⬜ 대기</t>
        </is>
      </c>
      <c r="F40" s="287" t="inlineStr">
        <is>
          <t>-</t>
        </is>
      </c>
      <c r="G40" s="287" t="inlineStr">
        <is>
          <t>-</t>
        </is>
      </c>
      <c r="H40" s="291" t="inlineStr">
        <is>
          <t>Tier 4. 동적 계획법 &amp; 고급 탐색 (A형 심화)</t>
        </is>
      </c>
      <c r="I40" s="291" t="inlineStr">
        <is>
          <t>DP/D3_DP_선우의_연속합_최대구간</t>
        </is>
      </c>
      <c r="J40" s="287" t="inlineStr">
        <is>
          <t>✅ 6종 완비</t>
        </is>
      </c>
      <c r="K40" s="291" t="inlineStr">
        <is>
          <t>Lv.5 실전 응용 (스토리텔링)</t>
        </is>
      </c>
      <c r="L40" s="291" t="inlineStr">
        <is>
          <t>선우는 SSAFY 금융 알고리즘 트랙에서 주식 시장의 일별 변동 수익률 데이터를 분석하고 있습니다. N일 동안의 일일 수익(양수) 또는 손실(음수) 정수 수열이 주어집니다.</t>
        </is>
      </c>
      <c r="M40" s="291" t="inlineStr">
        <is>
          <t>-</t>
        </is>
      </c>
    </row>
    <row r="41" ht="20" customHeight="1" s="209">
      <c r="A41" s="292" t="n">
        <v>40</v>
      </c>
      <c r="B41" s="295" t="inlineStr">
        <is>
          <t>D3</t>
        </is>
      </c>
      <c r="C41" s="292" t="inlineStr">
        <is>
          <t>DP</t>
        </is>
      </c>
      <c r="D41" s="293" t="inlineStr">
        <is>
          <t>아윤이의_계단_오르기</t>
        </is>
      </c>
      <c r="E41" s="290" t="inlineStr">
        <is>
          <t>⬜ 대기</t>
        </is>
      </c>
      <c r="F41" s="292" t="inlineStr">
        <is>
          <t>-</t>
        </is>
      </c>
      <c r="G41" s="292" t="inlineStr">
        <is>
          <t>-</t>
        </is>
      </c>
      <c r="H41" s="294" t="inlineStr">
        <is>
          <t>Tier 4. 동적 계획법 &amp; 고급 탐색 (A형 심화)</t>
        </is>
      </c>
      <c r="I41" s="294" t="inlineStr">
        <is>
          <t>DP/D3_DP_아윤이의_계단_오르기</t>
        </is>
      </c>
      <c r="J41" s="292" t="inlineStr">
        <is>
          <t>✅ 6종 완비</t>
        </is>
      </c>
      <c r="K41" s="294" t="inlineStr">
        <is>
          <t>Lv.5 실전 응용 (스토리텔링)</t>
        </is>
      </c>
      <c r="L41" s="294" t="inlineStr">
        <is>
          <t>아윤이는 놀이터에서 계단 오르기 게임을 하고 있습니다. 각 계단마다 밟았을 때 얻을 수 있는 점수가 적혀 있습니다.</t>
        </is>
      </c>
      <c r="M41" s="294" t="inlineStr">
        <is>
          <t>-</t>
        </is>
      </c>
    </row>
    <row r="42" ht="20" customHeight="1" s="209">
      <c r="A42" s="287" t="n">
        <v>41</v>
      </c>
      <c r="B42" s="295" t="inlineStr">
        <is>
          <t>D3</t>
        </is>
      </c>
      <c r="C42" s="287" t="inlineStr">
        <is>
          <t>DP</t>
        </is>
      </c>
      <c r="D42" s="289" t="inlineStr">
        <is>
          <t>유준이의_01_배낭_싸기</t>
        </is>
      </c>
      <c r="E42" s="290" t="inlineStr">
        <is>
          <t>⬜ 대기</t>
        </is>
      </c>
      <c r="F42" s="287" t="inlineStr">
        <is>
          <t>-</t>
        </is>
      </c>
      <c r="G42" s="287" t="inlineStr">
        <is>
          <t>-</t>
        </is>
      </c>
      <c r="H42" s="291" t="inlineStr">
        <is>
          <t>Tier 4. 동적 계획법 &amp; 고급 탐색 (A형 심화)</t>
        </is>
      </c>
      <c r="I42" s="291" t="inlineStr">
        <is>
          <t>DP/D3_DP_유준이의_01_배낭_싸기</t>
        </is>
      </c>
      <c r="J42" s="287" t="inlineStr">
        <is>
          <t>✅ 6종 완비</t>
        </is>
      </c>
      <c r="K42" s="291" t="inlineStr">
        <is>
          <t>Lv.5 실전 응용 (스토리텔링)</t>
        </is>
      </c>
      <c r="L42" s="291" t="inlineStr">
        <is>
          <t>등산을 좋아하는 유준이는 이번 주말 지리산 종주를 떠나기 위해 배낭을 챙기고 있습니다. 유준이의 배낭은 최대 K kg의 무게까지만 버틸 수 있습니다.</t>
        </is>
      </c>
      <c r="M42" s="291" t="inlineStr">
        <is>
          <t>-</t>
        </is>
      </c>
    </row>
    <row r="43" ht="20" customHeight="1" s="209">
      <c r="A43" s="292" t="n">
        <v>42</v>
      </c>
      <c r="B43" s="295" t="inlineStr">
        <is>
          <t>D3</t>
        </is>
      </c>
      <c r="C43" s="292" t="inlineStr">
        <is>
          <t>DP</t>
        </is>
      </c>
      <c r="D43" s="293" t="inlineStr">
        <is>
          <t>이서의_동전_교환_최소_동전수</t>
        </is>
      </c>
      <c r="E43" s="290" t="inlineStr">
        <is>
          <t>⬜ 대기</t>
        </is>
      </c>
      <c r="F43" s="292" t="inlineStr">
        <is>
          <t>-</t>
        </is>
      </c>
      <c r="G43" s="292" t="inlineStr">
        <is>
          <t>-</t>
        </is>
      </c>
      <c r="H43" s="294" t="inlineStr">
        <is>
          <t>Tier 4. 동적 계획법 &amp; 고급 탐색 (A형 심화)</t>
        </is>
      </c>
      <c r="I43" s="294" t="inlineStr">
        <is>
          <t>DP/D3_DP_이서의_동전_교환_최소_동전수</t>
        </is>
      </c>
      <c r="J43" s="292" t="inlineStr">
        <is>
          <t>✅ 6종 완비</t>
        </is>
      </c>
      <c r="K43" s="294" t="inlineStr">
        <is>
          <t>Lv.5 실전 응용 (스토리텔링)</t>
        </is>
      </c>
      <c r="L43" s="294" t="inlineStr">
        <is>
          <t>스마트 자판기 프로젝트를 진행하는 이서는 거스름돈 반환 모듈을 설계하고 있습니다. N가지 서로 다른 가치를 가진 동전들이 무제한으로 주어질 때, 고객에게 K원의 거스름돈을 거슬러 주기 위해 필요한 최소 동전의 개수를...</t>
        </is>
      </c>
      <c r="M43" s="294" t="inlineStr">
        <is>
          <t>-</t>
        </is>
      </c>
    </row>
    <row r="44" ht="20" customHeight="1" s="209">
      <c r="A44" s="287" t="n">
        <v>43</v>
      </c>
      <c r="B44" s="295" t="inlineStr">
        <is>
          <t>D3</t>
        </is>
      </c>
      <c r="C44" s="287" t="inlineStr">
        <is>
          <t>DP</t>
        </is>
      </c>
      <c r="D44" s="289" t="inlineStr">
        <is>
          <t>이준이의_RGB_거리_최소_비용_칠하기</t>
        </is>
      </c>
      <c r="E44" s="290" t="inlineStr">
        <is>
          <t>⬜ 대기</t>
        </is>
      </c>
      <c r="F44" s="287" t="inlineStr">
        <is>
          <t>-</t>
        </is>
      </c>
      <c r="G44" s="287" t="inlineStr">
        <is>
          <t>-</t>
        </is>
      </c>
      <c r="H44" s="291" t="inlineStr">
        <is>
          <t>Tier 4. 동적 계획법 &amp; 고급 탐색 (A형 심화)</t>
        </is>
      </c>
      <c r="I44" s="291" t="inlineStr">
        <is>
          <t>DP/D3_DP_이준이의_RGB_거리_최소_비용_칠하기</t>
        </is>
      </c>
      <c r="J44" s="287" t="inlineStr">
        <is>
          <t>✅ 6종 완비</t>
        </is>
      </c>
      <c r="K44" s="291" t="inlineStr">
        <is>
          <t>Lv.5 실전 응용 (스토리텔링)</t>
        </is>
      </c>
      <c r="L44" s="291" t="inlineStr">
        <is>
          <t>건축 디자이너를 꿈꾸는 이준이는 일렬로 늘어선 N개의 집을 빨강(R), 초록(G), 파랑(B) 중 한 가지 색으로 칠하려고 합니다. 각 집을 칠할 때 드는 비용이 색상별로 주어져 있습니다.</t>
        </is>
      </c>
      <c r="M44" s="291" t="inlineStr">
        <is>
          <t>-</t>
        </is>
      </c>
    </row>
    <row r="45" ht="20" customHeight="1" s="209">
      <c r="A45" s="292" t="n">
        <v>44</v>
      </c>
      <c r="B45" s="296" t="inlineStr">
        <is>
          <t>D4</t>
        </is>
      </c>
      <c r="C45" s="292" t="inlineStr">
        <is>
          <t>DP</t>
        </is>
      </c>
      <c r="D45" s="293" t="inlineStr">
        <is>
          <t>가장_긴_증가하는_부분_수열_이진탐색_최적화</t>
        </is>
      </c>
      <c r="E45" s="290" t="inlineStr">
        <is>
          <t>⬜ 대기</t>
        </is>
      </c>
      <c r="F45" s="292" t="inlineStr">
        <is>
          <t>-</t>
        </is>
      </c>
      <c r="G45" s="292" t="inlineStr">
        <is>
          <t>-</t>
        </is>
      </c>
      <c r="H45" s="294" t="inlineStr">
        <is>
          <t>Tier 4. 동적 계획법 &amp; 고급 탐색 (A형 심화)</t>
        </is>
      </c>
      <c r="I45" s="294" t="inlineStr">
        <is>
          <t>DP/D4_DP_가장_긴_증가하는_부분_수열_이진탐색_최적화</t>
        </is>
      </c>
      <c r="J45" s="292" t="inlineStr">
        <is>
          <t>✅ 6종 완비</t>
        </is>
      </c>
      <c r="K45" s="294" t="inlineStr">
        <is>
          <t>Lv.6 복합 제약 &amp; 시공간 최적화</t>
        </is>
      </c>
      <c r="L45" s="294" t="inlineStr">
        <is>
          <t>주어진 수열 A의 LIS의 길이를 구하십시오.</t>
        </is>
      </c>
      <c r="M45" s="294" t="inlineStr">
        <is>
          <t>-</t>
        </is>
      </c>
    </row>
    <row r="46" ht="20" customHeight="1" s="209">
      <c r="A46" s="287" t="n">
        <v>45</v>
      </c>
      <c r="B46" s="296" t="inlineStr">
        <is>
          <t>D4</t>
        </is>
      </c>
      <c r="C46" s="287" t="inlineStr">
        <is>
          <t>DP</t>
        </is>
      </c>
      <c r="D46" s="289" t="inlineStr">
        <is>
          <t>동전_교환_경우의_수</t>
        </is>
      </c>
      <c r="E46" s="290" t="inlineStr">
        <is>
          <t>⬜ 대기</t>
        </is>
      </c>
      <c r="F46" s="287" t="inlineStr">
        <is>
          <t>-</t>
        </is>
      </c>
      <c r="G46" s="287" t="inlineStr">
        <is>
          <t>-</t>
        </is>
      </c>
      <c r="H46" s="291" t="inlineStr">
        <is>
          <t>Tier 4. 동적 계획법 &amp; 고급 탐색 (A형 심화)</t>
        </is>
      </c>
      <c r="I46" s="291" t="inlineStr">
        <is>
          <t>DP/D4_DP_동전_교환_경우의_수</t>
        </is>
      </c>
      <c r="J46" s="287" t="inlineStr">
        <is>
          <t>✅ 6종 완비</t>
        </is>
      </c>
      <c r="K46" s="291" t="inlineStr">
        <is>
          <t>Lv.6 복합 제약 &amp; 시공간 최적화</t>
        </is>
      </c>
      <c r="L46" s="291" t="inlineStr">
        <is>
          <t>N가지 종류의 동전이 주어집니다. 각 동전은 무한히 많이 사용할 수 있습니다. 이 동전들을 적절히 조합하여 총 금액 M원을 만드는 '모든 경우의 수'를 구해야 합니다.</t>
        </is>
      </c>
      <c r="M46" s="291" t="inlineStr">
        <is>
          <t>-</t>
        </is>
      </c>
    </row>
    <row r="47" ht="20" customHeight="1" s="209">
      <c r="A47" s="292" t="n">
        <v>46</v>
      </c>
      <c r="B47" s="296" t="inlineStr">
        <is>
          <t>D4</t>
        </is>
      </c>
      <c r="C47" s="292" t="inlineStr">
        <is>
          <t>DP</t>
        </is>
      </c>
      <c r="D47" s="293" t="inlineStr">
        <is>
          <t>최장_공통_부분수열_LCS</t>
        </is>
      </c>
      <c r="E47" s="290" t="inlineStr">
        <is>
          <t>⬜ 대기</t>
        </is>
      </c>
      <c r="F47" s="292" t="inlineStr">
        <is>
          <t>-</t>
        </is>
      </c>
      <c r="G47" s="292" t="inlineStr">
        <is>
          <t>-</t>
        </is>
      </c>
      <c r="H47" s="294" t="inlineStr">
        <is>
          <t>Tier 4. 동적 계획법 &amp; 고급 탐색 (A형 심화)</t>
        </is>
      </c>
      <c r="I47" s="294" t="inlineStr">
        <is>
          <t>DP/D4_DP_최장_공통_부분수열_LCS</t>
        </is>
      </c>
      <c r="J47" s="292" t="inlineStr">
        <is>
          <t>✅ 6종 완비</t>
        </is>
      </c>
      <c r="K47" s="294" t="inlineStr">
        <is>
          <t>Lv.6 복합 제약 &amp; 시공간 최적화</t>
        </is>
      </c>
      <c r="L47" s="294" t="inlineStr">
        <is>
          <t>두 개의 알파벳 대문자 문자열 A와 B가 주어집니다. 두 문자열 모두의 부분 수열이 되는 문자열 중 가장 길이가 긴 수열을 최장 공통 부분수열(Longest Common Subsequence, LCS)이라고 합니다.</t>
        </is>
      </c>
      <c r="M47" s="294" t="inlineStr">
        <is>
          <t>-</t>
        </is>
      </c>
    </row>
    <row r="48" ht="20" customHeight="1" s="209">
      <c r="A48" s="287" t="n">
        <v>47</v>
      </c>
      <c r="B48" s="296" t="inlineStr">
        <is>
          <t>D4</t>
        </is>
      </c>
      <c r="C48" s="287" t="inlineStr">
        <is>
          <t>DP</t>
        </is>
      </c>
      <c r="D48" s="289" t="inlineStr">
        <is>
          <t>파일_합치기_최소_비용</t>
        </is>
      </c>
      <c r="E48" s="290" t="inlineStr">
        <is>
          <t>⬜ 대기</t>
        </is>
      </c>
      <c r="F48" s="287" t="inlineStr">
        <is>
          <t>-</t>
        </is>
      </c>
      <c r="G48" s="287" t="inlineStr">
        <is>
          <t>-</t>
        </is>
      </c>
      <c r="H48" s="291" t="inlineStr">
        <is>
          <t>Tier 4. 동적 계획법 &amp; 고급 탐색 (A형 심화)</t>
        </is>
      </c>
      <c r="I48" s="291" t="inlineStr">
        <is>
          <t>DP/D4_DP_파일_합치기_최소_비용</t>
        </is>
      </c>
      <c r="J48" s="287" t="inlineStr">
        <is>
          <t>✅ 6종 완비</t>
        </is>
      </c>
      <c r="K48" s="291" t="inlineStr">
        <is>
          <t>Lv.6 복합 제약 &amp; 시공간 최적화</t>
        </is>
      </c>
      <c r="L48" s="291" t="inlineStr">
        <is>
          <t>소설의 여러 장(Chapter)이 각각 독립된 파일로 나누어져 있습니다. 두 개의 연속된 파일을 합쳐 하나의 임시 파일로 만들고, 이 임시 파일들을 다시 합치는 과정을 반복하여 최종 하나의 완성본 파일로 묶으려 합니...</t>
        </is>
      </c>
      <c r="M48" s="291" t="inlineStr">
        <is>
          <t>-</t>
        </is>
      </c>
    </row>
    <row r="49" ht="20" customHeight="1" s="209">
      <c r="A49" s="292" t="n">
        <v>48</v>
      </c>
      <c r="B49" s="296" t="inlineStr">
        <is>
          <t>D4</t>
        </is>
      </c>
      <c r="C49" s="292" t="inlineStr">
        <is>
          <t>DP</t>
        </is>
      </c>
      <c r="D49" s="293" t="inlineStr">
        <is>
          <t>행렬_곱셈_순서_최적화</t>
        </is>
      </c>
      <c r="E49" s="290" t="inlineStr">
        <is>
          <t>⬜ 대기</t>
        </is>
      </c>
      <c r="F49" s="292" t="inlineStr">
        <is>
          <t>-</t>
        </is>
      </c>
      <c r="G49" s="292" t="inlineStr">
        <is>
          <t>-</t>
        </is>
      </c>
      <c r="H49" s="294" t="inlineStr">
        <is>
          <t>Tier 4. 동적 계획법 &amp; 고급 탐색 (A형 심화)</t>
        </is>
      </c>
      <c r="I49" s="294" t="inlineStr">
        <is>
          <t>DP/D4_DP_행렬_곱셈_순서_최적화</t>
        </is>
      </c>
      <c r="J49" s="292" t="inlineStr">
        <is>
          <t>✅ 6종 완비</t>
        </is>
      </c>
      <c r="K49" s="294" t="inlineStr">
        <is>
          <t>Lv.6 복합 제약 &amp; 시공간 최적화</t>
        </is>
      </c>
      <c r="L49" s="294" t="inlineStr">
        <is>
          <t>N개의 연속된 행렬 A_1, A_2, ..., A_N이 주어집니다. 행렬 A_i의 크기는 r_i x c_i이며, 인접한 두 행렬의 곱셈이 정의되므로 c_i = r_{i+1}을 항상 만족합니다.</t>
        </is>
      </c>
      <c r="M49" s="294" t="inlineStr">
        <is>
          <t>-</t>
        </is>
      </c>
    </row>
    <row r="50" ht="20" customHeight="1" s="209">
      <c r="A50" s="287" t="n">
        <v>49</v>
      </c>
      <c r="B50" s="297" t="inlineStr">
        <is>
          <t>D5</t>
        </is>
      </c>
      <c r="C50" s="287" t="inlineStr">
        <is>
          <t>DP</t>
        </is>
      </c>
      <c r="D50" s="289" t="inlineStr">
        <is>
          <t>외판원_순회_비트마스크</t>
        </is>
      </c>
      <c r="E50" s="290" t="inlineStr">
        <is>
          <t>⬜ 대기</t>
        </is>
      </c>
      <c r="F50" s="287" t="inlineStr">
        <is>
          <t>-</t>
        </is>
      </c>
      <c r="G50" s="287" t="inlineStr">
        <is>
          <t>-</t>
        </is>
      </c>
      <c r="H50" s="291" t="inlineStr">
        <is>
          <t>Tier 4. 동적 계획법 &amp; 고급 탐색 (A형 심화)</t>
        </is>
      </c>
      <c r="I50" s="291" t="inlineStr">
        <is>
          <t>DP/D5_DP_외판원_순회_비트마스크</t>
        </is>
      </c>
      <c r="J50" s="287" t="inlineStr">
        <is>
          <t>✅ 6종 완비</t>
        </is>
      </c>
      <c r="K50" s="291" t="inlineStr">
        <is>
          <t>Lv.7 삼성 B형 Pro (No-STL/메모리풀)</t>
        </is>
      </c>
      <c r="L50" s="291" t="inlineStr">
        <is>
          <t>1번부터 N번까지 번호가 매겨진 N개의 도시가 있고, 도시들 사이에는 길이 있습니다. (길이 없을 수도 있습니다.) 외판원은 어느 한 도시에서 출발하여 N개의 모든 도시를 정확히 한 번씩만 거친 후, 다시 처음 출발...</t>
        </is>
      </c>
      <c r="M50" s="291" t="inlineStr">
        <is>
          <t>-</t>
        </is>
      </c>
    </row>
    <row r="51" ht="20" customHeight="1" s="209">
      <c r="A51" s="292" t="n">
        <v>50</v>
      </c>
      <c r="B51" s="288" t="inlineStr">
        <is>
          <t>D2</t>
        </is>
      </c>
      <c r="C51" s="292" t="inlineStr">
        <is>
          <t>MST</t>
        </is>
      </c>
      <c r="D51" s="293" t="inlineStr">
        <is>
          <t>MST에_대해서</t>
        </is>
      </c>
      <c r="E51" s="290" t="inlineStr">
        <is>
          <t>⬜ 대기</t>
        </is>
      </c>
      <c r="F51" s="292" t="inlineStr">
        <is>
          <t>-</t>
        </is>
      </c>
      <c r="G51" s="292" t="inlineStr">
        <is>
          <t>-</t>
        </is>
      </c>
      <c r="H51" s="294" t="inlineStr">
        <is>
          <t>Tier 3. 격자 시뮬레이션 &amp; 최단 경로 (골드 상위)</t>
        </is>
      </c>
      <c r="I51" s="294" t="inlineStr">
        <is>
          <t>MST/D2_MST_MST에_대해서</t>
        </is>
      </c>
      <c r="J51" s="292" t="inlineStr">
        <is>
          <t>✅ 6종 완비</t>
        </is>
      </c>
      <c r="K51" s="294" t="inlineStr">
        <is>
          <t>Lv.3 개념뼈대 완결</t>
        </is>
      </c>
      <c r="L51" s="294" t="inlineStr">
        <is>
          <t>최소 신장 트리(Minimum Spanning Tree, MST) 알고리즘 개념 및 동작 원리 설명: 신장 트리(Spanning Tree)는 무향 연결 그래프에서 모든 정점을 사이클 없이 연결하는 부분 그래프(Tre...</t>
        </is>
      </c>
      <c r="M51" s="294" t="inlineStr">
        <is>
          <t>-</t>
        </is>
      </c>
    </row>
    <row r="52" ht="20" customHeight="1" s="209">
      <c r="A52" s="287" t="n">
        <v>51</v>
      </c>
      <c r="B52" s="288" t="inlineStr">
        <is>
          <t>D2</t>
        </is>
      </c>
      <c r="C52" s="287" t="inlineStr">
        <is>
          <t>MST</t>
        </is>
      </c>
      <c r="D52" s="289" t="inlineStr">
        <is>
          <t>모든_컴퓨터_네트워크_연결_비용</t>
        </is>
      </c>
      <c r="E52" s="290" t="inlineStr">
        <is>
          <t>⬜ 대기</t>
        </is>
      </c>
      <c r="F52" s="287" t="inlineStr">
        <is>
          <t>-</t>
        </is>
      </c>
      <c r="G52" s="287" t="inlineStr">
        <is>
          <t>-</t>
        </is>
      </c>
      <c r="H52" s="291" t="inlineStr">
        <is>
          <t>Tier 3. 격자 시뮬레이션 &amp; 최단 경로 (골드 상위)</t>
        </is>
      </c>
      <c r="I52" s="291" t="inlineStr">
        <is>
          <t>MST/D2_MST_모든_컴퓨터_네트워크_연결_비용</t>
        </is>
      </c>
      <c r="J52" s="287" t="inlineStr">
        <is>
          <t>✅ 6종 완비</t>
        </is>
      </c>
      <c r="K52" s="291" t="inlineStr">
        <is>
          <t>Lv.4 경계완충/징검다리</t>
        </is>
      </c>
      <c r="L52" s="291" t="inlineStr">
        <is>
          <t>사내 전산실에 N대의 컴퓨터가 배치되어 있습니다. 컴퓨터 간에 통신 케이블을 설치할 수 있는 가능한 후보 경로들과 각 경로의 케이블 설치 비용이 주어집니다.</t>
        </is>
      </c>
      <c r="M52" s="291" t="inlineStr">
        <is>
          <t>-</t>
        </is>
      </c>
    </row>
    <row r="53" ht="20" customHeight="1" s="209">
      <c r="A53" s="292" t="n">
        <v>52</v>
      </c>
      <c r="B53" s="288" t="inlineStr">
        <is>
          <t>D2</t>
        </is>
      </c>
      <c r="C53" s="292" t="inlineStr">
        <is>
          <t>MST</t>
        </is>
      </c>
      <c r="D53" s="293" t="inlineStr">
        <is>
          <t>최대_스패닝_트리</t>
        </is>
      </c>
      <c r="E53" s="290" t="inlineStr">
        <is>
          <t>⬜ 대기</t>
        </is>
      </c>
      <c r="F53" s="292" t="inlineStr">
        <is>
          <t>-</t>
        </is>
      </c>
      <c r="G53" s="292" t="inlineStr">
        <is>
          <t>-</t>
        </is>
      </c>
      <c r="H53" s="294" t="inlineStr">
        <is>
          <t>Tier 3. 격자 시뮬레이션 &amp; 최단 경로 (골드 상위)</t>
        </is>
      </c>
      <c r="I53" s="294" t="inlineStr">
        <is>
          <t>MST/D2_MST_최대_스패닝_트리</t>
        </is>
      </c>
      <c r="J53" s="292" t="inlineStr">
        <is>
          <t>✅ 6종 완비</t>
        </is>
      </c>
      <c r="K53" s="294" t="inlineStr">
        <is>
          <t>Lv.4 경계완충/징검다리</t>
        </is>
      </c>
      <c r="L53" s="294" t="inlineStr">
        <is>
          <t>최대 신장 트리(Maximum Spanning Tree)는 모든 정점을 사이클 없이 연결하면서 간선 가중치의 총합을 '최대화'하는 트리입니다. 크루스칼 알고리즘에서 간선들을 오름차순이 아닌 내림차순(가중치가 큰 순서...</t>
        </is>
      </c>
      <c r="M53" s="294" t="inlineStr">
        <is>
          <t>-</t>
        </is>
      </c>
    </row>
    <row r="54" ht="20" customHeight="1" s="209">
      <c r="A54" s="287" t="n">
        <v>53</v>
      </c>
      <c r="B54" s="288" t="inlineStr">
        <is>
          <t>D2</t>
        </is>
      </c>
      <c r="C54" s="287" t="inlineStr">
        <is>
          <t>MST</t>
        </is>
      </c>
      <c r="D54" s="289" t="inlineStr">
        <is>
          <t>크루스칼_알고리즘_기초</t>
        </is>
      </c>
      <c r="E54" s="290" t="inlineStr">
        <is>
          <t>⬜ 대기</t>
        </is>
      </c>
      <c r="F54" s="287" t="inlineStr">
        <is>
          <t>-</t>
        </is>
      </c>
      <c r="G54" s="287" t="inlineStr">
        <is>
          <t>-</t>
        </is>
      </c>
      <c r="H54" s="291" t="inlineStr">
        <is>
          <t>Tier 3. 격자 시뮬레이션 &amp; 최단 경로 (골드 상위)</t>
        </is>
      </c>
      <c r="I54" s="291" t="inlineStr">
        <is>
          <t>MST/D2_MST_크루스칼_알고리즘_기초</t>
        </is>
      </c>
      <c r="J54" s="287" t="inlineStr">
        <is>
          <t>✅ 6종 완비</t>
        </is>
      </c>
      <c r="K54" s="291" t="inlineStr">
        <is>
          <t>Lv.4 경계완충/징검다리</t>
        </is>
      </c>
      <c r="L54" s="291" t="inlineStr">
        <is>
          <t>정점의 개수 V와 간선의 개수 E가 주어지고, 각 간선의 정보(u, v, w)가 주어집니다. 크루스칼 알고리즘을 이용하여 주어진 그래프의 최소 신장 트리의 총 가중치 합을 구하는 프로그램을 작성하십시오.</t>
        </is>
      </c>
      <c r="M54" s="291" t="inlineStr">
        <is>
          <t>-</t>
        </is>
      </c>
    </row>
    <row r="55" ht="20" customHeight="1" s="209">
      <c r="A55" s="292" t="n">
        <v>54</v>
      </c>
      <c r="B55" s="288" t="inlineStr">
        <is>
          <t>D2</t>
        </is>
      </c>
      <c r="C55" s="292" t="inlineStr">
        <is>
          <t>MST</t>
        </is>
      </c>
      <c r="D55" s="293" t="inlineStr">
        <is>
          <t>프림_알고리즘_기초</t>
        </is>
      </c>
      <c r="E55" s="290" t="inlineStr">
        <is>
          <t>⬜ 대기</t>
        </is>
      </c>
      <c r="F55" s="292" t="inlineStr">
        <is>
          <t>-</t>
        </is>
      </c>
      <c r="G55" s="292" t="inlineStr">
        <is>
          <t>-</t>
        </is>
      </c>
      <c r="H55" s="294" t="inlineStr">
        <is>
          <t>Tier 3. 격자 시뮬레이션 &amp; 최단 경로 (골드 상위)</t>
        </is>
      </c>
      <c r="I55" s="294" t="inlineStr">
        <is>
          <t>MST/D2_MST_프림_알고리즘_기초</t>
        </is>
      </c>
      <c r="J55" s="292" t="inlineStr">
        <is>
          <t>✅ 6종 완비</t>
        </is>
      </c>
      <c r="K55" s="294" t="inlineStr">
        <is>
          <t>Lv.4 경계완충/징검다리</t>
        </is>
      </c>
      <c r="L55" s="294" t="inlineStr">
        <is>
          <t>프림(Prim) 알고리즘은 하나의 시작 정점에서 출발하여 트리를 점진적으로 확장해 나가는 방식으로 최소 신장 트리(MST)를 구성합니다. 동작 원리:</t>
        </is>
      </c>
      <c r="M55" s="294" t="inlineStr">
        <is>
          <t>-</t>
        </is>
      </c>
    </row>
    <row r="56" ht="20" customHeight="1" s="209">
      <c r="A56" s="287" t="n">
        <v>55</v>
      </c>
      <c r="B56" s="295" t="inlineStr">
        <is>
          <t>D3</t>
        </is>
      </c>
      <c r="C56" s="287" t="inlineStr">
        <is>
          <t>MST</t>
        </is>
      </c>
      <c r="D56" s="289" t="inlineStr">
        <is>
          <t>도하의_섬_다리_연결</t>
        </is>
      </c>
      <c r="E56" s="290" t="inlineStr">
        <is>
          <t>⬜ 대기</t>
        </is>
      </c>
      <c r="F56" s="287" t="inlineStr">
        <is>
          <t>-</t>
        </is>
      </c>
      <c r="G56" s="287" t="inlineStr">
        <is>
          <t>-</t>
        </is>
      </c>
      <c r="H56" s="291" t="inlineStr">
        <is>
          <t>Tier 3. 격자 시뮬레이션 &amp; 최단 경로 (골드 상위)</t>
        </is>
      </c>
      <c r="I56" s="291" t="inlineStr">
        <is>
          <t>MST/D3_MST_도하의_섬_다리_연결</t>
        </is>
      </c>
      <c r="J56" s="287" t="inlineStr">
        <is>
          <t>✅ 6종 완비</t>
        </is>
      </c>
      <c r="K56" s="291" t="inlineStr">
        <is>
          <t>Lv.5 실전 응용 (스토리텔링)</t>
        </is>
      </c>
      <c r="L56" s="291" t="inlineStr">
        <is>
          <t>남해안에 흩어져 있는 유인도 섬들을 연륙교(다리)로 모두 연결하여 육로 통행이 가능하도록 망을 구축하는 국토 개발 프로젝트입니다. 모든 섬을 직·간접적으로 연결하면서 총 건설 비용을 최소화해야 합니다. • 핵심 알고...</t>
        </is>
      </c>
      <c r="M56" s="291" t="inlineStr">
        <is>
          <t>-</t>
        </is>
      </c>
    </row>
    <row r="57" ht="20" customHeight="1" s="209">
      <c r="A57" s="292" t="n">
        <v>56</v>
      </c>
      <c r="B57" s="295" t="inlineStr">
        <is>
          <t>D3</t>
        </is>
      </c>
      <c r="C57" s="292" t="inlineStr">
        <is>
          <t>MST</t>
        </is>
      </c>
      <c r="D57" s="293" t="inlineStr">
        <is>
          <t>서윤이의_스마트시티_전력망</t>
        </is>
      </c>
      <c r="E57" s="290" t="inlineStr">
        <is>
          <t>⬜ 대기</t>
        </is>
      </c>
      <c r="F57" s="292" t="inlineStr">
        <is>
          <t>-</t>
        </is>
      </c>
      <c r="G57" s="292" t="inlineStr">
        <is>
          <t>-</t>
        </is>
      </c>
      <c r="H57" s="294" t="inlineStr">
        <is>
          <t>Tier 3. 격자 시뮬레이션 &amp; 최단 경로 (골드 상위)</t>
        </is>
      </c>
      <c r="I57" s="294" t="inlineStr">
        <is>
          <t>MST/D3_MST_서윤이의_스마트시티_전력망</t>
        </is>
      </c>
      <c r="J57" s="292" t="inlineStr">
        <is>
          <t>✅ 6종 완비</t>
        </is>
      </c>
      <c r="K57" s="294" t="inlineStr">
        <is>
          <t>Lv.5 실전 응용 (스토리텔링)</t>
        </is>
      </c>
      <c r="L57" s="294" t="inlineStr">
        <is>
          <t>스마트시티 설계 엔지니어인 서윤이는 N개의 주요 공공기관 건물들을 지하 전력 케이블로 연결하여 하나의 통합 전력망을 구축하고 있습니다. 건물들 사이에는 케이블을 설치할 수 있는 M개의 후보 통로가 있으며, 각 통로마...</t>
        </is>
      </c>
      <c r="M57" s="294" t="inlineStr">
        <is>
          <t>-</t>
        </is>
      </c>
    </row>
    <row r="58" ht="20" customHeight="1" s="209">
      <c r="A58" s="287" t="n">
        <v>57</v>
      </c>
      <c r="B58" s="295" t="inlineStr">
        <is>
          <t>D3</t>
        </is>
      </c>
      <c r="C58" s="287" t="inlineStr">
        <is>
          <t>MST</t>
        </is>
      </c>
      <c r="D58" s="289" t="inlineStr">
        <is>
          <t>이서의_광통신망_구축</t>
        </is>
      </c>
      <c r="E58" s="290" t="inlineStr">
        <is>
          <t>⬜ 대기</t>
        </is>
      </c>
      <c r="F58" s="287" t="inlineStr">
        <is>
          <t>-</t>
        </is>
      </c>
      <c r="G58" s="287" t="inlineStr">
        <is>
          <t>-</t>
        </is>
      </c>
      <c r="H58" s="291" t="inlineStr">
        <is>
          <t>Tier 3. 격자 시뮬레이션 &amp; 최단 경로 (골드 상위)</t>
        </is>
      </c>
      <c r="I58" s="291" t="inlineStr">
        <is>
          <t>MST/D3_MST_이서의_광통신망_구축</t>
        </is>
      </c>
      <c r="J58" s="287" t="inlineStr">
        <is>
          <t>✅ 6종 완비</t>
        </is>
      </c>
      <c r="K58" s="291" t="inlineStr">
        <is>
          <t>Lv.5 실전 응용 (스토리텔링)</t>
        </is>
      </c>
      <c r="L58" s="291" t="inlineStr">
        <is>
          <t>도시 인프라 설계를 담당하는 이서는 N개 연구 단지를 초고속 광케이블로 상호 연결하는 통신망을 구축하고자 합니다. 통신 지연을 최소화하면서 케이블 매설 비용의 총합을 최소화해야 합니다. • 핵심 알고리즘: 최소 신장...</t>
        </is>
      </c>
      <c r="M58" s="291" t="inlineStr">
        <is>
          <t>-</t>
        </is>
      </c>
    </row>
    <row r="59" ht="20" customHeight="1" s="209">
      <c r="A59" s="292" t="n">
        <v>58</v>
      </c>
      <c r="B59" s="295" t="inlineStr">
        <is>
          <t>D3</t>
        </is>
      </c>
      <c r="C59" s="292" t="inlineStr">
        <is>
          <t>MST</t>
        </is>
      </c>
      <c r="D59" s="293" t="inlineStr">
        <is>
          <t>이준이의_고속도로_건설</t>
        </is>
      </c>
      <c r="E59" s="290" t="inlineStr">
        <is>
          <t>⬜ 대기</t>
        </is>
      </c>
      <c r="F59" s="292" t="inlineStr">
        <is>
          <t>-</t>
        </is>
      </c>
      <c r="G59" s="292" t="inlineStr">
        <is>
          <t>-</t>
        </is>
      </c>
      <c r="H59" s="294" t="inlineStr">
        <is>
          <t>Tier 3. 격자 시뮬레이션 &amp; 최단 경로 (골드 상위)</t>
        </is>
      </c>
      <c r="I59" s="294" t="inlineStr">
        <is>
          <t>MST/D3_MST_이준이의_고속도로_건설</t>
        </is>
      </c>
      <c r="J59" s="292" t="inlineStr">
        <is>
          <t>✅ 6종 완비</t>
        </is>
      </c>
      <c r="K59" s="294" t="inlineStr">
        <is>
          <t>Lv.5 실전 응용 (스토리텔링)</t>
        </is>
      </c>
      <c r="L59" s="294" t="inlineStr">
        <is>
          <t>교통 시스템 연구원인 이준이는 전국 N개 물류 거점 도시들을 고속도로로 연결하는 국가 간선 도로망을 설계하고 있습니다. 모든 도시 간에 차량 이동이 가능하도록 연결하면서 총 도로 포장 비용을 최소화합니다. • 핵심 ...</t>
        </is>
      </c>
      <c r="M59" s="294" t="inlineStr">
        <is>
          <t>-</t>
        </is>
      </c>
    </row>
    <row r="60" ht="20" customHeight="1" s="209">
      <c r="A60" s="287" t="n">
        <v>59</v>
      </c>
      <c r="B60" s="295" t="inlineStr">
        <is>
          <t>D3</t>
        </is>
      </c>
      <c r="C60" s="287" t="inlineStr">
        <is>
          <t>MST</t>
        </is>
      </c>
      <c r="D60" s="289" t="inlineStr">
        <is>
          <t>하윤이의_수도관_파이프라인</t>
        </is>
      </c>
      <c r="E60" s="290" t="inlineStr">
        <is>
          <t>⬜ 대기</t>
        </is>
      </c>
      <c r="F60" s="287" t="inlineStr">
        <is>
          <t>-</t>
        </is>
      </c>
      <c r="G60" s="287" t="inlineStr">
        <is>
          <t>-</t>
        </is>
      </c>
      <c r="H60" s="291" t="inlineStr">
        <is>
          <t>Tier 3. 격자 시뮬레이션 &amp; 최단 경로 (골드 상위)</t>
        </is>
      </c>
      <c r="I60" s="291" t="inlineStr">
        <is>
          <t>MST/D3_MST_하윤이의_수도관_파이프라인</t>
        </is>
      </c>
      <c r="J60" s="287" t="inlineStr">
        <is>
          <t>✅ 6종 완비</t>
        </is>
      </c>
      <c r="K60" s="291" t="inlineStr">
        <is>
          <t>Lv.5 실전 응용 (스토리텔링)</t>
        </is>
      </c>
      <c r="L60" s="291" t="inlineStr">
        <is>
          <t>스마트 시티 수자원 관리 엔지니어인 하윤이는 N개 신도시 단지에 깨끗한 수돗물을 공급하기 위해 상수도 파이프라인망을 구축하고 있습니다. 물이 고립되는 구역 없이 모든 단지에 급수가 이루어지도록 최소 비용 파이프라인을...</t>
        </is>
      </c>
      <c r="M60" s="291" t="inlineStr">
        <is>
          <t>-</t>
        </is>
      </c>
    </row>
    <row r="61" ht="20" customHeight="1" s="209">
      <c r="A61" s="292" t="n">
        <v>60</v>
      </c>
      <c r="B61" s="296" t="inlineStr">
        <is>
          <t>D4</t>
        </is>
      </c>
      <c r="C61" s="292" t="inlineStr">
        <is>
          <t>MST</t>
        </is>
      </c>
      <c r="D61" s="293" t="inlineStr">
        <is>
          <t>간선_추가_시_최대_가중치_사이클_제거</t>
        </is>
      </c>
      <c r="E61" s="290" t="inlineStr">
        <is>
          <t>⬜ 대기</t>
        </is>
      </c>
      <c r="F61" s="292" t="inlineStr">
        <is>
          <t>-</t>
        </is>
      </c>
      <c r="G61" s="292" t="inlineStr">
        <is>
          <t>-</t>
        </is>
      </c>
      <c r="H61" s="294" t="inlineStr">
        <is>
          <t>Tier 3. 격자 시뮬레이션 &amp; 최단 경로 (골드 상위)</t>
        </is>
      </c>
      <c r="I61" s="294" t="inlineStr">
        <is>
          <t>MST/D4_MST_간선_추가_시_최대_가중치_사이클_제거</t>
        </is>
      </c>
      <c r="J61" s="292" t="inlineStr">
        <is>
          <t>✅ 6종 완비</t>
        </is>
      </c>
      <c r="K61" s="294" t="inlineStr">
        <is>
          <t>Lv.6 복합 제약 &amp; 시공간 최적화</t>
        </is>
      </c>
      <c r="L61" s="294" t="inlineStr">
        <is>
          <t>기존에 완성된 최소 신장 트리(MST)에 새로운 간선 (u, v, w)가 추가되면 정확히 하나의 단순 사이클이 형성됩니다. 트리의 연결성을 유지하면서 가중치 합을 최소로 유지하기 위해, 형성된 사이클 상에서 가장 가...</t>
        </is>
      </c>
      <c r="M61" s="294" t="inlineStr">
        <is>
          <t>-</t>
        </is>
      </c>
    </row>
    <row r="62" ht="20" customHeight="1" s="209">
      <c r="A62" s="287" t="n">
        <v>61</v>
      </c>
      <c r="B62" s="296" t="inlineStr">
        <is>
          <t>D4</t>
        </is>
      </c>
      <c r="C62" s="287" t="inlineStr">
        <is>
          <t>MST</t>
        </is>
      </c>
      <c r="D62" s="289" t="inlineStr">
        <is>
          <t>두번째_최소신장트리</t>
        </is>
      </c>
      <c r="E62" s="290" t="inlineStr">
        <is>
          <t>⬜ 대기</t>
        </is>
      </c>
      <c r="F62" s="287" t="inlineStr">
        <is>
          <t>-</t>
        </is>
      </c>
      <c r="G62" s="287" t="inlineStr">
        <is>
          <t>-</t>
        </is>
      </c>
      <c r="H62" s="291" t="inlineStr">
        <is>
          <t>Tier 3. 격자 시뮬레이션 &amp; 최단 경로 (골드 상위)</t>
        </is>
      </c>
      <c r="I62" s="291" t="inlineStr">
        <is>
          <t>MST/D4_MST_두번째_최소신장트리</t>
        </is>
      </c>
      <c r="J62" s="287" t="inlineStr">
        <is>
          <t>✅ 6종 완비</t>
        </is>
      </c>
      <c r="K62" s="291" t="inlineStr">
        <is>
          <t>Lv.6 복합 제약 &amp; 시공간 최적화</t>
        </is>
      </c>
      <c r="L62" s="291" t="inlineStr">
        <is>
          <t>네트워크망의 안정성을 위해 주 통신망(최소 신장 트리, MST)이 마비되었을 때를 대비한 '대체 신장 트리'를 구축하고자 합니다. 주어진 무방향 가중치 그래프에서 '엄격하게 최소 신장 트리의 가중치 합보다 큰 신장 ...</t>
        </is>
      </c>
      <c r="M62" s="291" t="inlineStr">
        <is>
          <t>-</t>
        </is>
      </c>
    </row>
    <row r="63" ht="20" customHeight="1" s="209">
      <c r="A63" s="292" t="n">
        <v>62</v>
      </c>
      <c r="B63" s="296" t="inlineStr">
        <is>
          <t>D4</t>
        </is>
      </c>
      <c r="C63" s="292" t="inlineStr">
        <is>
          <t>MST</t>
        </is>
      </c>
      <c r="D63" s="293" t="inlineStr">
        <is>
          <t>병목_비용_최소_스패닝_트리</t>
        </is>
      </c>
      <c r="E63" s="290" t="inlineStr">
        <is>
          <t>⬜ 대기</t>
        </is>
      </c>
      <c r="F63" s="292" t="inlineStr">
        <is>
          <t>-</t>
        </is>
      </c>
      <c r="G63" s="292" t="inlineStr">
        <is>
          <t>-</t>
        </is>
      </c>
      <c r="H63" s="294" t="inlineStr">
        <is>
          <t>Tier 3. 격자 시뮬레이션 &amp; 최단 경로 (골드 상위)</t>
        </is>
      </c>
      <c r="I63" s="294" t="inlineStr">
        <is>
          <t>MST/D4_MST_병목_비용_최소_스패닝_트리</t>
        </is>
      </c>
      <c r="J63" s="292" t="inlineStr">
        <is>
          <t>✅ 6종 완비</t>
        </is>
      </c>
      <c r="K63" s="294" t="inlineStr">
        <is>
          <t>Lv.6 복합 제약 &amp; 시공간 최적화</t>
        </is>
      </c>
      <c r="L63" s="294" t="inlineStr">
        <is>
          <t>스패닝 트리의 간선들 중 '가장 비용이 큰 단일 간선의 가중치(병목 비용)'를 최소화하는 트리(Min-Bottleneck Spanning Tree, MBST)를 구하는 문제입니다. 크루스칼 알고리즘으로 구한 MST의...</t>
        </is>
      </c>
      <c r="M63" s="294" t="inlineStr">
        <is>
          <t>-</t>
        </is>
      </c>
    </row>
    <row r="64" ht="20" customHeight="1" s="209">
      <c r="A64" s="287" t="n">
        <v>63</v>
      </c>
      <c r="B64" s="296" t="inlineStr">
        <is>
          <t>D4</t>
        </is>
      </c>
      <c r="C64" s="287" t="inlineStr">
        <is>
          <t>MST</t>
        </is>
      </c>
      <c r="D64" s="289" t="inlineStr">
        <is>
          <t>우주정거장_터널_연결</t>
        </is>
      </c>
      <c r="E64" s="290" t="inlineStr">
        <is>
          <t>⬜ 대기</t>
        </is>
      </c>
      <c r="F64" s="287" t="inlineStr">
        <is>
          <t>-</t>
        </is>
      </c>
      <c r="G64" s="287" t="inlineStr">
        <is>
          <t>-</t>
        </is>
      </c>
      <c r="H64" s="291" t="inlineStr">
        <is>
          <t>Tier 3. 격자 시뮬레이션 &amp; 최단 경로 (골드 상위)</t>
        </is>
      </c>
      <c r="I64" s="291" t="inlineStr">
        <is>
          <t>MST/D4_MST_우주정거장_터널_연결</t>
        </is>
      </c>
      <c r="J64" s="287" t="inlineStr">
        <is>
          <t>✅ 6종 완비</t>
        </is>
      </c>
      <c r="K64" s="291" t="inlineStr">
        <is>
          <t>Lv.6 복합 제약 &amp; 시공간 최적화</t>
        </is>
      </c>
      <c r="L64" s="291" t="inlineStr">
        <is>
          <t>광활한 3차원 우주 공간에 N개의 우주 행성이 위치해 있습니다. 각 행성 i의 좌표는 (x_i, y_i, z_i)입니다. 두 행성 A와 B 사이에 통신 터널을 건설할 때 드는 비용은 x, y, z 좌표 축의 차이 중...</t>
        </is>
      </c>
      <c r="M64" s="291" t="inlineStr">
        <is>
          <t>-</t>
        </is>
      </c>
    </row>
    <row r="65" ht="20" customHeight="1" s="209">
      <c r="A65" s="292" t="n">
        <v>64</v>
      </c>
      <c r="B65" s="296" t="inlineStr">
        <is>
          <t>D4</t>
        </is>
      </c>
      <c r="C65" s="292" t="inlineStr">
        <is>
          <t>MST</t>
        </is>
      </c>
      <c r="D65" s="293" t="inlineStr">
        <is>
          <t>유클리드_최소_신장_트리_좌표계</t>
        </is>
      </c>
      <c r="E65" s="290" t="inlineStr">
        <is>
          <t>⬜ 대기</t>
        </is>
      </c>
      <c r="F65" s="292" t="inlineStr">
        <is>
          <t>-</t>
        </is>
      </c>
      <c r="G65" s="292" t="inlineStr">
        <is>
          <t>-</t>
        </is>
      </c>
      <c r="H65" s="294" t="inlineStr">
        <is>
          <t>Tier 3. 격자 시뮬레이션 &amp; 최단 경로 (골드 상위)</t>
        </is>
      </c>
      <c r="I65" s="294" t="inlineStr">
        <is>
          <t>MST/D4_MST_유클리드_최소_신장_트리_좌표계</t>
        </is>
      </c>
      <c r="J65" s="292" t="inlineStr">
        <is>
          <t>✅ 6종 완비</t>
        </is>
      </c>
      <c r="K65" s="294" t="inlineStr">
        <is>
          <t>Lv.6 복합 제약 &amp; 시공간 최적화</t>
        </is>
      </c>
      <c r="L65" s="294" t="inlineStr">
        <is>
          <t>2차원 평면 위에 N개의 통신 관측소 좌표 (x_i, y_i)가 주어집니다. 두 관측소 사이를 유선 케이블로 연결할 때의 비용은 두 점 사이의 유클리드 거리(또는 거리의 제곱에 비례)입니다. 모든 관측소를 하나의 통...</t>
        </is>
      </c>
      <c r="M65" s="294" t="inlineStr">
        <is>
          <t>-</t>
        </is>
      </c>
    </row>
    <row r="66" ht="20" customHeight="1" s="209">
      <c r="A66" s="287" t="n">
        <v>65</v>
      </c>
      <c r="B66" s="296" t="inlineStr">
        <is>
          <t>D4</t>
        </is>
      </c>
      <c r="C66" s="287" t="inlineStr">
        <is>
          <t>계산기하</t>
        </is>
      </c>
      <c r="D66" s="289" t="inlineStr">
        <is>
          <t>CCW_선분_교차_판별</t>
        </is>
      </c>
      <c r="E66" s="290" t="inlineStr">
        <is>
          <t>⬜ 대기</t>
        </is>
      </c>
      <c r="F66" s="287" t="inlineStr">
        <is>
          <t>-</t>
        </is>
      </c>
      <c r="G66" s="287" t="inlineStr">
        <is>
          <t>-</t>
        </is>
      </c>
      <c r="H66" s="291" t="inlineStr">
        <is>
          <t>Tier 4. 동적 계획법 &amp; 고급 탐색 (A형 심화)</t>
        </is>
      </c>
      <c r="I66" s="291" t="inlineStr">
        <is>
          <t>계산기하/D4_계산기하_CCW_선분_교차_판별</t>
        </is>
      </c>
      <c r="J66" s="287" t="inlineStr">
        <is>
          <t>✅ 6종 완비</t>
        </is>
      </c>
      <c r="K66" s="291" t="inlineStr">
        <is>
          <t>Lv.6 복합 제약 &amp; 시공간 최적화</t>
        </is>
      </c>
      <c r="L66" s="291" t="inlineStr">
        <is>
          <t>2차원 평면 위에 두 개의 선분 L1, L2가 주어집니다. 선분 L1의 양 끝점 좌표는 A(x1, y1), B(x2, y2)이며, 선분 L2의 양 끝점 좌표는 C(x3, y3), D(x4, y4)입니다.</t>
        </is>
      </c>
      <c r="M66" s="291" t="inlineStr">
        <is>
          <t>-</t>
        </is>
      </c>
    </row>
    <row r="67" ht="20" customHeight="1" s="209">
      <c r="A67" s="292" t="n">
        <v>66</v>
      </c>
      <c r="B67" s="296" t="inlineStr">
        <is>
          <t>D4</t>
        </is>
      </c>
      <c r="C67" s="292" t="inlineStr">
        <is>
          <t>그래프</t>
        </is>
      </c>
      <c r="D67" s="293" t="inlineStr">
        <is>
          <t>강결합_컴포넌트_타잔</t>
        </is>
      </c>
      <c r="E67" s="290" t="inlineStr">
        <is>
          <t>⬜ 대기</t>
        </is>
      </c>
      <c r="F67" s="292" t="inlineStr">
        <is>
          <t>-</t>
        </is>
      </c>
      <c r="G67" s="292" t="inlineStr">
        <is>
          <t>-</t>
        </is>
      </c>
      <c r="H67" s="294" t="inlineStr">
        <is>
          <t>Tier 4. 동적 계획법 &amp; 고급 탐색 (A형 심화)</t>
        </is>
      </c>
      <c r="I67" s="294" t="inlineStr">
        <is>
          <t>그래프/D4_그래프_강결합_컴포넌트_타잔</t>
        </is>
      </c>
      <c r="J67" s="292" t="inlineStr">
        <is>
          <t>✅ 6종 완비</t>
        </is>
      </c>
      <c r="K67" s="294" t="inlineStr">
        <is>
          <t>Lv.6 복합 제약 &amp; 시공간 최적화</t>
        </is>
      </c>
      <c r="L67" s="294" t="inlineStr">
        <is>
          <t>대규모 분산 클라우드 시스템에는 1번부터 V번까지 총 V개의 마이크로서비스 노드가 존재하며, 노드 간에 단방향 통신 채널(간선) E개가 구축되어 있습니다. 서로 다른 두 노드 u와 v에 대해, u에서 v로 가는 경로...</t>
        </is>
      </c>
      <c r="M67" s="294" t="inlineStr">
        <is>
          <t>-</t>
        </is>
      </c>
    </row>
    <row r="68" ht="20" customHeight="1" s="209">
      <c r="A68" s="287" t="n">
        <v>67</v>
      </c>
      <c r="B68" s="288" t="inlineStr">
        <is>
          <t>D2</t>
        </is>
      </c>
      <c r="C68" s="287" t="inlineStr">
        <is>
          <t>그리디</t>
        </is>
      </c>
      <c r="D68" s="289" t="inlineStr">
        <is>
          <t>그리디에_대해서</t>
        </is>
      </c>
      <c r="E68" s="290" t="inlineStr">
        <is>
          <t>⬜ 대기</t>
        </is>
      </c>
      <c r="F68" s="287" t="inlineStr">
        <is>
          <t>-</t>
        </is>
      </c>
      <c r="G68" s="287" t="inlineStr">
        <is>
          <t>-</t>
        </is>
      </c>
      <c r="H68" s="291" t="inlineStr">
        <is>
          <t>Tier 2. 완전 탐색 &amp; 백트래킹 (A형 핵심)</t>
        </is>
      </c>
      <c r="I68" s="291" t="inlineStr">
        <is>
          <t>그리디/D2_그리디_그리디에_대해서</t>
        </is>
      </c>
      <c r="J68" s="287" t="inlineStr">
        <is>
          <t>✅ 6종 완비</t>
        </is>
      </c>
      <c r="K68" s="291" t="inlineStr">
        <is>
          <t>Lv.3 개념뼈대 완결</t>
        </is>
      </c>
      <c r="L68" s="291" t="inlineStr">
        <is>
          <t>손님에게 거슬러 주어야 할 금액 N원이 주어질 때, 500원, 100원, 50원, 10원짜리 동전으로 거슬러 줄 수 있는 최소 동전 개수를 구하는 프로그램을 작성하십시오.</t>
        </is>
      </c>
      <c r="M68" s="291" t="inlineStr">
        <is>
          <t>-</t>
        </is>
      </c>
    </row>
    <row r="69" ht="20" customHeight="1" s="209">
      <c r="A69" s="292" t="n">
        <v>68</v>
      </c>
      <c r="B69" s="288" t="inlineStr">
        <is>
          <t>D2</t>
        </is>
      </c>
      <c r="C69" s="292" t="inlineStr">
        <is>
          <t>그리디</t>
        </is>
      </c>
      <c r="D69" s="293" t="inlineStr">
        <is>
          <t>단순_활동_선택</t>
        </is>
      </c>
      <c r="E69" s="290" t="inlineStr">
        <is>
          <t>⬜ 대기</t>
        </is>
      </c>
      <c r="F69" s="292" t="inlineStr">
        <is>
          <t>-</t>
        </is>
      </c>
      <c r="G69" s="292" t="inlineStr">
        <is>
          <t>-</t>
        </is>
      </c>
      <c r="H69" s="294" t="inlineStr">
        <is>
          <t>Tier 2. 완전 탐색 &amp; 백트래킹 (A형 핵심)</t>
        </is>
      </c>
      <c r="I69" s="294" t="inlineStr">
        <is>
          <t>그리디/D2_그리디_단순_활동_선택</t>
        </is>
      </c>
      <c r="J69" s="292" t="inlineStr">
        <is>
          <t>✅ 6종 완비</t>
        </is>
      </c>
      <c r="K69" s="294" t="inlineStr">
        <is>
          <t>Lv.4 경계완충/징검다리</t>
        </is>
      </c>
      <c r="L69" s="294" t="inlineStr">
        <is>
          <t>N개의 회의에 대해 각 회의의 시작 시간 s_i와 끝나는 시간 e_i가 주어질 때, 한 회의실에서 진행할 수 있는 회의의 최대 개수를 구하는 프로그램을 작성하십시오. 회의는 끝남과 동시에 다음 회의가 시작될 수 있습...</t>
        </is>
      </c>
      <c r="M69" s="294" t="inlineStr">
        <is>
          <t>-</t>
        </is>
      </c>
    </row>
    <row r="70" ht="20" customHeight="1" s="209">
      <c r="A70" s="287" t="n">
        <v>69</v>
      </c>
      <c r="B70" s="288" t="inlineStr">
        <is>
          <t>D2</t>
        </is>
      </c>
      <c r="C70" s="287" t="inlineStr">
        <is>
          <t>그리디</t>
        </is>
      </c>
      <c r="D70" s="289" t="inlineStr">
        <is>
          <t>동전_0_최소_동전_교환</t>
        </is>
      </c>
      <c r="E70" s="290" t="inlineStr">
        <is>
          <t>⬜ 대기</t>
        </is>
      </c>
      <c r="F70" s="287" t="inlineStr">
        <is>
          <t>-</t>
        </is>
      </c>
      <c r="G70" s="287" t="inlineStr">
        <is>
          <t>-</t>
        </is>
      </c>
      <c r="H70" s="291" t="inlineStr">
        <is>
          <t>Tier 2. 완전 탐색 &amp; 백트래킹 (A형 핵심)</t>
        </is>
      </c>
      <c r="I70" s="291" t="inlineStr">
        <is>
          <t>그리디/D2_그리디_동전_0_최소_동전_교환</t>
        </is>
      </c>
      <c r="J70" s="287" t="inlineStr">
        <is>
          <t>✅ 6종 완비</t>
        </is>
      </c>
      <c r="K70" s="291" t="inlineStr">
        <is>
          <t>Lv.4 경계완충/징검다리</t>
        </is>
      </c>
      <c r="L70" s="291" t="inlineStr">
        <is>
          <t>N종류의 동전과 목표 금액 K가 주어질 때, 그 가치의 합을 K로 만드는 데 필요한 동전 개수의 최솟값을 구하십시오.</t>
        </is>
      </c>
      <c r="M70" s="291" t="inlineStr">
        <is>
          <t>-</t>
        </is>
      </c>
    </row>
    <row r="71" ht="20" customHeight="1" s="209">
      <c r="A71" s="292" t="n">
        <v>70</v>
      </c>
      <c r="B71" s="288" t="inlineStr">
        <is>
          <t>D2</t>
        </is>
      </c>
      <c r="C71" s="292" t="inlineStr">
        <is>
          <t>그리디</t>
        </is>
      </c>
      <c r="D71" s="293" t="inlineStr">
        <is>
          <t>동전_교환_최소화</t>
        </is>
      </c>
      <c r="E71" s="290" t="inlineStr">
        <is>
          <t>⬜ 대기</t>
        </is>
      </c>
      <c r="F71" s="292" t="inlineStr">
        <is>
          <t>-</t>
        </is>
      </c>
      <c r="G71" s="292" t="inlineStr">
        <is>
          <t>-</t>
        </is>
      </c>
      <c r="H71" s="294" t="inlineStr">
        <is>
          <t>Tier 2. 완전 탐색 &amp; 백트래킹 (A형 핵심)</t>
        </is>
      </c>
      <c r="I71" s="294" t="inlineStr">
        <is>
          <t>그리디/D2_그리디_동전_교환_최소화</t>
        </is>
      </c>
      <c r="J71" s="292" t="inlineStr">
        <is>
          <t>✅ 6종 완비</t>
        </is>
      </c>
      <c r="K71" s="294" t="inlineStr">
        <is>
          <t>Lv.4 경계완충/징검다리</t>
        </is>
      </c>
      <c r="L71" s="294" t="inlineStr">
        <is>
          <t>N종류의 동전이 주어집니다. 각 동전의 액면가는 이전 동전의 배수 관계를 만족합니다. 이 동전들을 적절히 사용하여 합이 정확히 K원이 되도록 만들려고 합니다. 이때 필요한 동전 개수의 최솟값을 구하는 프로그램을 작성...</t>
        </is>
      </c>
      <c r="M71" s="294" t="inlineStr">
        <is>
          <t>-</t>
        </is>
      </c>
    </row>
    <row r="72" ht="20" customHeight="1" s="209">
      <c r="A72" s="287" t="n">
        <v>71</v>
      </c>
      <c r="B72" s="288" t="inlineStr">
        <is>
          <t>D2</t>
        </is>
      </c>
      <c r="C72" s="287" t="inlineStr">
        <is>
          <t>그리디</t>
        </is>
      </c>
      <c r="D72" s="289" t="inlineStr">
        <is>
          <t>체육복_대여_도우미</t>
        </is>
      </c>
      <c r="E72" s="290" t="inlineStr">
        <is>
          <t>⬜ 대기</t>
        </is>
      </c>
      <c r="F72" s="287" t="inlineStr">
        <is>
          <t>-</t>
        </is>
      </c>
      <c r="G72" s="287" t="inlineStr">
        <is>
          <t>-</t>
        </is>
      </c>
      <c r="H72" s="291" t="inlineStr">
        <is>
          <t>Tier 2. 완전 탐색 &amp; 백트래킹 (A형 핵심)</t>
        </is>
      </c>
      <c r="I72" s="291" t="inlineStr">
        <is>
          <t>그리디/D2_그리디_체육복_대여_도우미</t>
        </is>
      </c>
      <c r="J72" s="287" t="inlineStr">
        <is>
          <t>✅ 6종 완비</t>
        </is>
      </c>
      <c r="K72" s="291" t="inlineStr">
        <is>
          <t>Lv.4 경계완충/징검다리</t>
        </is>
      </c>
      <c r="L72" s="291" t="inlineStr">
        <is>
          <t>전체 학생 수 N, 체육복을 도난당한 학생 번호들, 그리고 여벌의 체육복을 가져온 학생 번호들이 주어집니다. 여벌 체육복을 가져온 학생이 체육복을 도난당했을 수도 있으며, 이때는 남은 체육복이 하나뿐이므로 다른 학생...</t>
        </is>
      </c>
      <c r="M72" s="291" t="inlineStr">
        <is>
          <t>-</t>
        </is>
      </c>
    </row>
    <row r="73" ht="20" customHeight="1" s="209">
      <c r="A73" s="292" t="n">
        <v>72</v>
      </c>
      <c r="B73" s="295" t="inlineStr">
        <is>
          <t>D3</t>
        </is>
      </c>
      <c r="C73" s="292" t="inlineStr">
        <is>
          <t>그리디</t>
        </is>
      </c>
      <c r="D73" s="293" t="inlineStr">
        <is>
          <t>서윤이의_체육복_대여_그리디</t>
        </is>
      </c>
      <c r="E73" s="290" t="inlineStr">
        <is>
          <t>⬜ 대기</t>
        </is>
      </c>
      <c r="F73" s="292" t="inlineStr">
        <is>
          <t>-</t>
        </is>
      </c>
      <c r="G73" s="292" t="inlineStr">
        <is>
          <t>-</t>
        </is>
      </c>
      <c r="H73" s="294" t="inlineStr">
        <is>
          <t>Tier 2. 완전 탐색 &amp; 백트래킹 (A형 핵심)</t>
        </is>
      </c>
      <c r="I73" s="294" t="inlineStr">
        <is>
          <t>그리디/D3_그리디_서윤이의_체육복_대여_그리디</t>
        </is>
      </c>
      <c r="J73" s="292" t="inlineStr">
        <is>
          <t>✅ 6종 완비</t>
        </is>
      </c>
      <c r="K73" s="294" t="inlineStr">
        <is>
          <t>Lv.5 실전 응용 (스토리텔링)</t>
        </is>
      </c>
      <c r="L73" s="294" t="inlineStr">
        <is>
          <t>체육부장을 맡은 서윤이는 체육대회 연습을 위해 반 학생들의 체육복 현황을 점검하고 있습니다. 반 학생 수는 총 N명이고 학생 번호는 1번부터 N번까지 순서대로 매겨져 있습니다.</t>
        </is>
      </c>
      <c r="M73" s="294" t="inlineStr">
        <is>
          <t>-</t>
        </is>
      </c>
    </row>
    <row r="74" ht="20" customHeight="1" s="209">
      <c r="A74" s="287" t="n">
        <v>73</v>
      </c>
      <c r="B74" s="295" t="inlineStr">
        <is>
          <t>D3</t>
        </is>
      </c>
      <c r="C74" s="287" t="inlineStr">
        <is>
          <t>그리디</t>
        </is>
      </c>
      <c r="D74" s="289" t="inlineStr">
        <is>
          <t>시우의_스터디룸_배정</t>
        </is>
      </c>
      <c r="E74" s="290" t="inlineStr">
        <is>
          <t>⬜ 대기</t>
        </is>
      </c>
      <c r="F74" s="287" t="inlineStr">
        <is>
          <t>-</t>
        </is>
      </c>
      <c r="G74" s="287" t="inlineStr">
        <is>
          <t>-</t>
        </is>
      </c>
      <c r="H74" s="291" t="inlineStr">
        <is>
          <t>Tier 2. 완전 탐색 &amp; 백트래킹 (A형 핵심)</t>
        </is>
      </c>
      <c r="I74" s="291" t="inlineStr">
        <is>
          <t>그리디/D3_그리디_시우의_스터디룸_배정</t>
        </is>
      </c>
      <c r="J74" s="287" t="inlineStr">
        <is>
          <t>✅ 6종 완비</t>
        </is>
      </c>
      <c r="K74" s="291" t="inlineStr">
        <is>
          <t>Lv.5 실전 응용 (스토리텔링)</t>
        </is>
      </c>
      <c r="L74" s="291" t="inlineStr">
        <is>
          <t>SSAFY 반장 시우는 이번 주말 동기들의 자율 알고리즘 스터디를 위해 스터디 카페의 룸을 예약하는 총대를 멨습니다. 각 스터디 팀마다 희망하는 시작 시각 S_i와 종료 시각 E_i가 적힌 총 N개의 스터디 신청서가...</t>
        </is>
      </c>
      <c r="M74" s="291" t="inlineStr">
        <is>
          <t>-</t>
        </is>
      </c>
    </row>
    <row r="75" ht="20" customHeight="1" s="209">
      <c r="A75" s="292" t="n">
        <v>74</v>
      </c>
      <c r="B75" s="295" t="inlineStr">
        <is>
          <t>D3</t>
        </is>
      </c>
      <c r="C75" s="292" t="inlineStr">
        <is>
          <t>그리디</t>
        </is>
      </c>
      <c r="D75" s="293" t="inlineStr">
        <is>
          <t>은우의_물류_트럭_적재</t>
        </is>
      </c>
      <c r="E75" s="290" t="inlineStr">
        <is>
          <t>⬜ 대기</t>
        </is>
      </c>
      <c r="F75" s="292" t="inlineStr">
        <is>
          <t>-</t>
        </is>
      </c>
      <c r="G75" s="292" t="inlineStr">
        <is>
          <t>-</t>
        </is>
      </c>
      <c r="H75" s="294" t="inlineStr">
        <is>
          <t>Tier 2. 완전 탐색 &amp; 백트래킹 (A형 핵심)</t>
        </is>
      </c>
      <c r="I75" s="294" t="inlineStr">
        <is>
          <t>그리디/D3_그리디_은우의_물류_트럭_적재</t>
        </is>
      </c>
      <c r="J75" s="292" t="inlineStr">
        <is>
          <t>✅ 6종 완비</t>
        </is>
      </c>
      <c r="K75" s="294" t="inlineStr">
        <is>
          <t>Lv.5 실전 응용 (스토리텔링)</t>
        </is>
      </c>
      <c r="L75" s="294" t="inlineStr">
        <is>
          <t>성실한 청년 은우는 물류 센터에서 배송 트럭에 화물을 싣는 업무를 맡았습니다. 트럭의 최대 적재 용량은 W kg입니다. 물류 센터에는 N종류의 분할 가능한 화물(곡물, 액체, 원자재 가루 등)이 보관되어 있습니다.</t>
        </is>
      </c>
      <c r="M75" s="294" t="inlineStr">
        <is>
          <t>-</t>
        </is>
      </c>
    </row>
    <row r="76" ht="20" customHeight="1" s="209">
      <c r="A76" s="287" t="n">
        <v>75</v>
      </c>
      <c r="B76" s="295" t="inlineStr">
        <is>
          <t>D3</t>
        </is>
      </c>
      <c r="C76" s="287" t="inlineStr">
        <is>
          <t>그리디</t>
        </is>
      </c>
      <c r="D76" s="289" t="inlineStr">
        <is>
          <t>지아의_신입사원_선발</t>
        </is>
      </c>
      <c r="E76" s="290" t="inlineStr">
        <is>
          <t>⬜ 대기</t>
        </is>
      </c>
      <c r="F76" s="287" t="inlineStr">
        <is>
          <t>-</t>
        </is>
      </c>
      <c r="G76" s="287" t="inlineStr">
        <is>
          <t>-</t>
        </is>
      </c>
      <c r="H76" s="291" t="inlineStr">
        <is>
          <t>Tier 2. 완전 탐색 &amp; 백트래킹 (A형 핵심)</t>
        </is>
      </c>
      <c r="I76" s="291" t="inlineStr">
        <is>
          <t>그리디/D3_그리디_지아의_신입사원_선발</t>
        </is>
      </c>
      <c r="J76" s="287" t="inlineStr">
        <is>
          <t>✅ 6종 완비</t>
        </is>
      </c>
      <c r="K76" s="291" t="inlineStr">
        <is>
          <t>Lv.5 실전 응용 (스토리텔링)</t>
        </is>
      </c>
      <c r="L76" s="291" t="inlineStr">
        <is>
          <t>인사팀에서 신입사원 채용을 총괄하는 지아는 수많은 지원자 중 실력 있는 인재를 공정하게 선발하고자 합니다. 채용 과정은 1차 서류심사와 2차 면접시험으로 이루어지며, 각 시험마다 1등부터 N등까지 중복 없는 순위가 ...</t>
        </is>
      </c>
      <c r="M76" s="291" t="inlineStr">
        <is>
          <t>-</t>
        </is>
      </c>
    </row>
    <row r="77" ht="20" customHeight="1" s="209">
      <c r="A77" s="292" t="n">
        <v>76</v>
      </c>
      <c r="B77" s="295" t="inlineStr">
        <is>
          <t>D3</t>
        </is>
      </c>
      <c r="C77" s="292" t="inlineStr">
        <is>
          <t>그리디</t>
        </is>
      </c>
      <c r="D77" s="293" t="inlineStr">
        <is>
          <t>하윤이의_회의실_배정_최대_스케줄링</t>
        </is>
      </c>
      <c r="E77" s="290" t="inlineStr">
        <is>
          <t>⬜ 대기</t>
        </is>
      </c>
      <c r="F77" s="292" t="inlineStr">
        <is>
          <t>-</t>
        </is>
      </c>
      <c r="G77" s="292" t="inlineStr">
        <is>
          <t>-</t>
        </is>
      </c>
      <c r="H77" s="294" t="inlineStr">
        <is>
          <t>Tier 2. 완전 탐색 &amp; 백트래킹 (A형 핵심)</t>
        </is>
      </c>
      <c r="I77" s="294" t="inlineStr">
        <is>
          <t>그리디/D3_그리디_하윤이의_회의실_배정_최대_스케줄링</t>
        </is>
      </c>
      <c r="J77" s="292" t="inlineStr">
        <is>
          <t>✅ 6종 완비</t>
        </is>
      </c>
      <c r="K77" s="294" t="inlineStr">
        <is>
          <t>Lv.5 실전 응용 (스토리텔링)</t>
        </is>
      </c>
      <c r="L77" s="294" t="inlineStr">
        <is>
          <t>사내 문화 기획팀의 하윤이는 1개의 다목적 대회의실을 예약 신청한 N개의 회의 팀들의 일정을 조율하고 있습니다. 각 회의 I에 대해 시작 시간 S_i와 끝나는 시간 E_i가 주어져 있습니다.</t>
        </is>
      </c>
      <c r="M77" s="294" t="inlineStr">
        <is>
          <t>-</t>
        </is>
      </c>
    </row>
    <row r="78" ht="20" customHeight="1" s="209">
      <c r="A78" s="287" t="n">
        <v>77</v>
      </c>
      <c r="B78" s="296" t="inlineStr">
        <is>
          <t>D4</t>
        </is>
      </c>
      <c r="C78" s="287" t="inlineStr">
        <is>
          <t>그리디</t>
        </is>
      </c>
      <c r="D78" s="289" t="inlineStr">
        <is>
          <t>강의실_배정_우선순위큐_최소_강의실</t>
        </is>
      </c>
      <c r="E78" s="290" t="inlineStr">
        <is>
          <t>⬜ 대기</t>
        </is>
      </c>
      <c r="F78" s="287" t="inlineStr">
        <is>
          <t>-</t>
        </is>
      </c>
      <c r="G78" s="287" t="inlineStr">
        <is>
          <t>-</t>
        </is>
      </c>
      <c r="H78" s="291" t="inlineStr">
        <is>
          <t>Tier 2. 완전 탐색 &amp; 백트래킹 (A형 핵심)</t>
        </is>
      </c>
      <c r="I78" s="291" t="inlineStr">
        <is>
          <t>그리디/D4_그리디_강의실_배정_우선순위큐_최소_강의실</t>
        </is>
      </c>
      <c r="J78" s="287" t="inlineStr">
        <is>
          <t>✅ 6종 완비</t>
        </is>
      </c>
      <c r="K78" s="291" t="inlineStr">
        <is>
          <t>Lv.6 복합 제약 &amp; 시공간 최적화</t>
        </is>
      </c>
      <c r="L78" s="291" t="inlineStr">
        <is>
          <t>주어진 N개의 강의 일정에 대해 필요한 최소 강의실 개수를 구하십시오.</t>
        </is>
      </c>
      <c r="M78" s="291" t="inlineStr">
        <is>
          <t>-</t>
        </is>
      </c>
    </row>
    <row r="79" ht="20" customHeight="1" s="209">
      <c r="A79" s="292" t="n">
        <v>78</v>
      </c>
      <c r="B79" s="296" t="inlineStr">
        <is>
          <t>D4</t>
        </is>
      </c>
      <c r="C79" s="292" t="inlineStr">
        <is>
          <t>그리디</t>
        </is>
      </c>
      <c r="D79" s="293" t="inlineStr">
        <is>
          <t>보석_도둑_우선순위큐_최적화</t>
        </is>
      </c>
      <c r="E79" s="290" t="inlineStr">
        <is>
          <t>⬜ 대기</t>
        </is>
      </c>
      <c r="F79" s="292" t="inlineStr">
        <is>
          <t>-</t>
        </is>
      </c>
      <c r="G79" s="292" t="inlineStr">
        <is>
          <t>-</t>
        </is>
      </c>
      <c r="H79" s="294" t="inlineStr">
        <is>
          <t>Tier 2. 완전 탐색 &amp; 백트래킹 (A형 핵심)</t>
        </is>
      </c>
      <c r="I79" s="294" t="inlineStr">
        <is>
          <t>그리디/D4_그리디_보석_도둑_우선순위큐_최적화</t>
        </is>
      </c>
      <c r="J79" s="292" t="inlineStr">
        <is>
          <t>✅ 6종 완비</t>
        </is>
      </c>
      <c r="K79" s="294" t="inlineStr">
        <is>
          <t>Lv.6 복합 제약 &amp; 시공간 최적화</t>
        </is>
      </c>
      <c r="L79" s="294" t="inlineStr">
        <is>
          <t>주어진 N개의 보석 정보와 K개의 가방 용량에 대해 상덕이가 훔칠 수 있는 보석 가격의 최대 합을 구하십시오.</t>
        </is>
      </c>
      <c r="M79" s="294" t="inlineStr">
        <is>
          <t>-</t>
        </is>
      </c>
    </row>
    <row r="80" ht="20" customHeight="1" s="209">
      <c r="A80" s="287" t="n">
        <v>79</v>
      </c>
      <c r="B80" s="296" t="inlineStr">
        <is>
          <t>D4</t>
        </is>
      </c>
      <c r="C80" s="287" t="inlineStr">
        <is>
          <t>그리디</t>
        </is>
      </c>
      <c r="D80" s="289" t="inlineStr">
        <is>
          <t>센서_통신_기지국_설치</t>
        </is>
      </c>
      <c r="E80" s="290" t="inlineStr">
        <is>
          <t>⬜ 대기</t>
        </is>
      </c>
      <c r="F80" s="287" t="inlineStr">
        <is>
          <t>-</t>
        </is>
      </c>
      <c r="G80" s="287" t="inlineStr">
        <is>
          <t>-</t>
        </is>
      </c>
      <c r="H80" s="291" t="inlineStr">
        <is>
          <t>Tier 2. 완전 탐색 &amp; 백트래킹 (A형 핵심)</t>
        </is>
      </c>
      <c r="I80" s="291" t="inlineStr">
        <is>
          <t>그리디/D4_그리디_센서_통신_기지국_설치</t>
        </is>
      </c>
      <c r="J80" s="287" t="inlineStr">
        <is>
          <t>✅ 6종 완비</t>
        </is>
      </c>
      <c r="K80" s="291" t="inlineStr">
        <is>
          <t>Lv.6 복합 제약 &amp; 시공간 최적화</t>
        </is>
      </c>
      <c r="L80" s="291" t="inlineStr">
        <is>
          <t>고속도로를 따라 N개의 센서가 설치되어 있습니다. 각 센서는 고속도로 상의 정수 좌표에 위치합니다. 이 센서들이 수집한 데이터를 중앙 서버로 수집하기 위해, 최대 K개의 집중 기지국을 설치할 수 있습니다.</t>
        </is>
      </c>
      <c r="M80" s="291" t="inlineStr">
        <is>
          <t>-</t>
        </is>
      </c>
    </row>
    <row r="81" ht="20" customHeight="1" s="209">
      <c r="A81" s="292" t="n">
        <v>80</v>
      </c>
      <c r="B81" s="296" t="inlineStr">
        <is>
          <t>D4</t>
        </is>
      </c>
      <c r="C81" s="292" t="inlineStr">
        <is>
          <t>그리디</t>
        </is>
      </c>
      <c r="D81" s="293" t="inlineStr">
        <is>
          <t>작업_마감기한_스케줄링</t>
        </is>
      </c>
      <c r="E81" s="290" t="inlineStr">
        <is>
          <t>⬜ 대기</t>
        </is>
      </c>
      <c r="F81" s="292" t="inlineStr">
        <is>
          <t>-</t>
        </is>
      </c>
      <c r="G81" s="292" t="inlineStr">
        <is>
          <t>-</t>
        </is>
      </c>
      <c r="H81" s="294" t="inlineStr">
        <is>
          <t>Tier 2. 완전 탐색 &amp; 백트래킹 (A형 핵심)</t>
        </is>
      </c>
      <c r="I81" s="294" t="inlineStr">
        <is>
          <t>그리디/D4_그리디_작업_마감기한_스케줄링</t>
        </is>
      </c>
      <c r="J81" s="292" t="inlineStr">
        <is>
          <t>✅ 6종 완비</t>
        </is>
      </c>
      <c r="K81" s="294" t="inlineStr">
        <is>
          <t>Lv.6 복합 제약 &amp; 시공간 최적화</t>
        </is>
      </c>
      <c r="L81" s="294" t="inlineStr">
        <is>
          <t>N개의 과제가 주어집니다. 각 과제 i는 단위 시간 1이 소요되며, 마감 기한 d_i와 기한 내에 완료했을 때 획득할 수 있는 점수 p_i를 가지고 있습니다. 하루에 최대 하나의 과제만 수행할 수 있으며, 시간 t ...</t>
        </is>
      </c>
      <c r="M81" s="294" t="inlineStr">
        <is>
          <t>-</t>
        </is>
      </c>
    </row>
    <row r="82" ht="20" customHeight="1" s="209">
      <c r="A82" s="287" t="n">
        <v>81</v>
      </c>
      <c r="B82" s="296" t="inlineStr">
        <is>
          <t>D4</t>
        </is>
      </c>
      <c r="C82" s="287" t="inlineStr">
        <is>
          <t>그리디</t>
        </is>
      </c>
      <c r="D82" s="289" t="inlineStr">
        <is>
          <t>주유소_최소비용_이동</t>
        </is>
      </c>
      <c r="E82" s="290" t="inlineStr">
        <is>
          <t>⬜ 대기</t>
        </is>
      </c>
      <c r="F82" s="287" t="inlineStr">
        <is>
          <t>-</t>
        </is>
      </c>
      <c r="G82" s="287" t="inlineStr">
        <is>
          <t>-</t>
        </is>
      </c>
      <c r="H82" s="291" t="inlineStr">
        <is>
          <t>Tier 2. 완전 탐색 &amp; 백트래킹 (A형 핵심)</t>
        </is>
      </c>
      <c r="I82" s="291" t="inlineStr">
        <is>
          <t>그리디/D4_그리디_주유소_최소비용_이동</t>
        </is>
      </c>
      <c r="J82" s="287" t="inlineStr">
        <is>
          <t>✅ 6종 완비</t>
        </is>
      </c>
      <c r="K82" s="291" t="inlineStr">
        <is>
          <t>Lv.6 복합 제약 &amp; 시공간 최적화</t>
        </is>
      </c>
      <c r="L82" s="291" t="inlineStr">
        <is>
          <t>어떤 나라에 일직선 도로를 따라 좌에서 우로 N개의 도시가 순서대로 배치되어 있습니다. 제일 왼쪽의 1번 도시에서 출발하여 가장 오른쪽의 N번 도시로 이동하고자 합니다.</t>
        </is>
      </c>
      <c r="M82" s="291" t="inlineStr">
        <is>
          <t>-</t>
        </is>
      </c>
    </row>
    <row r="83" ht="20" customHeight="1" s="209">
      <c r="A83" s="292" t="n">
        <v>82</v>
      </c>
      <c r="B83" s="297" t="inlineStr">
        <is>
          <t>D5</t>
        </is>
      </c>
      <c r="C83" s="292" t="inlineStr">
        <is>
          <t>그리디</t>
        </is>
      </c>
      <c r="D83" s="293" t="inlineStr">
        <is>
          <t>허프만_인코딩_트리_구축</t>
        </is>
      </c>
      <c r="E83" s="290" t="inlineStr">
        <is>
          <t>⬜ 대기</t>
        </is>
      </c>
      <c r="F83" s="292" t="inlineStr">
        <is>
          <t>-</t>
        </is>
      </c>
      <c r="G83" s="292" t="inlineStr">
        <is>
          <t>-</t>
        </is>
      </c>
      <c r="H83" s="294" t="inlineStr">
        <is>
          <t>Tier 2. 완전 탐색 &amp; 백트래킹 (A형 핵심)</t>
        </is>
      </c>
      <c r="I83" s="294" t="inlineStr">
        <is>
          <t>그리디/D5_그리디_허프만_인코딩_트리_구축</t>
        </is>
      </c>
      <c r="J83" s="292" t="inlineStr">
        <is>
          <t>✅ 6종 완비</t>
        </is>
      </c>
      <c r="K83" s="294" t="inlineStr">
        <is>
          <t>Lv.7 삼성 B형 Pro (No-STL/메모리풀)</t>
        </is>
      </c>
      <c r="L83" s="294" t="inlineStr">
        <is>
          <t>데이터 압축 분야에서 가장 널리 쓰이는 알고리즘 중 하나인 허프만 부호화(Huffman Coding)는 문자의 출현 빈도수에 따라 가변 길이 부호(Variable-length Code)를 부여하여 전체 데이터 크기를...</t>
        </is>
      </c>
      <c r="M83" s="294" t="inlineStr">
        <is>
          <t>-</t>
        </is>
      </c>
    </row>
    <row r="84" ht="20" customHeight="1" s="209">
      <c r="A84" s="287" t="n">
        <v>83</v>
      </c>
      <c r="B84" s="296" t="inlineStr">
        <is>
          <t>D4</t>
        </is>
      </c>
      <c r="C84" s="287" t="inlineStr">
        <is>
          <t>네트워크유량</t>
        </is>
      </c>
      <c r="D84" s="289" t="inlineStr">
        <is>
          <t>에드몬드카프_최대유량</t>
        </is>
      </c>
      <c r="E84" s="290" t="inlineStr">
        <is>
          <t>⬜ 대기</t>
        </is>
      </c>
      <c r="F84" s="287" t="inlineStr">
        <is>
          <t>-</t>
        </is>
      </c>
      <c r="G84" s="287" t="inlineStr">
        <is>
          <t>-</t>
        </is>
      </c>
      <c r="H84" s="291" t="inlineStr">
        <is>
          <t>Tier 4. 동적 계획법 &amp; 고급 탐색 (A형 심화)</t>
        </is>
      </c>
      <c r="I84" s="291" t="inlineStr">
        <is>
          <t>네트워크유량/D4_네트워크유량_에드몬드카프_최대유량</t>
        </is>
      </c>
      <c r="J84" s="287" t="inlineStr">
        <is>
          <t>✅ 6종 완비</t>
        </is>
      </c>
      <c r="K84" s="291" t="inlineStr">
        <is>
          <t>Lv.6 복합 제약 &amp; 시공간 최적화</t>
        </is>
      </c>
      <c r="L84" s="291" t="inlineStr">
        <is>
          <t>스마트 시티의 상수도 배수 공급망은 수원지/정수장(Source)에서 최종 소비자 배수지(Sink)까지 여러 중간 가압장과 파이프라인으로 연결되어 있습니다. 각 파이프라인은 일방통행(단방향)으로 물을 수송하며, 파이프...</t>
        </is>
      </c>
      <c r="M84" s="291" t="inlineStr">
        <is>
          <t>-</t>
        </is>
      </c>
    </row>
    <row r="85" ht="20" customHeight="1" s="209">
      <c r="A85" s="292" t="n">
        <v>84</v>
      </c>
      <c r="B85" s="288" t="inlineStr">
        <is>
          <t>D2</t>
        </is>
      </c>
      <c r="C85" s="292" t="inlineStr">
        <is>
          <t>덱</t>
        </is>
      </c>
      <c r="D85" s="293" t="inlineStr">
        <is>
          <t>덱에_대해서</t>
        </is>
      </c>
      <c r="E85" s="290" t="inlineStr">
        <is>
          <t>⬜ 대기</t>
        </is>
      </c>
      <c r="F85" s="292" t="inlineStr">
        <is>
          <t>-</t>
        </is>
      </c>
      <c r="G85" s="292" t="inlineStr">
        <is>
          <t>-</t>
        </is>
      </c>
      <c r="H85" s="294" t="inlineStr">
        <is>
          <t>Tier 1. 선형 자료구조 &amp; 탐색 기본기</t>
        </is>
      </c>
      <c r="I85" s="294" t="inlineStr">
        <is>
          <t>덱/D2_덱_덱에_대해서</t>
        </is>
      </c>
      <c r="J85" s="292" t="inlineStr">
        <is>
          <t>✅ 6종 완비</t>
        </is>
      </c>
      <c r="K85" s="294" t="inlineStr">
        <is>
          <t>Lv.3 개념뼈대 완결</t>
        </is>
      </c>
      <c r="L85" s="294" t="inlineStr">
        <is>
          <t>주어지는 N개의 명령어를 순서대로 처리하여 그 결과를 출력하는 덱 프로그램을 직접 구현하십시오!</t>
        </is>
      </c>
      <c r="M85" s="294" t="inlineStr">
        <is>
          <t>-</t>
        </is>
      </c>
    </row>
    <row r="86" ht="20" customHeight="1" s="209">
      <c r="A86" s="287" t="n">
        <v>85</v>
      </c>
      <c r="B86" s="288" t="inlineStr">
        <is>
          <t>D2</t>
        </is>
      </c>
      <c r="C86" s="287" t="inlineStr">
        <is>
          <t>덱</t>
        </is>
      </c>
      <c r="D86" s="289" t="inlineStr">
        <is>
          <t>앞뒤_대칭_팰린드롬_검사</t>
        </is>
      </c>
      <c r="E86" s="290" t="inlineStr">
        <is>
          <t>⬜ 대기</t>
        </is>
      </c>
      <c r="F86" s="287" t="inlineStr">
        <is>
          <t>-</t>
        </is>
      </c>
      <c r="G86" s="287" t="inlineStr">
        <is>
          <t>-</t>
        </is>
      </c>
      <c r="H86" s="291" t="inlineStr">
        <is>
          <t>Tier 1. 선형 자료구조 &amp; 탐색 기본기</t>
        </is>
      </c>
      <c r="I86" s="291" t="inlineStr">
        <is>
          <t>덱/D2_덱_앞뒤_대칭_팰린드롬_검사</t>
        </is>
      </c>
      <c r="J86" s="287" t="inlineStr">
        <is>
          <t>✅ 6종 완비</t>
        </is>
      </c>
      <c r="K86" s="291" t="inlineStr">
        <is>
          <t>Lv.4 경계완충/징검다리</t>
        </is>
      </c>
      <c r="L86" s="291" t="inlineStr">
        <is>
          <t>덱(Deque)은 양방향 입출력이 가능하여 앞과 뒤에서 동시에 원소를 꺼내어 대칭성을 검사하는 문제에 가장 최적화된 자료구조입니다. 문자열이 앞에서부터 읽으나 뒤에서부터 읽으나 동일한 경우를 '회문(Palindrom...</t>
        </is>
      </c>
      <c r="M86" s="291" t="inlineStr">
        <is>
          <t>-</t>
        </is>
      </c>
    </row>
    <row r="87" ht="20" customHeight="1" s="209">
      <c r="A87" s="292" t="n">
        <v>86</v>
      </c>
      <c r="B87" s="288" t="inlineStr">
        <is>
          <t>D2</t>
        </is>
      </c>
      <c r="C87" s="292" t="inlineStr">
        <is>
          <t>덱</t>
        </is>
      </c>
      <c r="D87" s="293" t="inlineStr">
        <is>
          <t>양방향_숫자_캐시</t>
        </is>
      </c>
      <c r="E87" s="290" t="inlineStr">
        <is>
          <t>⬜ 대기</t>
        </is>
      </c>
      <c r="F87" s="292" t="inlineStr">
        <is>
          <t>-</t>
        </is>
      </c>
      <c r="G87" s="292" t="inlineStr">
        <is>
          <t>-</t>
        </is>
      </c>
      <c r="H87" s="294" t="inlineStr">
        <is>
          <t>Tier 1. 선형 자료구조 &amp; 탐색 기본기</t>
        </is>
      </c>
      <c r="I87" s="294" t="inlineStr">
        <is>
          <t>덱/D2_덱_양방향_숫자_캐시</t>
        </is>
      </c>
      <c r="J87" s="292" t="inlineStr">
        <is>
          <t>✅ 6종 완비</t>
        </is>
      </c>
      <c r="K87" s="294" t="inlineStr">
        <is>
          <t>Lv.4 경계완충/징검다리</t>
        </is>
      </c>
      <c r="L87" s="294" t="inlineStr">
        <is>
          <t>덱(Deque)의 양방향 입출력 특성을 활용하여 크기가 제한된 양방향 캐시 메모리를 시뮬레이션하는 문제입니다. 최대 K개의 정수를 저장할 수 있는 캐시 메모리가 비어있는 상태에서 시작합니다.</t>
        </is>
      </c>
      <c r="M87" s="294" t="inlineStr">
        <is>
          <t>-</t>
        </is>
      </c>
    </row>
    <row r="88" ht="20" customHeight="1" s="209">
      <c r="A88" s="287" t="n">
        <v>87</v>
      </c>
      <c r="B88" s="288" t="inlineStr">
        <is>
          <t>D2</t>
        </is>
      </c>
      <c r="C88" s="287" t="inlineStr">
        <is>
          <t>덱</t>
        </is>
      </c>
      <c r="D88" s="289" t="inlineStr">
        <is>
          <t>카드_셔플과_뒤집기</t>
        </is>
      </c>
      <c r="E88" s="290" t="inlineStr">
        <is>
          <t>⬜ 대기</t>
        </is>
      </c>
      <c r="F88" s="287" t="inlineStr">
        <is>
          <t>-</t>
        </is>
      </c>
      <c r="G88" s="287" t="inlineStr">
        <is>
          <t>-</t>
        </is>
      </c>
      <c r="H88" s="291" t="inlineStr">
        <is>
          <t>Tier 1. 선형 자료구조 &amp; 탐색 기본기</t>
        </is>
      </c>
      <c r="I88" s="291" t="inlineStr">
        <is>
          <t>덱/D2_덱_카드_셔플과_뒤집기</t>
        </is>
      </c>
      <c r="J88" s="287" t="inlineStr">
        <is>
          <t>✅ 6종 완비</t>
        </is>
      </c>
      <c r="K88" s="291" t="inlineStr">
        <is>
          <t>Lv.4 경계완충/징검다리</t>
        </is>
      </c>
      <c r="L88" s="291" t="inlineStr">
        <is>
          <t>덱(Deque)을 사용하면 앞과 뒤에서 원소를 조작할 수 있으므로, 카드를 위에서 뽑아 아래로 넣거나 전체 덱을 가상으로 뒤집는 연산을 효율적으로 구현할 수 있습니다. 1부터 N까지의 번호가 적힌 N장의 카드가 위에...</t>
        </is>
      </c>
      <c r="M88" s="291" t="inlineStr">
        <is>
          <t>-</t>
        </is>
      </c>
    </row>
    <row r="89" ht="20" customHeight="1" s="209">
      <c r="A89" s="292" t="n">
        <v>88</v>
      </c>
      <c r="B89" s="288" t="inlineStr">
        <is>
          <t>D2</t>
        </is>
      </c>
      <c r="C89" s="292" t="inlineStr">
        <is>
          <t>덱</t>
        </is>
      </c>
      <c r="D89" s="293" t="inlineStr">
        <is>
          <t>회전하는_큐</t>
        </is>
      </c>
      <c r="E89" s="290" t="inlineStr">
        <is>
          <t>⬜ 대기</t>
        </is>
      </c>
      <c r="F89" s="292" t="inlineStr">
        <is>
          <t>-</t>
        </is>
      </c>
      <c r="G89" s="292" t="inlineStr">
        <is>
          <t>-</t>
        </is>
      </c>
      <c r="H89" s="294" t="inlineStr">
        <is>
          <t>Tier 1. 선형 자료구조 &amp; 탐색 기본기</t>
        </is>
      </c>
      <c r="I89" s="294" t="inlineStr">
        <is>
          <t>덱/D2_덱_회전하는_큐</t>
        </is>
      </c>
      <c r="J89" s="292" t="inlineStr">
        <is>
          <t>✅ 6종 완비</t>
        </is>
      </c>
      <c r="K89" s="294" t="inlineStr">
        <is>
          <t>Lv.4 경계완충/징검다리</t>
        </is>
      </c>
      <c r="L89" s="294" t="inlineStr">
        <is>
          <t>양방향 순환 덱(Deque)을 이용하여 원하는 원소를 차례대로 추출할 때 발생하는 최소 회전 연산 횟수를 구하는 문제입니다. 크기가 N인 덱에 1부터 N까지의 정수가 순서대로 들어있습니다.</t>
        </is>
      </c>
      <c r="M89" s="294" t="inlineStr">
        <is>
          <t>-</t>
        </is>
      </c>
    </row>
    <row r="90" ht="20" customHeight="1" s="209">
      <c r="A90" s="287" t="n">
        <v>89</v>
      </c>
      <c r="B90" s="295" t="inlineStr">
        <is>
          <t>D3</t>
        </is>
      </c>
      <c r="C90" s="287" t="inlineStr">
        <is>
          <t>덱</t>
        </is>
      </c>
      <c r="D90" s="289" t="inlineStr">
        <is>
          <t>도윤이의_마블_트랙_레이스</t>
        </is>
      </c>
      <c r="E90" s="290" t="inlineStr">
        <is>
          <t>⬜ 대기</t>
        </is>
      </c>
      <c r="F90" s="287" t="inlineStr">
        <is>
          <t>-</t>
        </is>
      </c>
      <c r="G90" s="287" t="inlineStr">
        <is>
          <t>-</t>
        </is>
      </c>
      <c r="H90" s="291" t="inlineStr">
        <is>
          <t>Tier 1. 선형 자료구조 &amp; 탐색 기본기</t>
        </is>
      </c>
      <c r="I90" s="291" t="inlineStr">
        <is>
          <t>덱/D3_덱_도윤이의_마블_트랙_레이스</t>
        </is>
      </c>
      <c r="J90" s="287" t="inlineStr">
        <is>
          <t>✅ 6종 완비</t>
        </is>
      </c>
      <c r="K90" s="291" t="inlineStr">
        <is>
          <t>Lv.5 실전 응용 (스토리텔링)</t>
        </is>
      </c>
      <c r="L90" s="291" t="inlineStr">
        <is>
          <t>도윤이는 긴 원통형 마블 트랙을 조립하여 구슬 레이스 놀이를 하고 있습니다. 트랙의 양쪽 끝(왼쪽 끝 Front, 오른쪽 끝 Back)으로 구슬들을 투입할 수 있습니다.</t>
        </is>
      </c>
      <c r="M90" s="291" t="inlineStr">
        <is>
          <t>-</t>
        </is>
      </c>
    </row>
    <row r="91" ht="20" customHeight="1" s="209">
      <c r="A91" s="292" t="n">
        <v>90</v>
      </c>
      <c r="B91" s="295" t="inlineStr">
        <is>
          <t>D3</t>
        </is>
      </c>
      <c r="C91" s="292" t="inlineStr">
        <is>
          <t>덱</t>
        </is>
      </c>
      <c r="D91" s="293" t="inlineStr">
        <is>
          <t>서준이의_되돌리기_가능한_문서_편집기</t>
        </is>
      </c>
      <c r="E91" s="290" t="inlineStr">
        <is>
          <t>⬜ 대기</t>
        </is>
      </c>
      <c r="F91" s="292" t="inlineStr">
        <is>
          <t>-</t>
        </is>
      </c>
      <c r="G91" s="292" t="inlineStr">
        <is>
          <t>-</t>
        </is>
      </c>
      <c r="H91" s="294" t="inlineStr">
        <is>
          <t>Tier 1. 선형 자료구조 &amp; 탐색 기본기</t>
        </is>
      </c>
      <c r="I91" s="294" t="inlineStr">
        <is>
          <t>덱/D3_덱_서준이의_되돌리기_가능한_문서_편집기</t>
        </is>
      </c>
      <c r="J91" s="292" t="inlineStr">
        <is>
          <t>✅ 6종 완비</t>
        </is>
      </c>
      <c r="K91" s="294" t="inlineStr">
        <is>
          <t>Lv.5 실전 응용 (스토리텔링)</t>
        </is>
      </c>
      <c r="L91" s="294" t="inlineStr">
        <is>
          <t>초등학교 프로그래밍 동아리 반장인 서준이는 가벼운 텍스트 편집기 프로그램을 직접 개발하고 있습니다. 서준이는 커서의 위치를 기준으로 왼쪽 글자들을 담는 덱(Left Deque)과 오른쪽 글자들을 담는 덱(Right ...</t>
        </is>
      </c>
      <c r="M91" s="294" t="inlineStr">
        <is>
          <t>-</t>
        </is>
      </c>
    </row>
    <row r="92" ht="20" customHeight="1" s="209">
      <c r="A92" s="287" t="n">
        <v>91</v>
      </c>
      <c r="B92" s="295" t="inlineStr">
        <is>
          <t>D3</t>
        </is>
      </c>
      <c r="C92" s="287" t="inlineStr">
        <is>
          <t>덱</t>
        </is>
      </c>
      <c r="D92" s="289" t="inlineStr">
        <is>
          <t>시우와_지아의_단어_카드_게임</t>
        </is>
      </c>
      <c r="E92" s="290" t="inlineStr">
        <is>
          <t>⬜ 대기</t>
        </is>
      </c>
      <c r="F92" s="287" t="inlineStr">
        <is>
          <t>-</t>
        </is>
      </c>
      <c r="G92" s="287" t="inlineStr">
        <is>
          <t>-</t>
        </is>
      </c>
      <c r="H92" s="291" t="inlineStr">
        <is>
          <t>Tier 1. 선형 자료구조 &amp; 탐색 기본기</t>
        </is>
      </c>
      <c r="I92" s="291" t="inlineStr">
        <is>
          <t>덱/D3_덱_시우와_지아의_단어_카드_게임</t>
        </is>
      </c>
      <c r="J92" s="287" t="inlineStr">
        <is>
          <t>✅ 6종 완비</t>
        </is>
      </c>
      <c r="K92" s="291" t="inlineStr">
        <is>
          <t>Lv.5 실전 응용 (스토리텔링)</t>
        </is>
      </c>
      <c r="L92" s="291" t="inlineStr">
        <is>
          <t>시우와 지아는 영어 알파벳 카드가 놓인 양방향 덱(Deque)을 가지고 재미있는 단어 게임을 하고 있습니다. 덱에는 처음에 단어 1글자짜리 카드 한 장이 들어있습니다.</t>
        </is>
      </c>
      <c r="M92" s="291" t="inlineStr">
        <is>
          <t>-</t>
        </is>
      </c>
    </row>
    <row r="93" ht="20" customHeight="1" s="209">
      <c r="A93" s="292" t="n">
        <v>92</v>
      </c>
      <c r="B93" s="295" t="inlineStr">
        <is>
          <t>D3</t>
        </is>
      </c>
      <c r="C93" s="292" t="inlineStr">
        <is>
          <t>덱</t>
        </is>
      </c>
      <c r="D93" s="293" t="inlineStr">
        <is>
          <t>풍선_터뜨리기</t>
        </is>
      </c>
      <c r="E93" s="290" t="inlineStr">
        <is>
          <t>⬜ 대기</t>
        </is>
      </c>
      <c r="F93" s="292" t="inlineStr">
        <is>
          <t>-</t>
        </is>
      </c>
      <c r="G93" s="292" t="inlineStr">
        <is>
          <t>-</t>
        </is>
      </c>
      <c r="H93" s="294" t="inlineStr">
        <is>
          <t>Tier 1. 선형 자료구조 &amp; 탐색 기본기</t>
        </is>
      </c>
      <c r="I93" s="294" t="inlineStr">
        <is>
          <t>덱/D3_덱_풍선_터뜨리기</t>
        </is>
      </c>
      <c r="J93" s="292" t="inlineStr">
        <is>
          <t>✅ 6종 완비</t>
        </is>
      </c>
      <c r="K93" s="294" t="inlineStr">
        <is>
          <t>Lv.5 실전 응용 (스토리텔링)</t>
        </is>
      </c>
      <c r="L93" s="294" t="inlineStr">
        <is>
          <t>서아는 유치원 생일 파티에서 친구들과 1번부터 N번까지 원형으로 둘러앉아 풍선 터뜨리기 게임을 하고 있습니다. 각 풍선 안에는 0이 아닌 정수 종이가 한 장씩 들어 있습니다.</t>
        </is>
      </c>
      <c r="M93" s="294" t="inlineStr">
        <is>
          <t>-</t>
        </is>
      </c>
    </row>
    <row r="94" ht="20" customHeight="1" s="209">
      <c r="A94" s="287" t="n">
        <v>93</v>
      </c>
      <c r="B94" s="295" t="inlineStr">
        <is>
          <t>D3</t>
        </is>
      </c>
      <c r="C94" s="287" t="inlineStr">
        <is>
          <t>덱</t>
        </is>
      </c>
      <c r="D94" s="289" t="inlineStr">
        <is>
          <t>하윤이의_체리_사탕_나누기</t>
        </is>
      </c>
      <c r="E94" s="290" t="inlineStr">
        <is>
          <t>⬜ 대기</t>
        </is>
      </c>
      <c r="F94" s="287" t="inlineStr">
        <is>
          <t>-</t>
        </is>
      </c>
      <c r="G94" s="287" t="inlineStr">
        <is>
          <t>-</t>
        </is>
      </c>
      <c r="H94" s="291" t="inlineStr">
        <is>
          <t>Tier 1. 선형 자료구조 &amp; 탐색 기본기</t>
        </is>
      </c>
      <c r="I94" s="291" t="inlineStr">
        <is>
          <t>덱/D3_덱_하윤이의_체리_사탕_나누기</t>
        </is>
      </c>
      <c r="J94" s="287" t="inlineStr">
        <is>
          <t>✅ 6종 완비</t>
        </is>
      </c>
      <c r="K94" s="291" t="inlineStr">
        <is>
          <t>Lv.5 실전 응용 (스토리텔링)</t>
        </is>
      </c>
      <c r="L94" s="291" t="inlineStr">
        <is>
          <t>어린이집에 다니는 하윤이는 친구들에게 맛있는 체리 사탕을 선물하려고 합니다. 하윤이 앞에는 N개의 체리 사탕이 컨베이어 벨트(덱) 위에 일렬로 놓여 있으며, 각 사탕에는 고유한 당도 점수가 적혀 있습니다.</t>
        </is>
      </c>
      <c r="M94" s="291" t="inlineStr">
        <is>
          <t>-</t>
        </is>
      </c>
    </row>
    <row r="95" ht="20" customHeight="1" s="209">
      <c r="A95" s="292" t="n">
        <v>94</v>
      </c>
      <c r="B95" s="296" t="inlineStr">
        <is>
          <t>D4</t>
        </is>
      </c>
      <c r="C95" s="292" t="inlineStr">
        <is>
          <t>덱</t>
        </is>
      </c>
      <c r="D95" s="293" t="inlineStr">
        <is>
          <t>0-1_BFS_격자_탈출</t>
        </is>
      </c>
      <c r="E95" s="290" t="inlineStr">
        <is>
          <t>⬜ 대기</t>
        </is>
      </c>
      <c r="F95" s="292" t="inlineStr">
        <is>
          <t>-</t>
        </is>
      </c>
      <c r="G95" s="292" t="inlineStr">
        <is>
          <t>-</t>
        </is>
      </c>
      <c r="H95" s="294" t="inlineStr">
        <is>
          <t>Tier 1. 선형 자료구조 &amp; 탐색 기본기</t>
        </is>
      </c>
      <c r="I95" s="294" t="inlineStr">
        <is>
          <t>덱/D4_덱_0-1_BFS_격자_탈출</t>
        </is>
      </c>
      <c r="J95" s="292" t="inlineStr">
        <is>
          <t>✅ 6종 완비</t>
        </is>
      </c>
      <c r="K95" s="294" t="inlineStr">
        <is>
          <t>Lv.6 복합 제약 &amp; 시공간 최적화</t>
        </is>
      </c>
      <c r="L95" s="294" t="inlineStr">
        <is>
          <t>R x C 크기의 미로 격자판이 있습니다. 각 칸은 빈 칸(0)이거나, 부술 수 있는 특수 방화벽(1)입니다.</t>
        </is>
      </c>
      <c r="M95" s="294" t="inlineStr">
        <is>
          <t>-</t>
        </is>
      </c>
    </row>
    <row r="96" ht="20" customHeight="1" s="209">
      <c r="A96" s="287" t="n">
        <v>95</v>
      </c>
      <c r="B96" s="296" t="inlineStr">
        <is>
          <t>D4</t>
        </is>
      </c>
      <c r="C96" s="287" t="inlineStr">
        <is>
          <t>덱</t>
        </is>
      </c>
      <c r="D96" s="289" t="inlineStr">
        <is>
          <t>AC_언어_뒤집기와_버리기</t>
        </is>
      </c>
      <c r="E96" s="290" t="inlineStr">
        <is>
          <t>⬜ 대기</t>
        </is>
      </c>
      <c r="F96" s="287" t="inlineStr">
        <is>
          <t>-</t>
        </is>
      </c>
      <c r="G96" s="287" t="inlineStr">
        <is>
          <t>-</t>
        </is>
      </c>
      <c r="H96" s="291" t="inlineStr">
        <is>
          <t>Tier 1. 선형 자료구조 &amp; 탐색 기본기</t>
        </is>
      </c>
      <c r="I96" s="291" t="inlineStr">
        <is>
          <t>덱/D4_덱_AC_언어_뒤집기와_버리기</t>
        </is>
      </c>
      <c r="J96" s="287" t="inlineStr">
        <is>
          <t>✅ 6종 완비</t>
        </is>
      </c>
      <c r="K96" s="291" t="inlineStr">
        <is>
          <t>Lv.6 복합 제약 &amp; 시공간 최적화</t>
        </is>
      </c>
      <c r="L96" s="291" t="inlineStr">
        <is>
          <t>특수 프로그래밍 언어 'AC'는 정수 배열을 연산하기 위한 두 가지 핵심 함수 R과 D를 제공합니다. - 함수 `R`은 배열에 있는 수의 순서를 뒤집는 함수이고,</t>
        </is>
      </c>
      <c r="M96" s="291" t="inlineStr">
        <is>
          <t>-</t>
        </is>
      </c>
    </row>
    <row r="97" ht="20" customHeight="1" s="209">
      <c r="A97" s="292" t="n">
        <v>96</v>
      </c>
      <c r="B97" s="296" t="inlineStr">
        <is>
          <t>D4</t>
        </is>
      </c>
      <c r="C97" s="292" t="inlineStr">
        <is>
          <t>덱</t>
        </is>
      </c>
      <c r="D97" s="293" t="inlineStr">
        <is>
          <t>수열_구간_차이_모노톤덱_최적화</t>
        </is>
      </c>
      <c r="E97" s="290" t="inlineStr">
        <is>
          <t>⬜ 대기</t>
        </is>
      </c>
      <c r="F97" s="292" t="inlineStr">
        <is>
          <t>-</t>
        </is>
      </c>
      <c r="G97" s="292" t="inlineStr">
        <is>
          <t>-</t>
        </is>
      </c>
      <c r="H97" s="294" t="inlineStr">
        <is>
          <t>Tier 1. 선형 자료구조 &amp; 탐색 기본기</t>
        </is>
      </c>
      <c r="I97" s="294" t="inlineStr">
        <is>
          <t>덱/D4_덱_수열_구간_차이_모노톤덱_최적화</t>
        </is>
      </c>
      <c r="J97" s="292" t="inlineStr">
        <is>
          <t>✅ 6종 완비</t>
        </is>
      </c>
      <c r="K97" s="294" t="inlineStr">
        <is>
          <t>Lv.6 복합 제약 &amp; 시공간 최적화</t>
        </is>
      </c>
      <c r="L97" s="294" t="inlineStr">
        <is>
          <t>길이가 N인 정수 수열 A와 임계값 K가 주어집니다. 수열의 연속된 부분 구간 [left, right]에 대하여, 구간 내의 최댓값과 최솟값의 차이가 K 이하인 구간을 '안정 구간'이라고 부릅니다:</t>
        </is>
      </c>
      <c r="M97" s="294" t="inlineStr">
        <is>
          <t>-</t>
        </is>
      </c>
    </row>
    <row r="98" ht="20" customHeight="1" s="209">
      <c r="A98" s="287" t="n">
        <v>97</v>
      </c>
      <c r="B98" s="296" t="inlineStr">
        <is>
          <t>D4</t>
        </is>
      </c>
      <c r="C98" s="287" t="inlineStr">
        <is>
          <t>덱</t>
        </is>
      </c>
      <c r="D98" s="289" t="inlineStr">
        <is>
          <t>순환_열차_동적_재배치_최적화</t>
        </is>
      </c>
      <c r="E98" s="290" t="inlineStr">
        <is>
          <t>⬜ 대기</t>
        </is>
      </c>
      <c r="F98" s="287" t="inlineStr">
        <is>
          <t>-</t>
        </is>
      </c>
      <c r="G98" s="287" t="inlineStr">
        <is>
          <t>-</t>
        </is>
      </c>
      <c r="H98" s="291" t="inlineStr">
        <is>
          <t>Tier 1. 선형 자료구조 &amp; 탐색 기본기</t>
        </is>
      </c>
      <c r="I98" s="291" t="inlineStr">
        <is>
          <t>덱/D4_덱_순환_열차_동적_재배치_최적화</t>
        </is>
      </c>
      <c r="J98" s="287" t="inlineStr">
        <is>
          <t>✅ 6종 완비</t>
        </is>
      </c>
      <c r="K98" s="291" t="inlineStr">
        <is>
          <t>Lv.6 복합 제약 &amp; 시공간 최적화</t>
        </is>
      </c>
      <c r="L98" s="291" t="inlineStr">
        <is>
          <t>철도 물류 허브 터미널에서는 N량의 화물 열차 칸을 앞(Front)과 뒤(Back) 양방향으로 입환(Shunting) 및 재배치하는 작업을 수행합니다. 각 화물차는 고유한 중량 W를 지니고 있으며, 작업 중 기관차가...</t>
        </is>
      </c>
      <c r="M98" s="291" t="inlineStr">
        <is>
          <t>-</t>
        </is>
      </c>
    </row>
    <row r="99" ht="20" customHeight="1" s="209">
      <c r="A99" s="292" t="n">
        <v>98</v>
      </c>
      <c r="B99" s="296" t="inlineStr">
        <is>
          <t>D4</t>
        </is>
      </c>
      <c r="C99" s="292" t="inlineStr">
        <is>
          <t>덱</t>
        </is>
      </c>
      <c r="D99" s="293" t="inlineStr">
        <is>
          <t>슬라이딩_윈도우_최댓값_모노톤덱</t>
        </is>
      </c>
      <c r="E99" s="290" t="inlineStr">
        <is>
          <t>⬜ 대기</t>
        </is>
      </c>
      <c r="F99" s="292" t="inlineStr">
        <is>
          <t>-</t>
        </is>
      </c>
      <c r="G99" s="292" t="inlineStr">
        <is>
          <t>-</t>
        </is>
      </c>
      <c r="H99" s="294" t="inlineStr">
        <is>
          <t>Tier 1. 선형 자료구조 &amp; 탐색 기본기</t>
        </is>
      </c>
      <c r="I99" s="294" t="inlineStr">
        <is>
          <t>덱/D4_덱_슬라이딩_윈도우_최댓값_모노톤덱</t>
        </is>
      </c>
      <c r="J99" s="292" t="inlineStr">
        <is>
          <t>✅ 6종 완비</t>
        </is>
      </c>
      <c r="K99" s="294" t="inlineStr">
        <is>
          <t>Lv.6 복합 제약 &amp; 시공간 최적화</t>
        </is>
      </c>
      <c r="L99" s="294" t="inlineStr">
        <is>
          <t>길이가 N인 수열 A와 윈도우의 크기 L이 주어집니다. 윈도우가 수열의 왼쪽부터 오른쪽으로 한 칸씩 이동할 때, 매 순간 윈도우 안에 포함된 원소들 중 최댓값을 모두 구해야 합니다.</t>
        </is>
      </c>
      <c r="M99" s="294" t="inlineStr">
        <is>
          <t>-</t>
        </is>
      </c>
    </row>
    <row r="100" ht="20" customHeight="1" s="209">
      <c r="A100" s="287" t="n">
        <v>99</v>
      </c>
      <c r="B100" s="295" t="inlineStr">
        <is>
          <t>D3</t>
        </is>
      </c>
      <c r="C100" s="287" t="inlineStr">
        <is>
          <t>문자열</t>
        </is>
      </c>
      <c r="D100" s="289" t="inlineStr">
        <is>
          <t>KMP_부분문자열_탐색</t>
        </is>
      </c>
      <c r="E100" s="290" t="inlineStr">
        <is>
          <t>⬜ 대기</t>
        </is>
      </c>
      <c r="F100" s="287" t="inlineStr">
        <is>
          <t>-</t>
        </is>
      </c>
      <c r="G100" s="287" t="inlineStr">
        <is>
          <t>-</t>
        </is>
      </c>
      <c r="H100" s="291" t="inlineStr">
        <is>
          <t>Tier 4. 동적 계획법 &amp; 고급 탐색 (A형 심화)</t>
        </is>
      </c>
      <c r="I100" s="291" t="inlineStr">
        <is>
          <t>문자열/D3_문자열_KMP_부분문자열_탐색</t>
        </is>
      </c>
      <c r="J100" s="287" t="inlineStr">
        <is>
          <t>✅ 6종 완비</t>
        </is>
      </c>
      <c r="K100" s="291" t="inlineStr">
        <is>
          <t>Lv.5 실전 응용 (스토리텔링)</t>
        </is>
      </c>
      <c r="L100" s="291" t="inlineStr">
        <is>
          <t>도서관 정보 검색실의 로운이는 방대한 고문서 텍스트 속에서 특정 고유 패턴이 나타나는 모든 위치를 KMP 알고리즘으로 빠르게 검색하고 있다. SSAFY 검색 엔진 팀에서 텍스트 문서 T 내에서 검색 키워드 패턴 P가...</t>
        </is>
      </c>
      <c r="M100" s="291" t="inlineStr">
        <is>
          <t>-</t>
        </is>
      </c>
    </row>
    <row r="101" ht="20" customHeight="1" s="209">
      <c r="A101" s="292" t="n">
        <v>100</v>
      </c>
      <c r="B101" s="288" t="inlineStr">
        <is>
          <t>D2</t>
        </is>
      </c>
      <c r="C101" s="292" t="inlineStr">
        <is>
          <t>부분집합</t>
        </is>
      </c>
      <c r="D101" s="293" t="inlineStr">
        <is>
          <t>배낭_무게_한도</t>
        </is>
      </c>
      <c r="E101" s="290" t="inlineStr">
        <is>
          <t>⬜ 대기</t>
        </is>
      </c>
      <c r="F101" s="292" t="inlineStr">
        <is>
          <t>-</t>
        </is>
      </c>
      <c r="G101" s="292" t="inlineStr">
        <is>
          <t>-</t>
        </is>
      </c>
      <c r="H101" s="294" t="inlineStr">
        <is>
          <t>Tier 2. 완전 탐색 &amp; 백트래킹 (A형 핵심)</t>
        </is>
      </c>
      <c r="I101" s="294" t="inlineStr">
        <is>
          <t>부분집합/D2_부분집합_배낭_무게_한도</t>
        </is>
      </c>
      <c r="J101" s="292" t="inlineStr">
        <is>
          <t>✅ 6종 완비</t>
        </is>
      </c>
      <c r="K101" s="294" t="inlineStr">
        <is>
          <t>Lv.4 경계완충/징검다리</t>
        </is>
      </c>
      <c r="L101" s="294" t="inlineStr">
        <is>
          <t>등산객이 챙길 수 있는 N개의 캠핑 물품이 있습니다. 각 물품 i는 무게 W_i와 가치 V_i를 가집니다.</t>
        </is>
      </c>
      <c r="M101" s="294" t="inlineStr">
        <is>
          <t>-</t>
        </is>
      </c>
    </row>
    <row r="102" ht="20" customHeight="1" s="209">
      <c r="A102" s="287" t="n">
        <v>101</v>
      </c>
      <c r="B102" s="288" t="inlineStr">
        <is>
          <t>D2</t>
        </is>
      </c>
      <c r="C102" s="287" t="inlineStr">
        <is>
          <t>부분집합</t>
        </is>
      </c>
      <c r="D102" s="289" t="inlineStr">
        <is>
          <t>부분수열의_합</t>
        </is>
      </c>
      <c r="E102" s="290" t="inlineStr">
        <is>
          <t>⬜ 대기</t>
        </is>
      </c>
      <c r="F102" s="287" t="inlineStr">
        <is>
          <t>-</t>
        </is>
      </c>
      <c r="G102" s="287" t="inlineStr">
        <is>
          <t>-</t>
        </is>
      </c>
      <c r="H102" s="291" t="inlineStr">
        <is>
          <t>Tier 2. 완전 탐색 &amp; 백트래킹 (A형 핵심)</t>
        </is>
      </c>
      <c r="I102" s="291" t="inlineStr">
        <is>
          <t>부분집합/D2_부분집합_부분수열의_합</t>
        </is>
      </c>
      <c r="J102" s="287" t="inlineStr">
        <is>
          <t>✅ 6종 완비</t>
        </is>
      </c>
      <c r="K102" s="291" t="inlineStr">
        <is>
          <t>Lv.4 경계완충/징검다리</t>
        </is>
      </c>
      <c r="L102" s="291" t="inlineStr">
        <is>
          <t>N개의 정수로 이루어진 수열이 주어집니다. 크기가 양수인 부분집합(원소 개수 1개 이상) 중에서 그 원소의 합이 정확히 S가 되는 경우의 수를 구하시오.</t>
        </is>
      </c>
      <c r="M102" s="291" t="inlineStr">
        <is>
          <t>-</t>
        </is>
      </c>
    </row>
    <row r="103" ht="20" customHeight="1" s="209">
      <c r="A103" s="292" t="n">
        <v>102</v>
      </c>
      <c r="B103" s="288" t="inlineStr">
        <is>
          <t>D2</t>
        </is>
      </c>
      <c r="C103" s="292" t="inlineStr">
        <is>
          <t>부분집합</t>
        </is>
      </c>
      <c r="D103" s="293" t="inlineStr">
        <is>
          <t>부분집합에_대해서</t>
        </is>
      </c>
      <c r="E103" s="290" t="inlineStr">
        <is>
          <t>⬜ 대기</t>
        </is>
      </c>
      <c r="F103" s="292" t="inlineStr">
        <is>
          <t>-</t>
        </is>
      </c>
      <c r="G103" s="292" t="inlineStr">
        <is>
          <t>-</t>
        </is>
      </c>
      <c r="H103" s="294" t="inlineStr">
        <is>
          <t>Tier 2. 완전 탐색 &amp; 백트래킹 (A형 핵심)</t>
        </is>
      </c>
      <c r="I103" s="294" t="inlineStr">
        <is>
          <t>부분집합/D2_부분집합_부분집합에_대해서</t>
        </is>
      </c>
      <c r="J103" s="292" t="inlineStr">
        <is>
          <t>✅ 6종 완비</t>
        </is>
      </c>
      <c r="K103" s="294" t="inlineStr">
        <is>
          <t>Lv.3 개념뼈대 완결</t>
        </is>
      </c>
      <c r="L103" s="294" t="inlineStr">
        <is>
          <t>1부터 N까지의 자연수로 이루어진 집합의 모든 부분집합(공집합 제외)을 비트마스크 오름차순(001부터 111... 순서)으로 출력하는 프로그램을 작성하십시오.</t>
        </is>
      </c>
      <c r="M103" s="294" t="inlineStr">
        <is>
          <t>-</t>
        </is>
      </c>
    </row>
    <row r="104" ht="20" customHeight="1" s="209">
      <c r="A104" s="287" t="n">
        <v>103</v>
      </c>
      <c r="B104" s="288" t="inlineStr">
        <is>
          <t>D2</t>
        </is>
      </c>
      <c r="C104" s="287" t="inlineStr">
        <is>
          <t>부분집합</t>
        </is>
      </c>
      <c r="D104" s="289" t="inlineStr">
        <is>
          <t>요거트볼_토핑</t>
        </is>
      </c>
      <c r="E104" s="290" t="inlineStr">
        <is>
          <t>⬜ 대기</t>
        </is>
      </c>
      <c r="F104" s="287" t="inlineStr">
        <is>
          <t>-</t>
        </is>
      </c>
      <c r="G104" s="287" t="inlineStr">
        <is>
          <t>-</t>
        </is>
      </c>
      <c r="H104" s="291" t="inlineStr">
        <is>
          <t>Tier 2. 완전 탐색 &amp; 백트래킹 (A형 핵심)</t>
        </is>
      </c>
      <c r="I104" s="291" t="inlineStr">
        <is>
          <t>부분집합/D2_부분집합_요거트볼_토핑</t>
        </is>
      </c>
      <c r="J104" s="287" t="inlineStr">
        <is>
          <t>✅ 6종 완비</t>
        </is>
      </c>
      <c r="K104" s="291" t="inlineStr">
        <is>
          <t>Lv.4 경계완충/징검다리</t>
        </is>
      </c>
      <c r="L104" s="291" t="inlineStr">
        <is>
          <t>그릭 요거트 매장에서 N가지 과일 토핑(딸기, 바나나, 망고, 블루베리 등) 각각을 요거트볼에 넣을지 말지 자유롭게 선택할 수 있습니다. 단, 최소 1개 이상의 토핑을 선택해야 합니다.</t>
        </is>
      </c>
      <c r="M104" s="291" t="inlineStr">
        <is>
          <t>-</t>
        </is>
      </c>
    </row>
    <row r="105" ht="20" customHeight="1" s="209">
      <c r="A105" s="292" t="n">
        <v>104</v>
      </c>
      <c r="B105" s="288" t="inlineStr">
        <is>
          <t>D2</t>
        </is>
      </c>
      <c r="C105" s="292" t="inlineStr">
        <is>
          <t>부분집합</t>
        </is>
      </c>
      <c r="D105" s="293" t="inlineStr">
        <is>
          <t>원소의_합_K_존재여부</t>
        </is>
      </c>
      <c r="E105" s="290" t="inlineStr">
        <is>
          <t>⬜ 대기</t>
        </is>
      </c>
      <c r="F105" s="292" t="inlineStr">
        <is>
          <t>-</t>
        </is>
      </c>
      <c r="G105" s="292" t="inlineStr">
        <is>
          <t>-</t>
        </is>
      </c>
      <c r="H105" s="294" t="inlineStr">
        <is>
          <t>Tier 2. 완전 탐색 &amp; 백트래킹 (A형 핵심)</t>
        </is>
      </c>
      <c r="I105" s="294" t="inlineStr">
        <is>
          <t>부분집합/D2_부분집합_원소의_합_K_존재여부</t>
        </is>
      </c>
      <c r="J105" s="292" t="inlineStr">
        <is>
          <t>✅ 6종 완비</t>
        </is>
      </c>
      <c r="K105" s="294" t="inlineStr">
        <is>
          <t>Lv.4 경계완충/징검다리</t>
        </is>
      </c>
      <c r="L105" s="294" t="inlineStr">
        <is>
          <t>N개의 자연수와 목표 합 K가 주어질 때, 공집합이 아닌 부분집합 중 원소의 합이 K가 되는 것이 존재하면 "YES", 존재하지 않으면 "NO"를 출력하십시오.</t>
        </is>
      </c>
      <c r="M105" s="294" t="inlineStr">
        <is>
          <t>-</t>
        </is>
      </c>
    </row>
    <row r="106" ht="20" customHeight="1" s="209">
      <c r="A106" s="287" t="n">
        <v>105</v>
      </c>
      <c r="B106" s="295" t="inlineStr">
        <is>
          <t>D3</t>
        </is>
      </c>
      <c r="C106" s="287" t="inlineStr">
        <is>
          <t>부분집합</t>
        </is>
      </c>
      <c r="D106" s="289" t="inlineStr">
        <is>
          <t>서준이의_부분수열의_합_경우의수</t>
        </is>
      </c>
      <c r="E106" s="290" t="inlineStr">
        <is>
          <t>⬜ 대기</t>
        </is>
      </c>
      <c r="F106" s="287" t="inlineStr">
        <is>
          <t>-</t>
        </is>
      </c>
      <c r="G106" s="287" t="inlineStr">
        <is>
          <t>-</t>
        </is>
      </c>
      <c r="H106" s="291" t="inlineStr">
        <is>
          <t>Tier 2. 완전 탐색 &amp; 백트래킹 (A형 핵심)</t>
        </is>
      </c>
      <c r="I106" s="291" t="inlineStr">
        <is>
          <t>부분집합/D3_부분집합_서준이의_부분수열의_합_경우의수</t>
        </is>
      </c>
      <c r="J106" s="287" t="inlineStr">
        <is>
          <t>✅ 6종 완비</t>
        </is>
      </c>
      <c r="K106" s="291" t="inlineStr">
        <is>
          <t>Lv.5 실전 응용 (스토리텔링)</t>
        </is>
      </c>
      <c r="L106" s="291" t="inlineStr">
        <is>
          <t>알고리즘 문제 풀이를 즐기는 서준이는 크기가 N인 정수 수열 A를 분석하고 있습니다. 서준이는 수열 A의 공집합이 아닌 부분집합(부분수열)들 중에서, 원소들을 모두 더한 합이 정확히 S가 되는 경우의 수가 총 몇 개...</t>
        </is>
      </c>
      <c r="M106" s="291" t="inlineStr">
        <is>
          <t>-</t>
        </is>
      </c>
    </row>
    <row r="107" ht="20" customHeight="1" s="209">
      <c r="A107" s="292" t="n">
        <v>106</v>
      </c>
      <c r="B107" s="295" t="inlineStr">
        <is>
          <t>D3</t>
        </is>
      </c>
      <c r="C107" s="292" t="inlineStr">
        <is>
          <t>부분집합</t>
        </is>
      </c>
      <c r="D107" s="293" t="inlineStr">
        <is>
          <t>스도쿠_후보숫자_마스킹</t>
        </is>
      </c>
      <c r="E107" s="290" t="inlineStr">
        <is>
          <t>⬜ 대기</t>
        </is>
      </c>
      <c r="F107" s="292" t="inlineStr">
        <is>
          <t>-</t>
        </is>
      </c>
      <c r="G107" s="292" t="inlineStr">
        <is>
          <t>-</t>
        </is>
      </c>
      <c r="H107" s="294" t="inlineStr">
        <is>
          <t>Tier 2. 완전 탐색 &amp; 백트래킹 (A형 핵심)</t>
        </is>
      </c>
      <c r="I107" s="294" t="inlineStr">
        <is>
          <t>부분집합/D3_부분집합_스도쿠_후보숫자_마스킹</t>
        </is>
      </c>
      <c r="J107" s="292" t="inlineStr">
        <is>
          <t>✅ 6종 완비</t>
        </is>
      </c>
      <c r="K107" s="294" t="inlineStr">
        <is>
          <t>Lv.5 실전 응용 (스토리텔링)</t>
        </is>
      </c>
      <c r="L107" s="294" t="inlineStr">
        <is>
          <t>퍼즐 동아리의 서아는 스도쿠 빈칸에 들어갈 수 있는 후보 숫자들을 비트마스크 부분집합으로 표현하여 유효성을 판별하고 있다. 1부터 9까지의 숫자가 사용되는 스도쿠에서, 특정 빈 칸과 같은 행, 같은 열, 같은 3x3...</t>
        </is>
      </c>
      <c r="M107" s="294" t="inlineStr">
        <is>
          <t>-</t>
        </is>
      </c>
    </row>
    <row r="108" ht="20" customHeight="1" s="209">
      <c r="A108" s="287" t="n">
        <v>107</v>
      </c>
      <c r="B108" s="295" t="inlineStr">
        <is>
          <t>D3</t>
        </is>
      </c>
      <c r="C108" s="287" t="inlineStr">
        <is>
          <t>부분집합</t>
        </is>
      </c>
      <c r="D108" s="289" t="inlineStr">
        <is>
          <t>원소의_합_균등분할</t>
        </is>
      </c>
      <c r="E108" s="290" t="inlineStr">
        <is>
          <t>⬜ 대기</t>
        </is>
      </c>
      <c r="F108" s="287" t="inlineStr">
        <is>
          <t>-</t>
        </is>
      </c>
      <c r="G108" s="287" t="inlineStr">
        <is>
          <t>-</t>
        </is>
      </c>
      <c r="H108" s="291" t="inlineStr">
        <is>
          <t>Tier 2. 완전 탐색 &amp; 백트래킹 (A형 핵심)</t>
        </is>
      </c>
      <c r="I108" s="291" t="inlineStr">
        <is>
          <t>부분집합/D3_부분집합_원소의_합_균등분할</t>
        </is>
      </c>
      <c r="J108" s="287" t="inlineStr">
        <is>
          <t>✅ 6종 완비</t>
        </is>
      </c>
      <c r="K108" s="291" t="inlineStr">
        <is>
          <t>Lv.5 실전 응용 (스토리텔링)</t>
        </is>
      </c>
      <c r="L108" s="291" t="inlineStr">
        <is>
          <t>보석 세공사 아윤이는 수집한 원석들을 두 개의 상자에 담을 때 두 상자의 총 가치가 정확히 같아지도록 부분집합을 분할하고자 한다. N개의 자연수로 구성된 집합이 주어집니다.</t>
        </is>
      </c>
      <c r="M108" s="291" t="inlineStr">
        <is>
          <t>-</t>
        </is>
      </c>
    </row>
    <row r="109" ht="20" customHeight="1" s="209">
      <c r="A109" s="292" t="n">
        <v>108</v>
      </c>
      <c r="B109" s="295" t="inlineStr">
        <is>
          <t>D3</t>
        </is>
      </c>
      <c r="C109" s="292" t="inlineStr">
        <is>
          <t>부분집합</t>
        </is>
      </c>
      <c r="D109" s="293" t="inlineStr">
        <is>
          <t>유준이의_식재료_궁합_부분집합</t>
        </is>
      </c>
      <c r="E109" s="290" t="inlineStr">
        <is>
          <t>⬜ 대기</t>
        </is>
      </c>
      <c r="F109" s="292" t="inlineStr">
        <is>
          <t>-</t>
        </is>
      </c>
      <c r="G109" s="292" t="inlineStr">
        <is>
          <t>-</t>
        </is>
      </c>
      <c r="H109" s="294" t="inlineStr">
        <is>
          <t>Tier 2. 완전 탐색 &amp; 백트래킹 (A형 핵심)</t>
        </is>
      </c>
      <c r="I109" s="294" t="inlineStr">
        <is>
          <t>부분집합/D3_부분집합_유준이의_식재료_궁합_부분집합</t>
        </is>
      </c>
      <c r="J109" s="292" t="inlineStr">
        <is>
          <t>✅ 6종 완비</t>
        </is>
      </c>
      <c r="K109" s="294" t="inlineStr">
        <is>
          <t>Lv.5 실전 응용 (스토리텔링)</t>
        </is>
      </c>
      <c r="L109" s="294" t="inlineStr">
        <is>
          <t>요리 연구가를 꿈꾸는 유준이는 N개의 식재료를 조합하여 특별한 소스를 만들고 있습니다. 각 식재료는 고유한 신맛(S)과 쓴맛(B) 수치를 가지고 있습니다.</t>
        </is>
      </c>
      <c r="M109" s="294" t="inlineStr">
        <is>
          <t>-</t>
        </is>
      </c>
    </row>
    <row r="110" ht="20" customHeight="1" s="209">
      <c r="A110" s="287" t="n">
        <v>109</v>
      </c>
      <c r="B110" s="295" t="inlineStr">
        <is>
          <t>D3</t>
        </is>
      </c>
      <c r="C110" s="287" t="inlineStr">
        <is>
          <t>부분집합</t>
        </is>
      </c>
      <c r="D110" s="289" t="inlineStr">
        <is>
          <t>지아의_균형잡힌_장보기_무게</t>
        </is>
      </c>
      <c r="E110" s="290" t="inlineStr">
        <is>
          <t>⬜ 대기</t>
        </is>
      </c>
      <c r="F110" s="287" t="inlineStr">
        <is>
          <t>-</t>
        </is>
      </c>
      <c r="G110" s="287" t="inlineStr">
        <is>
          <t>-</t>
        </is>
      </c>
      <c r="H110" s="291" t="inlineStr">
        <is>
          <t>Tier 2. 완전 탐색 &amp; 백트래킹 (A형 핵심)</t>
        </is>
      </c>
      <c r="I110" s="291" t="inlineStr">
        <is>
          <t>부분집합/D3_부분집합_지아의_균형잡힌_장보기_무게</t>
        </is>
      </c>
      <c r="J110" s="287" t="inlineStr">
        <is>
          <t>✅ 6종 완비</t>
        </is>
      </c>
      <c r="K110" s="291" t="inlineStr">
        <is>
          <t>Lv.5 실전 응용 (스토리텔링)</t>
        </is>
      </c>
      <c r="L110" s="291" t="inlineStr">
        <is>
          <t>주말에 마트에서 장을 보는 지아는 장바구니의 제한 무게 W를 넘지 않으면서, 구매하려는 물건들의 무게 합을 최대한 W에 가깝게 채우고자 합니다.</t>
        </is>
      </c>
      <c r="M110" s="291" t="inlineStr">
        <is>
          <t>-</t>
        </is>
      </c>
    </row>
    <row r="111" ht="20" customHeight="1" s="209">
      <c r="A111" s="292" t="n">
        <v>110</v>
      </c>
      <c r="B111" s="296" t="inlineStr">
        <is>
          <t>D4</t>
        </is>
      </c>
      <c r="C111" s="292" t="inlineStr">
        <is>
          <t>부분집합</t>
        </is>
      </c>
      <c r="D111" s="293" t="inlineStr">
        <is>
          <t>격자_도미노_비트마스크</t>
        </is>
      </c>
      <c r="E111" s="290" t="inlineStr">
        <is>
          <t>⬜ 대기</t>
        </is>
      </c>
      <c r="F111" s="292" t="inlineStr">
        <is>
          <t>-</t>
        </is>
      </c>
      <c r="G111" s="292" t="inlineStr">
        <is>
          <t>-</t>
        </is>
      </c>
      <c r="H111" s="294" t="inlineStr">
        <is>
          <t>Tier 2. 완전 탐색 &amp; 백트래킹 (A형 핵심)</t>
        </is>
      </c>
      <c r="I111" s="294" t="inlineStr">
        <is>
          <t>부분집합/D4_부분집합_격자_도미노_비트마스크</t>
        </is>
      </c>
      <c r="J111" s="292" t="inlineStr">
        <is>
          <t>✅ 6종 완비</t>
        </is>
      </c>
      <c r="K111" s="294" t="inlineStr">
        <is>
          <t>Lv.6 복합 제약 &amp; 시공간 최적화</t>
        </is>
      </c>
      <c r="L111" s="294" t="inlineStr">
        <is>
          <t>2 x N 크기의 직사각형 벽면을 2 x 1 크기의 도미노 블록들로 빈틈없이 채우려고 합니다. 단, 벽면 중 특정 K개의 1 x 1 칸은 이미 파손되어 블록을 놓을 수 없습니다.</t>
        </is>
      </c>
      <c r="M111" s="294" t="inlineStr">
        <is>
          <t>-</t>
        </is>
      </c>
    </row>
    <row r="112" ht="20" customHeight="1" s="209">
      <c r="A112" s="287" t="n">
        <v>111</v>
      </c>
      <c r="B112" s="296" t="inlineStr">
        <is>
          <t>D4</t>
        </is>
      </c>
      <c r="C112" s="287" t="inlineStr">
        <is>
          <t>부분집합</t>
        </is>
      </c>
      <c r="D112" s="289" t="inlineStr">
        <is>
          <t>두_부분배열의_합_중간에서_만나기</t>
        </is>
      </c>
      <c r="E112" s="290" t="inlineStr">
        <is>
          <t>⬜ 대기</t>
        </is>
      </c>
      <c r="F112" s="287" t="inlineStr">
        <is>
          <t>-</t>
        </is>
      </c>
      <c r="G112" s="287" t="inlineStr">
        <is>
          <t>-</t>
        </is>
      </c>
      <c r="H112" s="291" t="inlineStr">
        <is>
          <t>Tier 2. 완전 탐색 &amp; 백트래킹 (A형 핵심)</t>
        </is>
      </c>
      <c r="I112" s="291" t="inlineStr">
        <is>
          <t>부분집합/D4_부분집합_두_부분배열의_합_중간에서_만나기</t>
        </is>
      </c>
      <c r="J112" s="287" t="inlineStr">
        <is>
          <t>✅ 6종 완비</t>
        </is>
      </c>
      <c r="K112" s="291" t="inlineStr">
        <is>
          <t>Lv.6 복합 제약 &amp; 시공간 최적화</t>
        </is>
      </c>
      <c r="L112" s="291" t="inlineStr">
        <is>
          <t>주어진 수열 A에서 부분집합의 합이 S가 되는 경우의 수를 구하십시오.</t>
        </is>
      </c>
      <c r="M112" s="291" t="inlineStr">
        <is>
          <t>-</t>
        </is>
      </c>
    </row>
    <row r="113" ht="20" customHeight="1" s="209">
      <c r="A113" s="292" t="n">
        <v>112</v>
      </c>
      <c r="B113" s="296" t="inlineStr">
        <is>
          <t>D4</t>
        </is>
      </c>
      <c r="C113" s="292" t="inlineStr">
        <is>
          <t>부분집합</t>
        </is>
      </c>
      <c r="D113" s="293" t="inlineStr">
        <is>
          <t>비트마스크_동적계획법_집합_분할</t>
        </is>
      </c>
      <c r="E113" s="290" t="inlineStr">
        <is>
          <t>⬜ 대기</t>
        </is>
      </c>
      <c r="F113" s="292" t="inlineStr">
        <is>
          <t>-</t>
        </is>
      </c>
      <c r="G113" s="292" t="inlineStr">
        <is>
          <t>-</t>
        </is>
      </c>
      <c r="H113" s="294" t="inlineStr">
        <is>
          <t>Tier 2. 완전 탐색 &amp; 백트래킹 (A형 핵심)</t>
        </is>
      </c>
      <c r="I113" s="294" t="inlineStr">
        <is>
          <t>부분집합/D4_부분집합_비트마스크_동적계획법_집합_분할</t>
        </is>
      </c>
      <c r="J113" s="292" t="inlineStr">
        <is>
          <t>✅ 6종 완비</t>
        </is>
      </c>
      <c r="K113" s="294" t="inlineStr">
        <is>
          <t>Lv.6 복합 제약 &amp; 시공간 최적화</t>
        </is>
      </c>
      <c r="L113" s="294" t="inlineStr">
        <is>
          <t>주어진 N개의 작업 시간과 서버 용량 C에 대해 모든 작업을 완료하기 위해 필요한 최소 서버 대수를 구하십시오.</t>
        </is>
      </c>
      <c r="M113" s="294" t="inlineStr">
        <is>
          <t>-</t>
        </is>
      </c>
    </row>
    <row r="114" ht="20" customHeight="1" s="209">
      <c r="A114" s="287" t="n">
        <v>113</v>
      </c>
      <c r="B114" s="296" t="inlineStr">
        <is>
          <t>D4</t>
        </is>
      </c>
      <c r="C114" s="287" t="inlineStr">
        <is>
          <t>부분집합</t>
        </is>
      </c>
      <c r="D114" s="289" t="inlineStr">
        <is>
          <t>비트마스크_시너지_극대화</t>
        </is>
      </c>
      <c r="E114" s="290" t="inlineStr">
        <is>
          <t>⬜ 대기</t>
        </is>
      </c>
      <c r="F114" s="287" t="inlineStr">
        <is>
          <t>-</t>
        </is>
      </c>
      <c r="G114" s="287" t="inlineStr">
        <is>
          <t>-</t>
        </is>
      </c>
      <c r="H114" s="291" t="inlineStr">
        <is>
          <t>Tier 2. 완전 탐색 &amp; 백트래킹 (A형 핵심)</t>
        </is>
      </c>
      <c r="I114" s="291" t="inlineStr">
        <is>
          <t>부분집합/D4_부분집합_비트마스크_시너지_극대화</t>
        </is>
      </c>
      <c r="J114" s="287" t="inlineStr">
        <is>
          <t>✅ 6종 완비</t>
        </is>
      </c>
      <c r="K114" s="291" t="inlineStr">
        <is>
          <t>Lv.6 복합 제약 &amp; 시공간 최적화</t>
        </is>
      </c>
      <c r="L114" s="291" t="inlineStr">
        <is>
          <t>호텔 셰프가 N가지 과일(0번부터 N-1번)을 조합하여 새로운 시그니처 샐러드를 개발하려고 합니다. 각 과일 i는 단독으로 포함되었을 때 고유한 기본 만족도 P_i를 제공합니다.</t>
        </is>
      </c>
      <c r="M114" s="291" t="inlineStr">
        <is>
          <t>-</t>
        </is>
      </c>
    </row>
    <row r="115" ht="20" customHeight="1" s="209">
      <c r="A115" s="292" t="n">
        <v>114</v>
      </c>
      <c r="B115" s="296" t="inlineStr">
        <is>
          <t>D4</t>
        </is>
      </c>
      <c r="C115" s="292" t="inlineStr">
        <is>
          <t>부분집합</t>
        </is>
      </c>
      <c r="D115" s="293" t="inlineStr">
        <is>
          <t>비트마스크_외판원_DP</t>
        </is>
      </c>
      <c r="E115" s="290" t="inlineStr">
        <is>
          <t>⬜ 대기</t>
        </is>
      </c>
      <c r="F115" s="292" t="inlineStr">
        <is>
          <t>-</t>
        </is>
      </c>
      <c r="G115" s="292" t="inlineStr">
        <is>
          <t>-</t>
        </is>
      </c>
      <c r="H115" s="294" t="inlineStr">
        <is>
          <t>Tier 2. 완전 탐색 &amp; 백트래킹 (A형 핵심)</t>
        </is>
      </c>
      <c r="I115" s="294" t="inlineStr">
        <is>
          <t>부분집합/D4_부분집합_비트마스크_외판원_DP</t>
        </is>
      </c>
      <c r="J115" s="292" t="inlineStr">
        <is>
          <t>✅ 6종 완비</t>
        </is>
      </c>
      <c r="K115" s="294" t="inlineStr">
        <is>
          <t>Lv.6 복합 제약 &amp; 시공간 최적화</t>
        </is>
      </c>
      <c r="L115" s="294" t="inlineStr">
        <is>
          <t>1번부터 N번까지의 도시가 있습니다. 1번 도시에서 출발하여 모든 도시를 정확히 한 번씩 방문하고 다시 1번 도시로 돌아오는 최소 비용을 구하시오. 방문한 도시들의 부분집합을 비트마스크(visited bit)로 표현...</t>
        </is>
      </c>
      <c r="M115" s="294" t="inlineStr">
        <is>
          <t>-</t>
        </is>
      </c>
    </row>
    <row r="116" ht="20" customHeight="1" s="209">
      <c r="A116" s="287" t="n">
        <v>115</v>
      </c>
      <c r="B116" s="288" t="inlineStr">
        <is>
          <t>D2</t>
        </is>
      </c>
      <c r="C116" s="287" t="inlineStr">
        <is>
          <t>분할정복</t>
        </is>
      </c>
      <c r="D116" s="289" t="inlineStr">
        <is>
          <t>1차원_배열_반으로_자르기</t>
        </is>
      </c>
      <c r="E116" s="290" t="inlineStr">
        <is>
          <t>⬜ 대기</t>
        </is>
      </c>
      <c r="F116" s="287" t="inlineStr">
        <is>
          <t>-</t>
        </is>
      </c>
      <c r="G116" s="287" t="inlineStr">
        <is>
          <t>-</t>
        </is>
      </c>
      <c r="H116" s="291" t="inlineStr">
        <is>
          <t>Tier 2. 완전 탐색 &amp; 백트래킹 (A형 핵심)</t>
        </is>
      </c>
      <c r="I116" s="291" t="inlineStr">
        <is>
          <t>분할정복/D2_분할정복_1차원_배열_반으로_자르기</t>
        </is>
      </c>
      <c r="J116" s="287" t="inlineStr">
        <is>
          <t>✅ 6종 완비</t>
        </is>
      </c>
      <c r="K116" s="291" t="inlineStr">
        <is>
          <t>Lv.1 직관/1회판정</t>
        </is>
      </c>
      <c r="L116" s="291" t="inlineStr">
        <is>
          <t>분할 정복(Divide and Conquer) 알고리즘의 3대 핵심 단계는 다음과 같습니다: 1. 분할(Divide): 문제를 동일한 형태의 더 작은 2개 이상의 하위 문제로 나눕니다.</t>
        </is>
      </c>
      <c r="M116" s="291" t="inlineStr">
        <is>
          <t>-</t>
        </is>
      </c>
    </row>
    <row r="117" ht="20" customHeight="1" s="209">
      <c r="A117" s="292" t="n">
        <v>116</v>
      </c>
      <c r="B117" s="288" t="inlineStr">
        <is>
          <t>D2</t>
        </is>
      </c>
      <c r="C117" s="292" t="inlineStr">
        <is>
          <t>분할정복</t>
        </is>
      </c>
      <c r="D117" s="293" t="inlineStr">
        <is>
          <t>거듭제곱_연산</t>
        </is>
      </c>
      <c r="E117" s="290" t="inlineStr">
        <is>
          <t>⬜ 대기</t>
        </is>
      </c>
      <c r="F117" s="292" t="inlineStr">
        <is>
          <t>-</t>
        </is>
      </c>
      <c r="G117" s="292" t="inlineStr">
        <is>
          <t>-</t>
        </is>
      </c>
      <c r="H117" s="294" t="inlineStr">
        <is>
          <t>Tier 2. 완전 탐색 &amp; 백트래킹 (A형 핵심)</t>
        </is>
      </c>
      <c r="I117" s="294" t="inlineStr">
        <is>
          <t>분할정복/D2_분할정복_거듭제곱_연산</t>
        </is>
      </c>
      <c r="J117" s="292" t="inlineStr">
        <is>
          <t>✅ 6종 완비</t>
        </is>
      </c>
      <c r="K117" s="294" t="inlineStr">
        <is>
          <t>Lv.4 경계완충/징검다리</t>
        </is>
      </c>
      <c r="L117" s="294" t="inlineStr">
        <is>
          <t>거듭제곱 C^N을 단순 반복문으로 계산하면 곱셈을 N번 수행해야 하므로 O(N)의 시간이 걸립니다. 만약 N이 10^18과 같이 매우 큰 수라면 반복문으로는 시간 초과가 발생합니다. 하지만 '분할 정복(Divide ...</t>
        </is>
      </c>
      <c r="M117" s="294" t="inlineStr">
        <is>
          <t>-</t>
        </is>
      </c>
    </row>
    <row r="118" ht="20" customHeight="1" s="209">
      <c r="A118" s="287" t="n">
        <v>117</v>
      </c>
      <c r="B118" s="288" t="inlineStr">
        <is>
          <t>D2</t>
        </is>
      </c>
      <c r="C118" s="287" t="inlineStr">
        <is>
          <t>분할정복</t>
        </is>
      </c>
      <c r="D118" s="289" t="inlineStr">
        <is>
          <t>배열_2등분_원소_합</t>
        </is>
      </c>
      <c r="E118" s="290" t="inlineStr">
        <is>
          <t>⬜ 대기</t>
        </is>
      </c>
      <c r="F118" s="287" t="inlineStr">
        <is>
          <t>-</t>
        </is>
      </c>
      <c r="G118" s="287" t="inlineStr">
        <is>
          <t>-</t>
        </is>
      </c>
      <c r="H118" s="291" t="inlineStr">
        <is>
          <t>Tier 2. 완전 탐색 &amp; 백트래킹 (A형 핵심)</t>
        </is>
      </c>
      <c r="I118" s="291" t="inlineStr">
        <is>
          <t>분할정복/D2_분할정복_배열_2등분_원소_합</t>
        </is>
      </c>
      <c r="J118" s="287" t="inlineStr">
        <is>
          <t>✅ 6종 완비</t>
        </is>
      </c>
      <c r="K118" s="291" t="inlineStr">
        <is>
          <t>Lv.2 단일루프/추적</t>
        </is>
      </c>
      <c r="L118" s="291" t="inlineStr">
        <is>
          <t>분할 정복(Divide and Conquer)의 가장 대표적인 재귀 패턴은 배열을 반씩 쪼개어 기저 사례(Base Case)에 도달할 때까지 파고든 뒤, 양쪽의 결과를 결합(Combine)하여 상위로 거슬러 올라가는...</t>
        </is>
      </c>
      <c r="M118" s="291" t="inlineStr">
        <is>
          <t>-</t>
        </is>
      </c>
    </row>
    <row r="119" ht="20" customHeight="1" s="209">
      <c r="A119" s="292" t="n">
        <v>118</v>
      </c>
      <c r="B119" s="288" t="inlineStr">
        <is>
          <t>D2</t>
        </is>
      </c>
      <c r="C119" s="292" t="inlineStr">
        <is>
          <t>분할정복</t>
        </is>
      </c>
      <c r="D119" s="293" t="inlineStr">
        <is>
          <t>배열_최대최소_동시탐색</t>
        </is>
      </c>
      <c r="E119" s="290" t="inlineStr">
        <is>
          <t>⬜ 대기</t>
        </is>
      </c>
      <c r="F119" s="292" t="inlineStr">
        <is>
          <t>-</t>
        </is>
      </c>
      <c r="G119" s="292" t="inlineStr">
        <is>
          <t>-</t>
        </is>
      </c>
      <c r="H119" s="294" t="inlineStr">
        <is>
          <t>Tier 2. 완전 탐색 &amp; 백트래킹 (A형 핵심)</t>
        </is>
      </c>
      <c r="I119" s="294" t="inlineStr">
        <is>
          <t>분할정복/D2_분할정복_배열_최대최소_동시탐색</t>
        </is>
      </c>
      <c r="J119" s="292" t="inlineStr">
        <is>
          <t>✅ 6종 완비</t>
        </is>
      </c>
      <c r="K119" s="294" t="inlineStr">
        <is>
          <t>Lv.4 경계완충/징검다리</t>
        </is>
      </c>
      <c r="L119" s="294" t="inlineStr">
        <is>
          <t>배열에서 최댓값과 최솟값을 동시에 찾을 때, 일반적인 반복문은 2N - 2번의 비교를 수행합니다. 하지만 분할 정복(Tournament 방식)을 사용하면 약 3N/2 - 2번의 비교만으로 최댓값과 최솟값을 동시에 찾...</t>
        </is>
      </c>
      <c r="M119" s="294" t="inlineStr">
        <is>
          <t>-</t>
        </is>
      </c>
    </row>
    <row r="120" ht="20" customHeight="1" s="209">
      <c r="A120" s="287" t="n">
        <v>119</v>
      </c>
      <c r="B120" s="288" t="inlineStr">
        <is>
          <t>D2</t>
        </is>
      </c>
      <c r="C120" s="287" t="inlineStr">
        <is>
          <t>분할정복</t>
        </is>
      </c>
      <c r="D120" s="289" t="inlineStr">
        <is>
          <t>분할정복에_대해서</t>
        </is>
      </c>
      <c r="E120" s="290" t="inlineStr">
        <is>
          <t>⬜ 대기</t>
        </is>
      </c>
      <c r="F120" s="287" t="inlineStr">
        <is>
          <t>-</t>
        </is>
      </c>
      <c r="G120" s="287" t="inlineStr">
        <is>
          <t>-</t>
        </is>
      </c>
      <c r="H120" s="291" t="inlineStr">
        <is>
          <t>Tier 2. 완전 탐색 &amp; 백트래킹 (A형 핵심)</t>
        </is>
      </c>
      <c r="I120" s="291" t="inlineStr">
        <is>
          <t>분할정복/D2_분할정복_분할정복에_대해서</t>
        </is>
      </c>
      <c r="J120" s="287" t="inlineStr">
        <is>
          <t>✅ 6종 완비</t>
        </is>
      </c>
      <c r="K120" s="291" t="inlineStr">
        <is>
          <t>Lv.3 개념뼈대 완결</t>
        </is>
      </c>
      <c r="L120" s="291" t="inlineStr">
        <is>
          <t>분할 정복(Divide and Conquer) 알고리즘 개념 및 동작 원리 설명: 분할 정복은 해결하기 어려운 거대한 문제를 더 이상 나눌 수 없을 때까지 작은 하위 문제로 나눈(Divide) 뒤, 각각의 하위 문제...</t>
        </is>
      </c>
      <c r="M120" s="291" t="inlineStr">
        <is>
          <t>-</t>
        </is>
      </c>
    </row>
    <row r="121" ht="20" customHeight="1" s="209">
      <c r="A121" s="292" t="n">
        <v>120</v>
      </c>
      <c r="B121" s="288" t="inlineStr">
        <is>
          <t>D2</t>
        </is>
      </c>
      <c r="C121" s="292" t="inlineStr">
        <is>
          <t>분할정복</t>
        </is>
      </c>
      <c r="D121" s="293" t="inlineStr">
        <is>
          <t>색종이_쿼드트리</t>
        </is>
      </c>
      <c r="E121" s="290" t="inlineStr">
        <is>
          <t>⬜ 대기</t>
        </is>
      </c>
      <c r="F121" s="292" t="inlineStr">
        <is>
          <t>-</t>
        </is>
      </c>
      <c r="G121" s="292" t="inlineStr">
        <is>
          <t>-</t>
        </is>
      </c>
      <c r="H121" s="294" t="inlineStr">
        <is>
          <t>Tier 2. 완전 탐색 &amp; 백트래킹 (A형 핵심)</t>
        </is>
      </c>
      <c r="I121" s="294" t="inlineStr">
        <is>
          <t>분할정복/D2_분할정복_색종이_쿼드트리</t>
        </is>
      </c>
      <c r="J121" s="292" t="inlineStr">
        <is>
          <t>✅ 6종 완비</t>
        </is>
      </c>
      <c r="K121" s="294" t="inlineStr">
        <is>
          <t>Lv.4 경계완충/징검다리</t>
        </is>
      </c>
      <c r="L121" s="294" t="inlineStr">
        <is>
          <t>쿼드트리(Quad Tree)는 2차원 공간을 4개의 사분면(Quadrant)으로 재귀적으로 분할하여 표현하거나 탐색하는 분할 정복 기법입니다. 이미지 압축, 지형 렌더링, 충돌 감지 등 컴퓨터 공학 전반에서 널리 활...</t>
        </is>
      </c>
      <c r="M121" s="294" t="inlineStr">
        <is>
          <t>-</t>
        </is>
      </c>
    </row>
    <row r="122" ht="20" customHeight="1" s="209">
      <c r="A122" s="287" t="n">
        <v>121</v>
      </c>
      <c r="B122" s="288" t="inlineStr">
        <is>
          <t>D2</t>
        </is>
      </c>
      <c r="C122" s="287" t="inlineStr">
        <is>
          <t>분할정복</t>
        </is>
      </c>
      <c r="D122" s="289" t="inlineStr">
        <is>
          <t>하노이_탑_이동_순서</t>
        </is>
      </c>
      <c r="E122" s="290" t="inlineStr">
        <is>
          <t>⬜ 대기</t>
        </is>
      </c>
      <c r="F122" s="287" t="inlineStr">
        <is>
          <t>-</t>
        </is>
      </c>
      <c r="G122" s="287" t="inlineStr">
        <is>
          <t>-</t>
        </is>
      </c>
      <c r="H122" s="291" t="inlineStr">
        <is>
          <t>Tier 2. 완전 탐색 &amp; 백트래킹 (A형 핵심)</t>
        </is>
      </c>
      <c r="I122" s="291" t="inlineStr">
        <is>
          <t>분할정복/D2_분할정복_하노이_탑_이동_순서</t>
        </is>
      </c>
      <c r="J122" s="287" t="inlineStr">
        <is>
          <t>✅ 6종 완비</t>
        </is>
      </c>
      <c r="K122" s="291" t="inlineStr">
        <is>
          <t>Lv.4 경계완충/징검다리</t>
        </is>
      </c>
      <c r="L122" s="291" t="inlineStr">
        <is>
          <t>하노이 탑(Tower of Hanoi)은 대표적인 분할 정복 문제입니다. 세 개의 기둥(1번, 2번, 3번)이 있고 1번 기둥에 크기가 서로 다른 N개의 원판이 아래쪽부터 큰 순서대로 쌓여 있습니다.</t>
        </is>
      </c>
      <c r="M122" s="291" t="inlineStr">
        <is>
          <t>-</t>
        </is>
      </c>
    </row>
    <row r="123" ht="20" customHeight="1" s="209">
      <c r="A123" s="292" t="n">
        <v>122</v>
      </c>
      <c r="B123" s="295" t="inlineStr">
        <is>
          <t>D3</t>
        </is>
      </c>
      <c r="C123" s="292" t="inlineStr">
        <is>
          <t>분할정복</t>
        </is>
      </c>
      <c r="D123" s="293" t="inlineStr">
        <is>
          <t>선우의_행렬_거듭제곱</t>
        </is>
      </c>
      <c r="E123" s="290" t="inlineStr">
        <is>
          <t>⬜ 대기</t>
        </is>
      </c>
      <c r="F123" s="292" t="inlineStr">
        <is>
          <t>-</t>
        </is>
      </c>
      <c r="G123" s="292" t="inlineStr">
        <is>
          <t>-</t>
        </is>
      </c>
      <c r="H123" s="294" t="inlineStr">
        <is>
          <t>Tier 2. 완전 탐색 &amp; 백트래킹 (A형 핵심)</t>
        </is>
      </c>
      <c r="I123" s="294" t="inlineStr">
        <is>
          <t>분할정복/D3_분할정복_선우의_행렬_거듭제곱</t>
        </is>
      </c>
      <c r="J123" s="292" t="inlineStr">
        <is>
          <t>✅ 6종 완비</t>
        </is>
      </c>
      <c r="K123" s="294" t="inlineStr">
        <is>
          <t>Lv.5 실전 응용 (스토리텔링)</t>
        </is>
      </c>
      <c r="L123" s="294" t="inlineStr">
        <is>
          <t>선우는 금융 데이터의 점화식 상태 전이를 고속으로 계산하기 위해 K x K 정방행렬 A의 N제곱(A^N)을 계산해야 합니다. N이 최대 10^12에 달하므로, 지수를 절반씩 나누어 계산하는 분할 정복 기법(A^N =...</t>
        </is>
      </c>
      <c r="M123" s="294" t="inlineStr">
        <is>
          <t>-</t>
        </is>
      </c>
    </row>
    <row r="124" ht="20" customHeight="1" s="209">
      <c r="A124" s="287" t="n">
        <v>123</v>
      </c>
      <c r="B124" s="295" t="inlineStr">
        <is>
          <t>D3</t>
        </is>
      </c>
      <c r="C124" s="287" t="inlineStr">
        <is>
          <t>분할정복</t>
        </is>
      </c>
      <c r="D124" s="289" t="inlineStr">
        <is>
          <t>아윤이의_쿼드트리_압축</t>
        </is>
      </c>
      <c r="E124" s="290" t="inlineStr">
        <is>
          <t>⬜ 대기</t>
        </is>
      </c>
      <c r="F124" s="287" t="inlineStr">
        <is>
          <t>-</t>
        </is>
      </c>
      <c r="G124" s="287" t="inlineStr">
        <is>
          <t>-</t>
        </is>
      </c>
      <c r="H124" s="291" t="inlineStr">
        <is>
          <t>Tier 2. 완전 탐색 &amp; 백트래킹 (A형 핵심)</t>
        </is>
      </c>
      <c r="I124" s="291" t="inlineStr">
        <is>
          <t>분할정복/D3_분할정복_아윤이의_쿼드트리_압축</t>
        </is>
      </c>
      <c r="J124" s="287" t="inlineStr">
        <is>
          <t>✅ 6종 완비</t>
        </is>
      </c>
      <c r="K124" s="291" t="inlineStr">
        <is>
          <t>Lv.5 실전 응용 (스토리텔링)</t>
        </is>
      </c>
      <c r="L124" s="291" t="inlineStr">
        <is>
          <t>컴퓨터 그래픽스를 공부하는 아윤이는 흑백 영상(0과 1로 구성된 N x N 격자)을 압축하기 위해 쿼드트리(Quad Tree) 방식을 구현하고 있습니다. 영역 전체가 모두 같은 색이면 그 숫자로 압축하고, 그렇지 않...</t>
        </is>
      </c>
      <c r="M124" s="291" t="inlineStr">
        <is>
          <t>-</t>
        </is>
      </c>
    </row>
    <row r="125" ht="20" customHeight="1" s="209">
      <c r="A125" s="292" t="n">
        <v>124</v>
      </c>
      <c r="B125" s="295" t="inlineStr">
        <is>
          <t>D3</t>
        </is>
      </c>
      <c r="C125" s="292" t="inlineStr">
        <is>
          <t>분할정복</t>
        </is>
      </c>
      <c r="D125" s="293" t="inlineStr">
        <is>
          <t>유준이의_종이_자르기</t>
        </is>
      </c>
      <c r="E125" s="290" t="inlineStr">
        <is>
          <t>⬜ 대기</t>
        </is>
      </c>
      <c r="F125" s="292" t="inlineStr">
        <is>
          <t>-</t>
        </is>
      </c>
      <c r="G125" s="292" t="inlineStr">
        <is>
          <t>-</t>
        </is>
      </c>
      <c r="H125" s="294" t="inlineStr">
        <is>
          <t>Tier 2. 완전 탐색 &amp; 백트래킹 (A형 핵심)</t>
        </is>
      </c>
      <c r="I125" s="294" t="inlineStr">
        <is>
          <t>분할정복/D3_분할정복_유준이의_종이_자르기</t>
        </is>
      </c>
      <c r="J125" s="292" t="inlineStr">
        <is>
          <t>✅ 6종 완비</t>
        </is>
      </c>
      <c r="K125" s="294" t="inlineStr">
        <is>
          <t>Lv.5 실전 응용 (스토리텔링)</t>
        </is>
      </c>
      <c r="L125" s="294" t="inlineStr">
        <is>
          <t>유준이는 N x N 크기의 색종이를 가지고 놀고 있습니다. 종이의 모든 칸이 -1, 0, 1 중 같은 숫자로 채워져 있지 않다면, 가로와 세로를 각각 3등분하여 총 9개의 동일한 크기의 작은 종이로 자르고 이 과정을...</t>
        </is>
      </c>
      <c r="M125" s="294" t="inlineStr">
        <is>
          <t>-</t>
        </is>
      </c>
    </row>
    <row r="126" ht="20" customHeight="1" s="209">
      <c r="A126" s="287" t="n">
        <v>125</v>
      </c>
      <c r="B126" s="295" t="inlineStr">
        <is>
          <t>D3</t>
        </is>
      </c>
      <c r="C126" s="287" t="inlineStr">
        <is>
          <t>분할정복</t>
        </is>
      </c>
      <c r="D126" s="289" t="inlineStr">
        <is>
          <t>지아의_트리_순회_복원</t>
        </is>
      </c>
      <c r="E126" s="290" t="inlineStr">
        <is>
          <t>⬜ 대기</t>
        </is>
      </c>
      <c r="F126" s="287" t="inlineStr">
        <is>
          <t>-</t>
        </is>
      </c>
      <c r="G126" s="287" t="inlineStr">
        <is>
          <t>-</t>
        </is>
      </c>
      <c r="H126" s="291" t="inlineStr">
        <is>
          <t>Tier 2. 완전 탐색 &amp; 백트래킹 (A형 핵심)</t>
        </is>
      </c>
      <c r="I126" s="291" t="inlineStr">
        <is>
          <t>분할정복/D3_분할정복_지아의_트리_순회_복원</t>
        </is>
      </c>
      <c r="J126" s="287" t="inlineStr">
        <is>
          <t>✅ 6종 완비</t>
        </is>
      </c>
      <c r="K126" s="291" t="inlineStr">
        <is>
          <t>Lv.5 실전 응용 (스토리텔링)</t>
        </is>
      </c>
      <c r="L126" s="291" t="inlineStr">
        <is>
          <t>자료구조를 연구하는 지아는 어떤 이진 트리를 전위 순회(Preorder)한 결과와 중위 순회(Inorder)한 결과를 전달받았습니다. 전위 순회의 첫 번째 원소가 항상 서브트리의 루트임을 이용하고, 중위 순회에서 루...</t>
        </is>
      </c>
      <c r="M126" s="291" t="inlineStr">
        <is>
          <t>-</t>
        </is>
      </c>
    </row>
    <row r="127" ht="20" customHeight="1" s="209">
      <c r="A127" s="292" t="n">
        <v>126</v>
      </c>
      <c r="B127" s="295" t="inlineStr">
        <is>
          <t>D3</t>
        </is>
      </c>
      <c r="C127" s="292" t="inlineStr">
        <is>
          <t>분할정복</t>
        </is>
      </c>
      <c r="D127" s="293" t="inlineStr">
        <is>
          <t>하준이의_Z모양_탐험</t>
        </is>
      </c>
      <c r="E127" s="290" t="inlineStr">
        <is>
          <t>⬜ 대기</t>
        </is>
      </c>
      <c r="F127" s="292" t="inlineStr">
        <is>
          <t>-</t>
        </is>
      </c>
      <c r="G127" s="292" t="inlineStr">
        <is>
          <t>-</t>
        </is>
      </c>
      <c r="H127" s="294" t="inlineStr">
        <is>
          <t>Tier 2. 완전 탐색 &amp; 백트래킹 (A형 핵심)</t>
        </is>
      </c>
      <c r="I127" s="294" t="inlineStr">
        <is>
          <t>분할정복/D3_분할정복_하준이의_Z모양_탐험</t>
        </is>
      </c>
      <c r="J127" s="292" t="inlineStr">
        <is>
          <t>✅ 6종 완비</t>
        </is>
      </c>
      <c r="K127" s="294" t="inlineStr">
        <is>
          <t>Lv.5 실전 응용 (스토리텔링)</t>
        </is>
      </c>
      <c r="L127" s="294" t="inlineStr">
        <is>
          <t>하준이는 2^N x 2^N 크기의 2차원 가상 미지의 대륙을 탐험하는 로봇 게임을 개발하고 있습니다. 이 로봇은 맵을 탐색할 때 독특한 'Z 모양' 순서로 사분면을 재귀적으로 방문합니다.</t>
        </is>
      </c>
      <c r="M127" s="294" t="inlineStr">
        <is>
          <t>-</t>
        </is>
      </c>
    </row>
    <row r="128" ht="20" customHeight="1" s="209">
      <c r="A128" s="287" t="n">
        <v>127</v>
      </c>
      <c r="B128" s="296" t="inlineStr">
        <is>
          <t>D4</t>
        </is>
      </c>
      <c r="C128" s="287" t="inlineStr">
        <is>
          <t>분할정복</t>
        </is>
      </c>
      <c r="D128" s="289" t="inlineStr">
        <is>
          <t>구간_중앙값_선택_퀵셀렉트</t>
        </is>
      </c>
      <c r="E128" s="290" t="inlineStr">
        <is>
          <t>⬜ 대기</t>
        </is>
      </c>
      <c r="F128" s="287" t="inlineStr">
        <is>
          <t>-</t>
        </is>
      </c>
      <c r="G128" s="287" t="inlineStr">
        <is>
          <t>-</t>
        </is>
      </c>
      <c r="H128" s="291" t="inlineStr">
        <is>
          <t>Tier 2. 완전 탐색 &amp; 백트래킹 (A형 핵심)</t>
        </is>
      </c>
      <c r="I128" s="291" t="inlineStr">
        <is>
          <t>분할정복/D4_분할정복_구간_중앙값_선택_퀵셀렉트</t>
        </is>
      </c>
      <c r="J128" s="287" t="inlineStr">
        <is>
          <t>✅ 6종 완비</t>
        </is>
      </c>
      <c r="K128" s="291" t="inlineStr">
        <is>
          <t>Lv.6 복합 제약 &amp; 시공간 최적화</t>
        </is>
      </c>
      <c r="L128" s="291" t="inlineStr">
        <is>
          <t>정렬되지 않은 N개의 데이터에서 K번째로 작은 원소를 정렬 없이 평균 O(N) 시간에 찾아내는 퀵셀렉트(Quickselect) 알고리즘입니다. 피벗(Pivot)을 기준으로 파티셔닝을 수행한 후, K의 위치가 속한 분...</t>
        </is>
      </c>
      <c r="M128" s="291" t="inlineStr">
        <is>
          <t>-</t>
        </is>
      </c>
    </row>
    <row r="129" ht="20" customHeight="1" s="209">
      <c r="A129" s="292" t="n">
        <v>128</v>
      </c>
      <c r="B129" s="296" t="inlineStr">
        <is>
          <t>D4</t>
        </is>
      </c>
      <c r="C129" s="292" t="inlineStr">
        <is>
          <t>분할정복</t>
        </is>
      </c>
      <c r="D129" s="293" t="inlineStr">
        <is>
          <t>배열_역순쌍_카운팅_머지소트</t>
        </is>
      </c>
      <c r="E129" s="290" t="inlineStr">
        <is>
          <t>⬜ 대기</t>
        </is>
      </c>
      <c r="F129" s="292" t="inlineStr">
        <is>
          <t>-</t>
        </is>
      </c>
      <c r="G129" s="292" t="inlineStr">
        <is>
          <t>-</t>
        </is>
      </c>
      <c r="H129" s="294" t="inlineStr">
        <is>
          <t>Tier 2. 완전 탐색 &amp; 백트래킹 (A형 핵심)</t>
        </is>
      </c>
      <c r="I129" s="294" t="inlineStr">
        <is>
          <t>분할정복/D4_분할정복_배열_역순쌍_카운팅_머지소트</t>
        </is>
      </c>
      <c r="J129" s="292" t="inlineStr">
        <is>
          <t>✅ 6종 완비</t>
        </is>
      </c>
      <c r="K129" s="294" t="inlineStr">
        <is>
          <t>Lv.6 복합 제약 &amp; 시공간 최적화</t>
        </is>
      </c>
      <c r="L129" s="294" t="inlineStr">
        <is>
          <t>크기 N인 배열 A에서 i &lt; j 이지만 A[i] &gt; A[j]를 만족하는 쌍 (i, j)를 역순쌍(Inversion)이라고 합니다. 단순 이중 루프 O(N^2)로는 100,000 크기의 배열을 처리할 수 없으므로, ...</t>
        </is>
      </c>
      <c r="M129" s="294" t="inlineStr">
        <is>
          <t>-</t>
        </is>
      </c>
    </row>
    <row r="130" ht="20" customHeight="1" s="209">
      <c r="A130" s="287" t="n">
        <v>129</v>
      </c>
      <c r="B130" s="296" t="inlineStr">
        <is>
          <t>D4</t>
        </is>
      </c>
      <c r="C130" s="287" t="inlineStr">
        <is>
          <t>분할정복</t>
        </is>
      </c>
      <c r="D130" s="289" t="inlineStr">
        <is>
          <t>최대_부분배열_합_카디널</t>
        </is>
      </c>
      <c r="E130" s="290" t="inlineStr">
        <is>
          <t>⬜ 대기</t>
        </is>
      </c>
      <c r="F130" s="287" t="inlineStr">
        <is>
          <t>-</t>
        </is>
      </c>
      <c r="G130" s="287" t="inlineStr">
        <is>
          <t>-</t>
        </is>
      </c>
      <c r="H130" s="291" t="inlineStr">
        <is>
          <t>Tier 2. 완전 탐색 &amp; 백트래킹 (A형 핵심)</t>
        </is>
      </c>
      <c r="I130" s="291" t="inlineStr">
        <is>
          <t>분할정복/D4_분할정복_최대_부분배열_합_카디널</t>
        </is>
      </c>
      <c r="J130" s="287" t="inlineStr">
        <is>
          <t>✅ 6종 완비</t>
        </is>
      </c>
      <c r="K130" s="291" t="inlineStr">
        <is>
          <t>Lv.6 복합 제약 &amp; 시공간 최적화</t>
        </is>
      </c>
      <c r="L130" s="291" t="inlineStr">
        <is>
          <t>연속된 부분 배열의 원소 합 중 최댓값을 구하는 문제입니다. 배열을 좌우 두 영역으로 나누어, 1) 왼쪽 영역의 최대 부분합, 2) 오른쪽 영역의 최대 부분합, 3) 중앙 경계를 가로지르는 최대 부분합을 각각 분할 ...</t>
        </is>
      </c>
      <c r="M130" s="291" t="inlineStr">
        <is>
          <t>-</t>
        </is>
      </c>
    </row>
    <row r="131" ht="20" customHeight="1" s="209">
      <c r="A131" s="292" t="n">
        <v>130</v>
      </c>
      <c r="B131" s="296" t="inlineStr">
        <is>
          <t>D4</t>
        </is>
      </c>
      <c r="C131" s="292" t="inlineStr">
        <is>
          <t>분할정복</t>
        </is>
      </c>
      <c r="D131" s="293" t="inlineStr">
        <is>
          <t>행렬_피보나치_거듭제곱</t>
        </is>
      </c>
      <c r="E131" s="290" t="inlineStr">
        <is>
          <t>⬜ 대기</t>
        </is>
      </c>
      <c r="F131" s="292" t="inlineStr">
        <is>
          <t>-</t>
        </is>
      </c>
      <c r="G131" s="292" t="inlineStr">
        <is>
          <t>-</t>
        </is>
      </c>
      <c r="H131" s="294" t="inlineStr">
        <is>
          <t>Tier 2. 완전 탐색 &amp; 백트래킹 (A형 핵심)</t>
        </is>
      </c>
      <c r="I131" s="294" t="inlineStr">
        <is>
          <t>분할정복/D4_분할정복_행렬_피보나치_거듭제곱</t>
        </is>
      </c>
      <c r="J131" s="292" t="inlineStr">
        <is>
          <t>✅ 6종 완비</t>
        </is>
      </c>
      <c r="K131" s="294" t="inlineStr">
        <is>
          <t>Lv.6 복합 제약 &amp; 시공간 최적화</t>
        </is>
      </c>
      <c r="L131" s="294" t="inlineStr">
        <is>
          <t>피보나치 수열의 N번째 항 F_N을 구하는 문제입니다. N이 10^18까지 주어지므로 동적 계획법 O(N)으로도 해결할 수 없습니다. 상태 전이 행렬 [[1, 1], [1, 0]]의 N제곱을 분할 정복(Matrix ...</t>
        </is>
      </c>
      <c r="M131" s="294" t="inlineStr">
        <is>
          <t>-</t>
        </is>
      </c>
    </row>
    <row r="132" ht="20" customHeight="1" s="209">
      <c r="A132" s="287" t="n">
        <v>131</v>
      </c>
      <c r="B132" s="296" t="inlineStr">
        <is>
          <t>D4</t>
        </is>
      </c>
      <c r="C132" s="287" t="inlineStr">
        <is>
          <t>분할정복</t>
        </is>
      </c>
      <c r="D132" s="289" t="inlineStr">
        <is>
          <t>히스토그램_최대직사각형</t>
        </is>
      </c>
      <c r="E132" s="290" t="inlineStr">
        <is>
          <t>⬜ 대기</t>
        </is>
      </c>
      <c r="F132" s="287" t="inlineStr">
        <is>
          <t>-</t>
        </is>
      </c>
      <c r="G132" s="287" t="inlineStr">
        <is>
          <t>-</t>
        </is>
      </c>
      <c r="H132" s="291" t="inlineStr">
        <is>
          <t>Tier 2. 완전 탐색 &amp; 백트래킹 (A형 핵심)</t>
        </is>
      </c>
      <c r="I132" s="291" t="inlineStr">
        <is>
          <t>분할정복/D4_분할정복_히스토그램_최대직사각형</t>
        </is>
      </c>
      <c r="J132" s="287" t="inlineStr">
        <is>
          <t>✅ 6종 완비</t>
        </is>
      </c>
      <c r="K132" s="291" t="inlineStr">
        <is>
          <t>Lv.6 복합 제약 &amp; 시공간 최적화</t>
        </is>
      </c>
      <c r="L132" s="291" t="inlineStr">
        <is>
          <t>히스토그램은 가로 너비가 1인 여러 개의 직사각형들이 빈틈없이 좌우로 붙어 있는 도형입니다. 각 막대의 높이 h_1, h_2, ..., h_N이 주어질 때, 히스토그램 내부에서 밑변이 수평축에 평행한 '가장 넓은 직...</t>
        </is>
      </c>
      <c r="M132" s="291" t="inlineStr">
        <is>
          <t>-</t>
        </is>
      </c>
    </row>
    <row r="133" ht="20" customHeight="1" s="209">
      <c r="A133" s="292" t="n">
        <v>132</v>
      </c>
      <c r="B133" s="297" t="inlineStr">
        <is>
          <t>D5</t>
        </is>
      </c>
      <c r="C133" s="292" t="inlineStr">
        <is>
          <t>분할정복</t>
        </is>
      </c>
      <c r="D133" s="293" t="inlineStr">
        <is>
          <t>최근접_점의_쌍</t>
        </is>
      </c>
      <c r="E133" s="290" t="inlineStr">
        <is>
          <t>⬜ 대기</t>
        </is>
      </c>
      <c r="F133" s="292" t="inlineStr">
        <is>
          <t>-</t>
        </is>
      </c>
      <c r="G133" s="292" t="inlineStr">
        <is>
          <t>-</t>
        </is>
      </c>
      <c r="H133" s="294" t="inlineStr">
        <is>
          <t>Tier 2. 완전 탐색 &amp; 백트래킹 (A형 핵심)</t>
        </is>
      </c>
      <c r="I133" s="294" t="inlineStr">
        <is>
          <t>분할정복/D5_분할정복_최근접_점의_쌍</t>
        </is>
      </c>
      <c r="J133" s="292" t="inlineStr">
        <is>
          <t>✅ 6종 완비</t>
        </is>
      </c>
      <c r="K133" s="294" t="inlineStr">
        <is>
          <t>Lv.7 삼성 B형 Pro (No-STL/메모리풀)</t>
        </is>
      </c>
      <c r="L133" s="294" t="inlineStr">
        <is>
          <t>2차원 평면 위에 N개의 서로 다른 점들이 주어집니다. 이 N개의 점들 중 '가장 가까운 두 점 사이의 유클리드 거리의 제곱(Squared Euclidean Distance)'을 구하는 프로그램을 작성하십시오.</t>
        </is>
      </c>
      <c r="M133" s="294" t="inlineStr">
        <is>
          <t>-</t>
        </is>
      </c>
    </row>
    <row r="134" ht="20" customHeight="1" s="209">
      <c r="A134" s="287" t="n">
        <v>133</v>
      </c>
      <c r="B134" s="288" t="inlineStr">
        <is>
          <t>D2</t>
        </is>
      </c>
      <c r="C134" s="287" t="inlineStr">
        <is>
          <t>서로소집합</t>
        </is>
      </c>
      <c r="D134" s="289" t="inlineStr">
        <is>
          <t>단순_부모_배열_조회</t>
        </is>
      </c>
      <c r="E134" s="290" t="inlineStr">
        <is>
          <t>⬜ 대기</t>
        </is>
      </c>
      <c r="F134" s="287" t="inlineStr">
        <is>
          <t>-</t>
        </is>
      </c>
      <c r="G134" s="287" t="inlineStr">
        <is>
          <t>-</t>
        </is>
      </c>
      <c r="H134" s="291" t="inlineStr">
        <is>
          <t>Tier 3. 격자 시뮬레이션 &amp; 최단 경로 (골드 상위)</t>
        </is>
      </c>
      <c r="I134" s="291" t="inlineStr">
        <is>
          <t>서로소집합/D2_서로소집합_단순_부모_배열_조회</t>
        </is>
      </c>
      <c r="J134" s="287" t="inlineStr">
        <is>
          <t>✅ 6종 완비</t>
        </is>
      </c>
      <c r="K134" s="291" t="inlineStr">
        <is>
          <t>Lv.1 직관/1회판정</t>
        </is>
      </c>
      <c r="L134" s="291" t="inlineStr">
        <is>
          <t>서로소 집합(Disjoint Set / Union-Find) 자료구조의 가장 밑바탕이 되는 데이터 모델은 바로 1차원 '부모 배열(parent[])'입니다. 1번부터 N번까지의 노드가 주어졌을 때, 처음에는 어떤 노...</t>
        </is>
      </c>
      <c r="M134" s="291" t="inlineStr">
        <is>
          <t>-</t>
        </is>
      </c>
    </row>
    <row r="135" ht="20" customHeight="1" s="209">
      <c r="A135" s="292" t="n">
        <v>134</v>
      </c>
      <c r="B135" s="288" t="inlineStr">
        <is>
          <t>D2</t>
        </is>
      </c>
      <c r="C135" s="292" t="inlineStr">
        <is>
          <t>서로소집합</t>
        </is>
      </c>
      <c r="D135" s="293" t="inlineStr">
        <is>
          <t>두_노드의_연결_여부</t>
        </is>
      </c>
      <c r="E135" s="290" t="inlineStr">
        <is>
          <t>⬜ 대기</t>
        </is>
      </c>
      <c r="F135" s="292" t="inlineStr">
        <is>
          <t>-</t>
        </is>
      </c>
      <c r="G135" s="292" t="inlineStr">
        <is>
          <t>-</t>
        </is>
      </c>
      <c r="H135" s="294" t="inlineStr">
        <is>
          <t>Tier 3. 격자 시뮬레이션 &amp; 최단 경로 (골드 상위)</t>
        </is>
      </c>
      <c r="I135" s="294" t="inlineStr">
        <is>
          <t>서로소집합/D2_서로소집합_두_노드의_연결_여부</t>
        </is>
      </c>
      <c r="J135" s="292" t="inlineStr">
        <is>
          <t>✅ 6종 완비</t>
        </is>
      </c>
      <c r="K135" s="294" t="inlineStr">
        <is>
          <t>Lv.4 경계완충/징검다리</t>
        </is>
      </c>
      <c r="L135" s="294" t="inlineStr">
        <is>
          <t>N개의 컴퓨터가 있고 네트워크 회선 연결 정보가 실시간으로 입력됩니다. 특정 두 컴퓨터가 서로 직접 또는 다른 컴퓨터들을 경유하여 통신 가능한 상태인지 질의가 들어옵니다.</t>
        </is>
      </c>
      <c r="M135" s="294" t="inlineStr">
        <is>
          <t>-</t>
        </is>
      </c>
    </row>
    <row r="136" ht="20" customHeight="1" s="209">
      <c r="A136" s="287" t="n">
        <v>135</v>
      </c>
      <c r="B136" s="288" t="inlineStr">
        <is>
          <t>D2</t>
        </is>
      </c>
      <c r="C136" s="287" t="inlineStr">
        <is>
          <t>서로소집합</t>
        </is>
      </c>
      <c r="D136" s="289" t="inlineStr">
        <is>
          <t>루트_노드_직접_추적</t>
        </is>
      </c>
      <c r="E136" s="290" t="inlineStr">
        <is>
          <t>⬜ 대기</t>
        </is>
      </c>
      <c r="F136" s="287" t="inlineStr">
        <is>
          <t>-</t>
        </is>
      </c>
      <c r="G136" s="287" t="inlineStr">
        <is>
          <t>-</t>
        </is>
      </c>
      <c r="H136" s="291" t="inlineStr">
        <is>
          <t>Tier 3. 격자 시뮬레이션 &amp; 최단 경로 (골드 상위)</t>
        </is>
      </c>
      <c r="I136" s="291" t="inlineStr">
        <is>
          <t>서로소집합/D2_서로소집합_루트_노드_직접_추적</t>
        </is>
      </c>
      <c r="J136" s="287" t="inlineStr">
        <is>
          <t>✅ 6종 완비</t>
        </is>
      </c>
      <c r="K136" s="291" t="inlineStr">
        <is>
          <t>Lv.2 단일루프/추적</t>
        </is>
      </c>
      <c r="L136" s="291" t="inlineStr">
        <is>
          <t>서로소 집합(Disjoint Set)에서 어떤 노드가 속한 집합의 최종 대표자(루트 노드)를 찾기 위해서는 직속 부모 포인터를 따라 계속 상위 노드로 거슬러 올라가야 합니다. 루트 노드(Root Node)의 유일한 ...</t>
        </is>
      </c>
      <c r="M136" s="291" t="inlineStr">
        <is>
          <t>-</t>
        </is>
      </c>
    </row>
    <row r="137" ht="20" customHeight="1" s="209">
      <c r="A137" s="292" t="n">
        <v>136</v>
      </c>
      <c r="B137" s="288" t="inlineStr">
        <is>
          <t>D2</t>
        </is>
      </c>
      <c r="C137" s="292" t="inlineStr">
        <is>
          <t>서로소집합</t>
        </is>
      </c>
      <c r="D137" s="293" t="inlineStr">
        <is>
          <t>사이클_판별기</t>
        </is>
      </c>
      <c r="E137" s="290" t="inlineStr">
        <is>
          <t>⬜ 대기</t>
        </is>
      </c>
      <c r="F137" s="292" t="inlineStr">
        <is>
          <t>-</t>
        </is>
      </c>
      <c r="G137" s="292" t="inlineStr">
        <is>
          <t>-</t>
        </is>
      </c>
      <c r="H137" s="294" t="inlineStr">
        <is>
          <t>Tier 3. 격자 시뮬레이션 &amp; 최단 경로 (골드 상위)</t>
        </is>
      </c>
      <c r="I137" s="294" t="inlineStr">
        <is>
          <t>서로소집합/D2_서로소집합_사이클_판별기</t>
        </is>
      </c>
      <c r="J137" s="292" t="inlineStr">
        <is>
          <t>✅ 6종 완비</t>
        </is>
      </c>
      <c r="K137" s="294" t="inlineStr">
        <is>
          <t>Lv.4 경계완충/징검다리</t>
        </is>
      </c>
      <c r="L137" s="294" t="inlineStr">
        <is>
          <t>무방향 그래프에서 간선을 하나씩 추가할 때 사이클(순환선)이 발생하는지 여부는 서로소 집합(Union-Find)을 이용하면 아주 간단하게 판별할 수 있습니다. 1. 처음에 모든 정점은 자기 자신만을 부모로 갖는 독립...</t>
        </is>
      </c>
      <c r="M137" s="294" t="inlineStr">
        <is>
          <t>-</t>
        </is>
      </c>
    </row>
    <row r="138" ht="20" customHeight="1" s="209">
      <c r="A138" s="287" t="n">
        <v>137</v>
      </c>
      <c r="B138" s="288" t="inlineStr">
        <is>
          <t>D2</t>
        </is>
      </c>
      <c r="C138" s="287" t="inlineStr">
        <is>
          <t>서로소집합</t>
        </is>
      </c>
      <c r="D138" s="289" t="inlineStr">
        <is>
          <t>서로소집합에_대해서</t>
        </is>
      </c>
      <c r="E138" s="290" t="inlineStr">
        <is>
          <t>⬜ 대기</t>
        </is>
      </c>
      <c r="F138" s="287" t="inlineStr">
        <is>
          <t>-</t>
        </is>
      </c>
      <c r="G138" s="287" t="inlineStr">
        <is>
          <t>-</t>
        </is>
      </c>
      <c r="H138" s="291" t="inlineStr">
        <is>
          <t>Tier 3. 격자 시뮬레이션 &amp; 최단 경로 (골드 상위)</t>
        </is>
      </c>
      <c r="I138" s="291" t="inlineStr">
        <is>
          <t>서로소집합/D2_서로소집합_서로소집합에_대해서</t>
        </is>
      </c>
      <c r="J138" s="287" t="inlineStr">
        <is>
          <t>✅ 6종 완비</t>
        </is>
      </c>
      <c r="K138" s="291" t="inlineStr">
        <is>
          <t>Lv.3 개념뼈대 완결</t>
        </is>
      </c>
      <c r="L138" s="291" t="inlineStr">
        <is>
          <t>서로소 집합(Disjoint Set, 또는 유니온 파인드 Union-Find) 자료구조 개념 및 동작 원리 설명: 서로소 집합은 공통 원소가 없는 여러 개의 상호 배타적인 집합들을 효율적으로 관리하는 트리 기반 자료...</t>
        </is>
      </c>
      <c r="M138" s="291" t="inlineStr">
        <is>
          <t>-</t>
        </is>
      </c>
    </row>
    <row r="139" ht="20" customHeight="1" s="209">
      <c r="A139" s="292" t="n">
        <v>138</v>
      </c>
      <c r="B139" s="288" t="inlineStr">
        <is>
          <t>D2</t>
        </is>
      </c>
      <c r="C139" s="292" t="inlineStr">
        <is>
          <t>서로소집합</t>
        </is>
      </c>
      <c r="D139" s="293" t="inlineStr">
        <is>
          <t>연결_요소의_개수</t>
        </is>
      </c>
      <c r="E139" s="290" t="inlineStr">
        <is>
          <t>⬜ 대기</t>
        </is>
      </c>
      <c r="F139" s="292" t="inlineStr">
        <is>
          <t>-</t>
        </is>
      </c>
      <c r="G139" s="292" t="inlineStr">
        <is>
          <t>-</t>
        </is>
      </c>
      <c r="H139" s="294" t="inlineStr">
        <is>
          <t>Tier 3. 격자 시뮬레이션 &amp; 최단 경로 (골드 상위)</t>
        </is>
      </c>
      <c r="I139" s="294" t="inlineStr">
        <is>
          <t>서로소집합/D2_서로소집합_연결_요소의_개수</t>
        </is>
      </c>
      <c r="J139" s="292" t="inlineStr">
        <is>
          <t>✅ 6종 완비</t>
        </is>
      </c>
      <c r="K139" s="294" t="inlineStr">
        <is>
          <t>Lv.4 경계완충/징검다리</t>
        </is>
      </c>
      <c r="L139" s="294" t="inlineStr">
        <is>
          <t>방향이 없는 무향 그래프가 주어졌을 때, 서로 연결되어 있는 정점들의 무리인 '연결 요소(Connected Component)'의 총 개수를 구하는 문제입니다. 서로소 집합(Disjoint Set)을 이용하면 그래프...</t>
        </is>
      </c>
      <c r="M139" s="294" t="inlineStr">
        <is>
          <t>-</t>
        </is>
      </c>
    </row>
    <row r="140" ht="20" customHeight="1" s="209">
      <c r="A140" s="287" t="n">
        <v>139</v>
      </c>
      <c r="B140" s="288" t="inlineStr">
        <is>
          <t>D2</t>
        </is>
      </c>
      <c r="C140" s="287" t="inlineStr">
        <is>
          <t>서로소집합</t>
        </is>
      </c>
      <c r="D140" s="289" t="inlineStr">
        <is>
          <t>유니온파인드_기초</t>
        </is>
      </c>
      <c r="E140" s="290" t="inlineStr">
        <is>
          <t>⬜ 대기</t>
        </is>
      </c>
      <c r="F140" s="287" t="inlineStr">
        <is>
          <t>-</t>
        </is>
      </c>
      <c r="G140" s="287" t="inlineStr">
        <is>
          <t>-</t>
        </is>
      </c>
      <c r="H140" s="291" t="inlineStr">
        <is>
          <t>Tier 3. 격자 시뮬레이션 &amp; 최단 경로 (골드 상위)</t>
        </is>
      </c>
      <c r="I140" s="291" t="inlineStr">
        <is>
          <t>서로소집합/D2_서로소집합_유니온파인드_기초</t>
        </is>
      </c>
      <c r="J140" s="287" t="inlineStr">
        <is>
          <t>✅ 6종 완비</t>
        </is>
      </c>
      <c r="K140" s="291" t="inlineStr">
        <is>
          <t>Lv.4 경계완충/징검다리</t>
        </is>
      </c>
      <c r="L140" s="291" t="inlineStr">
        <is>
          <t>1부터 N까지의 번호가 매겨진 N개의 원소가 있습니다. 처음에는 각 원소가 독립된 집합을 이루고 있습니다. 이어 M개의 연산이 주어집니다:</t>
        </is>
      </c>
      <c r="M140" s="291" t="inlineStr">
        <is>
          <t>-</t>
        </is>
      </c>
    </row>
    <row r="141" ht="20" customHeight="1" s="209">
      <c r="A141" s="292" t="n">
        <v>140</v>
      </c>
      <c r="B141" s="295" t="inlineStr">
        <is>
          <t>D3</t>
        </is>
      </c>
      <c r="C141" s="292" t="inlineStr">
        <is>
          <t>서로소집합</t>
        </is>
      </c>
      <c r="D141" s="293" t="inlineStr">
        <is>
          <t>나은이의_집합_연산</t>
        </is>
      </c>
      <c r="E141" s="290" t="inlineStr">
        <is>
          <t>⬜ 대기</t>
        </is>
      </c>
      <c r="F141" s="292" t="inlineStr">
        <is>
          <t>-</t>
        </is>
      </c>
      <c r="G141" s="292" t="inlineStr">
        <is>
          <t>-</t>
        </is>
      </c>
      <c r="H141" s="294" t="inlineStr">
        <is>
          <t>Tier 3. 격자 시뮬레이션 &amp; 최단 경로 (골드 상위)</t>
        </is>
      </c>
      <c r="I141" s="294" t="inlineStr">
        <is>
          <t>서로소집합/D3_서로소집합_나은이의_집합_연산</t>
        </is>
      </c>
      <c r="J141" s="292" t="inlineStr">
        <is>
          <t>✅ 6종 완비</t>
        </is>
      </c>
      <c r="K141" s="294" t="inlineStr">
        <is>
          <t>Lv.5 실전 응용 (스토리텔링)</t>
        </is>
      </c>
      <c r="L141" s="294" t="inlineStr">
        <is>
          <t>나은이는 1부터 N까지의 원소들로 구성된 서로소 집합 자료구조를 공부하고 있습니다. 두 원소가 속한 집합을 합치는 연산(0 a b)과, 두 원소가 같은 집합에 속해 있는지 확인하는 연산(1 a b)이 질의 형태로 주...</t>
        </is>
      </c>
      <c r="M141" s="294" t="inlineStr">
        <is>
          <t>-</t>
        </is>
      </c>
    </row>
    <row r="142" ht="20" customHeight="1" s="209">
      <c r="A142" s="287" t="n">
        <v>141</v>
      </c>
      <c r="B142" s="295" t="inlineStr">
        <is>
          <t>D3</t>
        </is>
      </c>
      <c r="C142" s="287" t="inlineStr">
        <is>
          <t>서로소집합</t>
        </is>
      </c>
      <c r="D142" s="289" t="inlineStr">
        <is>
          <t>로운이의_거짓말_파티</t>
        </is>
      </c>
      <c r="E142" s="290" t="inlineStr">
        <is>
          <t>⬜ 대기</t>
        </is>
      </c>
      <c r="F142" s="287" t="inlineStr">
        <is>
          <t>-</t>
        </is>
      </c>
      <c r="G142" s="287" t="inlineStr">
        <is>
          <t>-</t>
        </is>
      </c>
      <c r="H142" s="291" t="inlineStr">
        <is>
          <t>Tier 3. 격자 시뮬레이션 &amp; 최단 경로 (골드 상위)</t>
        </is>
      </c>
      <c r="I142" s="291" t="inlineStr">
        <is>
          <t>서로소집합/D3_서로소집합_로운이의_거짓말_파티</t>
        </is>
      </c>
      <c r="J142" s="287" t="inlineStr">
        <is>
          <t>✅ 6종 완비</t>
        </is>
      </c>
      <c r="K142" s="291" t="inlineStr">
        <is>
          <t>Lv.5 실전 응용 (스토리텔링)</t>
        </is>
      </c>
      <c r="L142" s="291" t="inlineStr">
        <is>
          <t>재치 있는 이야기꾼 로운이는 친구들의 파티에 참석하여 신나는 과장된 거짓말 이야기를 푸는 것을 좋아합니다. 하지만 파티에 모인 사람들 중 '이야기의 진실을 이미 알고 있는 사람'이 한 명이라도 있다면 로운이는 거짓말...</t>
        </is>
      </c>
      <c r="M142" s="291" t="inlineStr">
        <is>
          <t>-</t>
        </is>
      </c>
    </row>
    <row r="143" ht="20" customHeight="1" s="209">
      <c r="A143" s="292" t="n">
        <v>142</v>
      </c>
      <c r="B143" s="295" t="inlineStr">
        <is>
          <t>D3</t>
        </is>
      </c>
      <c r="C143" s="292" t="inlineStr">
        <is>
          <t>서로소집합</t>
        </is>
      </c>
      <c r="D143" s="293" t="inlineStr">
        <is>
          <t>서준이의_친구_네트워크</t>
        </is>
      </c>
      <c r="E143" s="290" t="inlineStr">
        <is>
          <t>⬜ 대기</t>
        </is>
      </c>
      <c r="F143" s="292" t="inlineStr">
        <is>
          <t>-</t>
        </is>
      </c>
      <c r="G143" s="292" t="inlineStr">
        <is>
          <t>-</t>
        </is>
      </c>
      <c r="H143" s="294" t="inlineStr">
        <is>
          <t>Tier 3. 격자 시뮬레이션 &amp; 최단 경로 (골드 상위)</t>
        </is>
      </c>
      <c r="I143" s="294" t="inlineStr">
        <is>
          <t>서로소집합/D3_서로소집합_서준이의_친구_네트워크</t>
        </is>
      </c>
      <c r="J143" s="292" t="inlineStr">
        <is>
          <t>✅ 6종 완비</t>
        </is>
      </c>
      <c r="K143" s="294" t="inlineStr">
        <is>
          <t>Lv.5 실전 응용 (스토리텔링)</t>
        </is>
      </c>
      <c r="L143" s="294" t="inlineStr">
        <is>
          <t>소셜 네트워크 서비스를 개발 중인 서준이는 회원들 간의 친구 관계를 분석하고 있습니다. 처음에는 모든 사용자가 서로 독립적이지만, 두 사람 A와 B가 친구가 되면 A의 친구 네트워크와 B의 친구 네트워크가 하나로 합...</t>
        </is>
      </c>
      <c r="M143" s="294" t="inlineStr">
        <is>
          <t>-</t>
        </is>
      </c>
    </row>
    <row r="144" ht="20" customHeight="1" s="209">
      <c r="A144" s="287" t="n">
        <v>143</v>
      </c>
      <c r="B144" s="295" t="inlineStr">
        <is>
          <t>D3</t>
        </is>
      </c>
      <c r="C144" s="287" t="inlineStr">
        <is>
          <t>서로소집합</t>
        </is>
      </c>
      <c r="D144" s="289" t="inlineStr">
        <is>
          <t>시아의_섬_연결_프로젝트</t>
        </is>
      </c>
      <c r="E144" s="290" t="inlineStr">
        <is>
          <t>⬜ 대기</t>
        </is>
      </c>
      <c r="F144" s="287" t="inlineStr">
        <is>
          <t>-</t>
        </is>
      </c>
      <c r="G144" s="287" t="inlineStr">
        <is>
          <t>-</t>
        </is>
      </c>
      <c r="H144" s="291" t="inlineStr">
        <is>
          <t>Tier 3. 격자 시뮬레이션 &amp; 최단 경로 (골드 상위)</t>
        </is>
      </c>
      <c r="I144" s="291" t="inlineStr">
        <is>
          <t>서로소집합/D3_서로소집합_시아의_섬_연결_프로젝트</t>
        </is>
      </c>
      <c r="J144" s="287" t="inlineStr">
        <is>
          <t>✅ 6종 완비</t>
        </is>
      </c>
      <c r="K144" s="291" t="inlineStr">
        <is>
          <t>Lv.5 실전 응용 (스토리텔링)</t>
        </is>
      </c>
      <c r="L144" s="291" t="inlineStr">
        <is>
          <t>해양 탐험가 시아는 군도에 위치한 N개의 섬들 사이에 다리를 놓는 작업을 진행하고 있습니다. 다리가 하나씩 건설될 때마다 두 섬이 속한 군집이 합쳐집니다. 시아를 도와 각 연결 쿼리 후 현재 독립적인 연결 컴포넌트의...</t>
        </is>
      </c>
      <c r="M144" s="291" t="inlineStr">
        <is>
          <t>-</t>
        </is>
      </c>
    </row>
    <row r="145" ht="20" customHeight="1" s="209">
      <c r="A145" s="292" t="n">
        <v>144</v>
      </c>
      <c r="B145" s="295" t="inlineStr">
        <is>
          <t>D3</t>
        </is>
      </c>
      <c r="C145" s="292" t="inlineStr">
        <is>
          <t>서로소집합</t>
        </is>
      </c>
      <c r="D145" s="293" t="inlineStr">
        <is>
          <t>아린이의_비밀_동아리_연합</t>
        </is>
      </c>
      <c r="E145" s="290" t="inlineStr">
        <is>
          <t>⬜ 대기</t>
        </is>
      </c>
      <c r="F145" s="292" t="inlineStr">
        <is>
          <t>-</t>
        </is>
      </c>
      <c r="G145" s="292" t="inlineStr">
        <is>
          <t>-</t>
        </is>
      </c>
      <c r="H145" s="294" t="inlineStr">
        <is>
          <t>Tier 3. 격자 시뮬레이션 &amp; 최단 경로 (골드 상위)</t>
        </is>
      </c>
      <c r="I145" s="294" t="inlineStr">
        <is>
          <t>서로소집합/D3_서로소집합_아린이의_비밀_동아리_연합</t>
        </is>
      </c>
      <c r="J145" s="292" t="inlineStr">
        <is>
          <t>✅ 6종 완비</t>
        </is>
      </c>
      <c r="K145" s="294" t="inlineStr">
        <is>
          <t>Lv.5 실전 응용 (스토리텔링)</t>
        </is>
      </c>
      <c r="L145" s="294" t="inlineStr">
        <is>
          <t>학생회장 아린이는 교내 N명의 학생들이 구성하는 동아리 연합 네트워크를 분석하고 있습니다. 친구 관계인 두 학생은 같은 동아리로 묶이며, 친구의 친구 역시 동일한 동아리에 속합니다. 모든 관계가 주어졌을 때 가장 구...</t>
        </is>
      </c>
      <c r="M145" s="294" t="inlineStr">
        <is>
          <t>-</t>
        </is>
      </c>
    </row>
    <row r="146" ht="20" customHeight="1" s="209">
      <c r="A146" s="287" t="n">
        <v>145</v>
      </c>
      <c r="B146" s="296" t="inlineStr">
        <is>
          <t>D4</t>
        </is>
      </c>
      <c r="C146" s="287" t="inlineStr">
        <is>
          <t>서로소집합</t>
        </is>
      </c>
      <c r="D146" s="289" t="inlineStr">
        <is>
          <t>가중치_있는_유니온파인드</t>
        </is>
      </c>
      <c r="E146" s="290" t="inlineStr">
        <is>
          <t>⬜ 대기</t>
        </is>
      </c>
      <c r="F146" s="287" t="inlineStr">
        <is>
          <t>-</t>
        </is>
      </c>
      <c r="G146" s="287" t="inlineStr">
        <is>
          <t>-</t>
        </is>
      </c>
      <c r="H146" s="291" t="inlineStr">
        <is>
          <t>Tier 3. 격자 시뮬레이션 &amp; 최단 경로 (골드 상위)</t>
        </is>
      </c>
      <c r="I146" s="291" t="inlineStr">
        <is>
          <t>서로소집합/D4_서로소집합_가중치_있는_유니온파인드</t>
        </is>
      </c>
      <c r="J146" s="287" t="inlineStr">
        <is>
          <t>✅ 6종 완비</t>
        </is>
      </c>
      <c r="K146" s="291" t="inlineStr">
        <is>
          <t>Lv.6 복합 제약 &amp; 시공간 최적화</t>
        </is>
      </c>
      <c r="L146" s="291" t="inlineStr">
        <is>
          <t>각 정점 x, y 사이의 상대적 무게 차이(weight[y] - weight[x] = w)를 유지하고 질의하는 문제입니다. 경로 압축 시 루트와의 상대 오프셋(Potential)을 누적 갱신하여, 두 원소 간의 무게...</t>
        </is>
      </c>
      <c r="M146" s="291" t="inlineStr">
        <is>
          <t>-</t>
        </is>
      </c>
    </row>
    <row r="147" ht="20" customHeight="1" s="209">
      <c r="A147" s="292" t="n">
        <v>146</v>
      </c>
      <c r="B147" s="296" t="inlineStr">
        <is>
          <t>D4</t>
        </is>
      </c>
      <c r="C147" s="292" t="inlineStr">
        <is>
          <t>서로소집합</t>
        </is>
      </c>
      <c r="D147" s="293" t="inlineStr">
        <is>
          <t>물류창고_폐쇄와_연결성</t>
        </is>
      </c>
      <c r="E147" s="290" t="inlineStr">
        <is>
          <t>⬜ 대기</t>
        </is>
      </c>
      <c r="F147" s="292" t="inlineStr">
        <is>
          <t>-</t>
        </is>
      </c>
      <c r="G147" s="292" t="inlineStr">
        <is>
          <t>-</t>
        </is>
      </c>
      <c r="H147" s="294" t="inlineStr">
        <is>
          <t>Tier 3. 격자 시뮬레이션 &amp; 최단 경로 (골드 상위)</t>
        </is>
      </c>
      <c r="I147" s="294" t="inlineStr">
        <is>
          <t>서로소집합/D4_서로소집합_물류창고_폐쇄와_연결성</t>
        </is>
      </c>
      <c r="J147" s="292" t="inlineStr">
        <is>
          <t>✅ 6종 완비</t>
        </is>
      </c>
      <c r="K147" s="294" t="inlineStr">
        <is>
          <t>Lv.6 복합 제약 &amp; 시공간 최적화</t>
        </is>
      </c>
      <c r="L147" s="294" t="inlineStr">
        <is>
          <t>N개의 물류 창고와 창고들을 연결하는 M개의 양방향 도로가 있습니다. 도시 재개발 계획에 따라 N개의 창고가 사전에 정해진 순서대로 하루에 하나씩 완전히 폐쇄됩니다.</t>
        </is>
      </c>
      <c r="M147" s="294" t="inlineStr">
        <is>
          <t>-</t>
        </is>
      </c>
    </row>
    <row r="148" ht="20" customHeight="1" s="209">
      <c r="A148" s="287" t="n">
        <v>147</v>
      </c>
      <c r="B148" s="296" t="inlineStr">
        <is>
          <t>D4</t>
        </is>
      </c>
      <c r="C148" s="287" t="inlineStr">
        <is>
          <t>서로소집합</t>
        </is>
      </c>
      <c r="D148" s="289" t="inlineStr">
        <is>
          <t>오프라인_쿼리_간선_제거</t>
        </is>
      </c>
      <c r="E148" s="290" t="inlineStr">
        <is>
          <t>⬜ 대기</t>
        </is>
      </c>
      <c r="F148" s="287" t="inlineStr">
        <is>
          <t>-</t>
        </is>
      </c>
      <c r="G148" s="287" t="inlineStr">
        <is>
          <t>-</t>
        </is>
      </c>
      <c r="H148" s="291" t="inlineStr">
        <is>
          <t>Tier 3. 격자 시뮬레이션 &amp; 최단 경로 (골드 상위)</t>
        </is>
      </c>
      <c r="I148" s="291" t="inlineStr">
        <is>
          <t>서로소집합/D4_서로소집합_오프라인_쿼리_간선_제거</t>
        </is>
      </c>
      <c r="J148" s="287" t="inlineStr">
        <is>
          <t>✅ 6종 완비</t>
        </is>
      </c>
      <c r="K148" s="291" t="inlineStr">
        <is>
          <t>Lv.6 복합 제약 &amp; 시공간 최적화</t>
        </is>
      </c>
      <c r="L148" s="291" t="inlineStr">
        <is>
          <t>그래프에서 간선이 하나씩 '제거'되는 상황에서의 연결성 질의는 일반적인 유니온파인드로 직접 처리하기 어렵습니다. 쿼리를 모두 수집한 뒤, 모든 간선이 제거된 최종 상태에서 역순(시간 역류)으로 간선을 '추가(Unio...</t>
        </is>
      </c>
      <c r="M148" s="291" t="inlineStr">
        <is>
          <t>-</t>
        </is>
      </c>
    </row>
    <row r="149" ht="20" customHeight="1" s="209">
      <c r="A149" s="292" t="n">
        <v>148</v>
      </c>
      <c r="B149" s="296" t="inlineStr">
        <is>
          <t>D4</t>
        </is>
      </c>
      <c r="C149" s="292" t="inlineStr">
        <is>
          <t>서로소집합</t>
        </is>
      </c>
      <c r="D149" s="293" t="inlineStr">
        <is>
          <t>이분_그래프_판별_패리티</t>
        </is>
      </c>
      <c r="E149" s="290" t="inlineStr">
        <is>
          <t>⬜ 대기</t>
        </is>
      </c>
      <c r="F149" s="292" t="inlineStr">
        <is>
          <t>-</t>
        </is>
      </c>
      <c r="G149" s="292" t="inlineStr">
        <is>
          <t>-</t>
        </is>
      </c>
      <c r="H149" s="294" t="inlineStr">
        <is>
          <t>Tier 3. 격자 시뮬레이션 &amp; 최단 경로 (골드 상위)</t>
        </is>
      </c>
      <c r="I149" s="294" t="inlineStr">
        <is>
          <t>서로소집합/D4_서로소집합_이분_그래프_판별_패리티</t>
        </is>
      </c>
      <c r="J149" s="292" t="inlineStr">
        <is>
          <t>✅ 6종 완비</t>
        </is>
      </c>
      <c r="K149" s="294" t="inlineStr">
        <is>
          <t>Lv.6 복합 제약 &amp; 시공간 최적화</t>
        </is>
      </c>
      <c r="L149" s="294" t="inlineStr">
        <is>
          <t>정점 u와 v가 서로 다른 색으로 칠해져야 한다는 조건들이 동적으로 추가될 때, 그래프가 이분 그래프(Bipartite Graph)로 유지되는지 실시간으로 판별합니다. 각 원소 x에 대해 동치 관계 x와 반대 관계 ...</t>
        </is>
      </c>
      <c r="M149" s="294" t="inlineStr">
        <is>
          <t>-</t>
        </is>
      </c>
    </row>
    <row r="150" ht="20" customHeight="1" s="209">
      <c r="A150" s="287" t="n">
        <v>149</v>
      </c>
      <c r="B150" s="296" t="inlineStr">
        <is>
          <t>D4</t>
        </is>
      </c>
      <c r="C150" s="287" t="inlineStr">
        <is>
          <t>서로소집합</t>
        </is>
      </c>
      <c r="D150" s="289" t="inlineStr">
        <is>
          <t>최대_연결_컴포넌트_쿼리</t>
        </is>
      </c>
      <c r="E150" s="290" t="inlineStr">
        <is>
          <t>⬜ 대기</t>
        </is>
      </c>
      <c r="F150" s="287" t="inlineStr">
        <is>
          <t>-</t>
        </is>
      </c>
      <c r="G150" s="287" t="inlineStr">
        <is>
          <t>-</t>
        </is>
      </c>
      <c r="H150" s="291" t="inlineStr">
        <is>
          <t>Tier 3. 격자 시뮬레이션 &amp; 최단 경로 (골드 상위)</t>
        </is>
      </c>
      <c r="I150" s="291" t="inlineStr">
        <is>
          <t>서로소집합/D4_서로소집합_최대_연결_컴포넌트_쿼리</t>
        </is>
      </c>
      <c r="J150" s="287" t="inlineStr">
        <is>
          <t>✅ 6종 완비</t>
        </is>
      </c>
      <c r="K150" s="291" t="inlineStr">
        <is>
          <t>Lv.6 복합 제약 &amp; 시공간 최적화</t>
        </is>
      </c>
      <c r="L150" s="291" t="inlineStr">
        <is>
          <t>N개의 정점이 있는 무방향 그래프에서 간선이 하나씩 추가될 때마다, 전체 그래프에서 가장 원소 수가 많은 연결 컴포넌트의 크기(최댓값)를 즉각 반환하는 동적 질의 문제입니다. 각 집합의 크기를 루트 노드에 저장하고 ...</t>
        </is>
      </c>
      <c r="M150" s="291" t="inlineStr">
        <is>
          <t>-</t>
        </is>
      </c>
    </row>
    <row r="151" ht="20" customHeight="1" s="209">
      <c r="A151" s="292" t="n">
        <v>150</v>
      </c>
      <c r="B151" s="297" t="inlineStr">
        <is>
          <t>D5</t>
        </is>
      </c>
      <c r="C151" s="292" t="inlineStr">
        <is>
          <t>서로소집합</t>
        </is>
      </c>
      <c r="D151" s="293" t="inlineStr">
        <is>
          <t>대규모_네트워크_복구_설계</t>
        </is>
      </c>
      <c r="E151" s="290" t="inlineStr">
        <is>
          <t>⬜ 대기</t>
        </is>
      </c>
      <c r="F151" s="292" t="inlineStr">
        <is>
          <t>-</t>
        </is>
      </c>
      <c r="G151" s="292" t="inlineStr">
        <is>
          <t>-</t>
        </is>
      </c>
      <c r="H151" s="294" t="inlineStr">
        <is>
          <t>Tier 3. 격자 시뮬레이션 &amp; 최단 경로 (골드 상위)</t>
        </is>
      </c>
      <c r="I151" s="294" t="inlineStr">
        <is>
          <t>서로소집합/D5_서로소집합_대규모_네트워크_복구_설계</t>
        </is>
      </c>
      <c r="J151" s="292" t="inlineStr">
        <is>
          <t>✅ 6종 완비</t>
        </is>
      </c>
      <c r="K151" s="294" t="inlineStr">
        <is>
          <t>Lv.7 삼성 B형 Pro (No-STL/메모리풀)</t>
        </is>
      </c>
      <c r="L151" s="294" t="inlineStr">
        <is>
          <t>대규모 클라우드 데이터센터에 1번부터 N번까지의 독립된 분산 노드가 구축되어 있습니다. 서버 관리자는 노드 간의 회선을 연결하고(Union), 긴급 장애 발생 시 직전에 연결했던 회선들을 연결 직전 상태로 완벽하게 ...</t>
        </is>
      </c>
      <c r="M151" s="294" t="inlineStr">
        <is>
          <t>-</t>
        </is>
      </c>
    </row>
    <row r="152" ht="20" customHeight="1" s="209">
      <c r="A152" s="287" t="n">
        <v>151</v>
      </c>
      <c r="B152" s="296" t="inlineStr">
        <is>
          <t>D4</t>
        </is>
      </c>
      <c r="C152" s="287" t="inlineStr">
        <is>
          <t>세그먼트트리</t>
        </is>
      </c>
      <c r="D152" s="289" t="inlineStr">
        <is>
          <t>구간합_갱신_질의</t>
        </is>
      </c>
      <c r="E152" s="290" t="inlineStr">
        <is>
          <t>⬜ 대기</t>
        </is>
      </c>
      <c r="F152" s="287" t="inlineStr">
        <is>
          <t>-</t>
        </is>
      </c>
      <c r="G152" s="287" t="inlineStr">
        <is>
          <t>-</t>
        </is>
      </c>
      <c r="H152" s="291" t="inlineStr">
        <is>
          <t>Tier 4. 동적 계획법 &amp; 고급 탐색 (A형 심화)</t>
        </is>
      </c>
      <c r="I152" s="291" t="inlineStr">
        <is>
          <t>세그먼트트리/D4_세그먼트트리_구간합_갱신_질의</t>
        </is>
      </c>
      <c r="J152" s="287" t="inlineStr">
        <is>
          <t>✅ 6종 완비</t>
        </is>
      </c>
      <c r="K152" s="291" t="inlineStr">
        <is>
          <t>Lv.6 복합 제약 &amp; 시공간 최적화</t>
        </is>
      </c>
      <c r="L152" s="291" t="inlineStr">
        <is>
          <t>N개의 수가 주어져 있을 때, 수열의 중간 원소가 빈번하게 변경되고(Update), 특정 구간 [left, right]의 합을 구하는 질의(Query)가 수없이 주어집니다. 단순 배열을 사용하면 갱신은 O(1)이지만...</t>
        </is>
      </c>
      <c r="M152" s="291" t="inlineStr">
        <is>
          <t>-</t>
        </is>
      </c>
    </row>
    <row r="153" ht="20" customHeight="1" s="209">
      <c r="A153" s="292" t="n">
        <v>152</v>
      </c>
      <c r="B153" s="296" t="inlineStr">
        <is>
          <t>D4</t>
        </is>
      </c>
      <c r="C153" s="292" t="inlineStr">
        <is>
          <t>순서통계</t>
        </is>
      </c>
      <c r="D153" s="293" t="inlineStr">
        <is>
          <t>퀵셀렉트_K번째수</t>
        </is>
      </c>
      <c r="E153" s="290" t="inlineStr">
        <is>
          <t>⬜ 대기</t>
        </is>
      </c>
      <c r="F153" s="292" t="inlineStr">
        <is>
          <t>-</t>
        </is>
      </c>
      <c r="G153" s="292" t="inlineStr">
        <is>
          <t>-</t>
        </is>
      </c>
      <c r="H153" s="294" t="inlineStr">
        <is>
          <t>Tier 4. 동적 계획법 &amp; 고급 탐색 (A형 심화)</t>
        </is>
      </c>
      <c r="I153" s="294" t="inlineStr">
        <is>
          <t>순서통계/D4_순서통계_퀵셀렉트_K번째수</t>
        </is>
      </c>
      <c r="J153" s="292" t="inlineStr">
        <is>
          <t>✅ 6종 완비</t>
        </is>
      </c>
      <c r="K153" s="294" t="inlineStr">
        <is>
          <t>Lv.6 복합 제약 &amp; 시공간 최적화</t>
        </is>
      </c>
      <c r="L153" s="294" t="inlineStr">
        <is>
          <t>글로벌 클라우드 플랫폼의 성능 분석관 우진이는 수십만 대의 가상 머신(VM)에서 실시간으로 수집되는 네트워크 패킷 왕복 지연 시간(RTT Latency) 데이터를 모니터링하고 있습니다. 지연 시간 데이터셋에서 특정 ...</t>
        </is>
      </c>
      <c r="M153" s="294" t="inlineStr">
        <is>
          <t>-</t>
        </is>
      </c>
    </row>
    <row r="154" ht="20" customHeight="1" s="209">
      <c r="A154" s="287" t="n">
        <v>153</v>
      </c>
      <c r="B154" s="288" t="inlineStr">
        <is>
          <t>D2</t>
        </is>
      </c>
      <c r="C154" s="287" t="inlineStr">
        <is>
          <t>순열</t>
        </is>
      </c>
      <c r="D154" s="289" t="inlineStr">
        <is>
          <t>과일_파르페_쌓기</t>
        </is>
      </c>
      <c r="E154" s="290" t="inlineStr">
        <is>
          <t>⬜ 대기</t>
        </is>
      </c>
      <c r="F154" s="287" t="inlineStr">
        <is>
          <t>-</t>
        </is>
      </c>
      <c r="G154" s="287" t="inlineStr">
        <is>
          <t>-</t>
        </is>
      </c>
      <c r="H154" s="291" t="inlineStr">
        <is>
          <t>Tier 2. 완전 탐색 &amp; 백트래킹 (A형 핵심)</t>
        </is>
      </c>
      <c r="I154" s="291" t="inlineStr">
        <is>
          <t>순열/D2_순열_과일_파르페_쌓기</t>
        </is>
      </c>
      <c r="J154" s="287" t="inlineStr">
        <is>
          <t>✅ 6종 완비</t>
        </is>
      </c>
      <c r="K154" s="291" t="inlineStr">
        <is>
          <t>Lv.4 경계완충/징검다리</t>
        </is>
      </c>
      <c r="L154" s="291" t="inlineStr">
        <is>
          <t>디저트 카페에서 N가지 서로 다른 과일(1번부터 N번) 중 R개를 선택하여 아래층(1층)부터 위층(R층)까지 차례대로 쌓아 3단 이상의 파르페를 만듭니다. 층마다 과일을 떠먹는 순서와 비주얼이 다르므로 과일을 쌓는 ...</t>
        </is>
      </c>
      <c r="M154" s="291" t="inlineStr">
        <is>
          <t>-</t>
        </is>
      </c>
    </row>
    <row r="155" ht="20" customHeight="1" s="209">
      <c r="A155" s="292" t="n">
        <v>154</v>
      </c>
      <c r="B155" s="288" t="inlineStr">
        <is>
          <t>D2</t>
        </is>
      </c>
      <c r="C155" s="292" t="inlineStr">
        <is>
          <t>순열</t>
        </is>
      </c>
      <c r="D155" s="293" t="inlineStr">
        <is>
          <t>놀이공원_줄세우기</t>
        </is>
      </c>
      <c r="E155" s="290" t="inlineStr">
        <is>
          <t>⬜ 대기</t>
        </is>
      </c>
      <c r="F155" s="292" t="inlineStr">
        <is>
          <t>-</t>
        </is>
      </c>
      <c r="G155" s="292" t="inlineStr">
        <is>
          <t>-</t>
        </is>
      </c>
      <c r="H155" s="294" t="inlineStr">
        <is>
          <t>Tier 2. 완전 탐색 &amp; 백트래킹 (A형 핵심)</t>
        </is>
      </c>
      <c r="I155" s="294" t="inlineStr">
        <is>
          <t>순열/D2_순열_놀이공원_줄세우기</t>
        </is>
      </c>
      <c r="J155" s="292" t="inlineStr">
        <is>
          <t>✅ 6종 완비</t>
        </is>
      </c>
      <c r="K155" s="294" t="inlineStr">
        <is>
          <t>Lv.4 경계완충/징검다리</t>
        </is>
      </c>
      <c r="L155" s="294" t="inlineStr">
        <is>
          <t>놀이공원에 놀러 온 N명의 학생(1번부터 N번) 중 R명을 뽑아 롤러코스터 탑승 대기 줄을 세웁니다. 이때 키가 가장 큰 학생(1번 학생)은 반드시 대기 줄의 맨 앞(1번째) 또는 맨 뒤(R번째)에 위치해야 합니다.</t>
        </is>
      </c>
      <c r="M155" s="294" t="inlineStr">
        <is>
          <t>-</t>
        </is>
      </c>
    </row>
    <row r="156" ht="20" customHeight="1" s="209">
      <c r="A156" s="287" t="n">
        <v>155</v>
      </c>
      <c r="B156" s="288" t="inlineStr">
        <is>
          <t>D2</t>
        </is>
      </c>
      <c r="C156" s="287" t="inlineStr">
        <is>
          <t>순열</t>
        </is>
      </c>
      <c r="D156" s="289" t="inlineStr">
        <is>
          <t>다음_순열_사전순_찾기</t>
        </is>
      </c>
      <c r="E156" s="290" t="inlineStr">
        <is>
          <t>⬜ 대기</t>
        </is>
      </c>
      <c r="F156" s="287" t="inlineStr">
        <is>
          <t>-</t>
        </is>
      </c>
      <c r="G156" s="287" t="inlineStr">
        <is>
          <t>-</t>
        </is>
      </c>
      <c r="H156" s="291" t="inlineStr">
        <is>
          <t>Tier 2. 완전 탐색 &amp; 백트래킹 (A형 핵심)</t>
        </is>
      </c>
      <c r="I156" s="291" t="inlineStr">
        <is>
          <t>순열/D2_순열_다음_순열_사전순_찾기</t>
        </is>
      </c>
      <c r="J156" s="287" t="inlineStr">
        <is>
          <t>✅ 6종 완비</t>
        </is>
      </c>
      <c r="K156" s="291" t="inlineStr">
        <is>
          <t>Lv.4 경계완충/징검다리</t>
        </is>
      </c>
      <c r="L156" s="291" t="inlineStr">
        <is>
          <t>주어진 순열의 사전 순 다음 순열을 구하는 프로그램을 작성하십시오. 만약 이미 사전 순으로 가장 마지막 순열인 경우 -1을 출력합니다.</t>
        </is>
      </c>
      <c r="M156" s="291" t="inlineStr">
        <is>
          <t>-</t>
        </is>
      </c>
    </row>
    <row r="157" ht="20" customHeight="1" s="209">
      <c r="A157" s="292" t="n">
        <v>156</v>
      </c>
      <c r="B157" s="288" t="inlineStr">
        <is>
          <t>D2</t>
        </is>
      </c>
      <c r="C157" s="292" t="inlineStr">
        <is>
          <t>순열</t>
        </is>
      </c>
      <c r="D157" s="293" t="inlineStr">
        <is>
          <t>순열에_대해서</t>
        </is>
      </c>
      <c r="E157" s="290" t="inlineStr">
        <is>
          <t>⬜ 대기</t>
        </is>
      </c>
      <c r="F157" s="292" t="inlineStr">
        <is>
          <t>-</t>
        </is>
      </c>
      <c r="G157" s="292" t="inlineStr">
        <is>
          <t>-</t>
        </is>
      </c>
      <c r="H157" s="294" t="inlineStr">
        <is>
          <t>Tier 2. 완전 탐색 &amp; 백트래킹 (A형 핵심)</t>
        </is>
      </c>
      <c r="I157" s="294" t="inlineStr">
        <is>
          <t>순열/D2_순열_순열에_대해서</t>
        </is>
      </c>
      <c r="J157" s="292" t="inlineStr">
        <is>
          <t>✅ 6종 완비</t>
        </is>
      </c>
      <c r="K157" s="294" t="inlineStr">
        <is>
          <t>Lv.3 개념뼈대 완결</t>
        </is>
      </c>
      <c r="L157" s="294" t="inlineStr">
        <is>
          <t>1부터 N까지의 자연수 중에서 중복 없이 R개를 고른 모든 순열을 사전 순으로 출력하는 프로그램을 작성하십시오.</t>
        </is>
      </c>
      <c r="M157" s="294" t="inlineStr">
        <is>
          <t>-</t>
        </is>
      </c>
    </row>
    <row r="158" ht="20" customHeight="1" s="209">
      <c r="A158" s="287" t="n">
        <v>157</v>
      </c>
      <c r="B158" s="288" t="inlineStr">
        <is>
          <t>D2</t>
        </is>
      </c>
      <c r="C158" s="287" t="inlineStr">
        <is>
          <t>순열</t>
        </is>
      </c>
      <c r="D158" s="289" t="inlineStr">
        <is>
          <t>알파벳_단어_만들기</t>
        </is>
      </c>
      <c r="E158" s="290" t="inlineStr">
        <is>
          <t>⬜ 대기</t>
        </is>
      </c>
      <c r="F158" s="287" t="inlineStr">
        <is>
          <t>-</t>
        </is>
      </c>
      <c r="G158" s="287" t="inlineStr">
        <is>
          <t>-</t>
        </is>
      </c>
      <c r="H158" s="291" t="inlineStr">
        <is>
          <t>Tier 2. 완전 탐색 &amp; 백트래킹 (A형 핵심)</t>
        </is>
      </c>
      <c r="I158" s="291" t="inlineStr">
        <is>
          <t>순열/D2_순열_알파벳_단어_만들기</t>
        </is>
      </c>
      <c r="J158" s="287" t="inlineStr">
        <is>
          <t>✅ 6종 완비</t>
        </is>
      </c>
      <c r="K158" s="291" t="inlineStr">
        <is>
          <t>Lv.4 경계완충/징검다리</t>
        </is>
      </c>
      <c r="L158" s="291" t="inlineStr">
        <is>
          <t>서로 다른 N개의 알파벳 중 R개를 골라 순서대로 나열하여 단어를 만듭니다. 단, 첫 글자는 반드시 모음(A, E, I, O, U)이어야 한다는 규칙이 있습니다.</t>
        </is>
      </c>
      <c r="M158" s="291" t="inlineStr">
        <is>
          <t>-</t>
        </is>
      </c>
    </row>
    <row r="159" ht="20" customHeight="1" s="209">
      <c r="A159" s="292" t="n">
        <v>158</v>
      </c>
      <c r="B159" s="295" t="inlineStr">
        <is>
          <t>D3</t>
        </is>
      </c>
      <c r="C159" s="292" t="inlineStr">
        <is>
          <t>순열</t>
        </is>
      </c>
      <c r="D159" s="293" t="inlineStr">
        <is>
          <t>도윤이의_알파벳_단어_사전순_나열</t>
        </is>
      </c>
      <c r="E159" s="290" t="inlineStr">
        <is>
          <t>⬜ 대기</t>
        </is>
      </c>
      <c r="F159" s="292" t="inlineStr">
        <is>
          <t>-</t>
        </is>
      </c>
      <c r="G159" s="292" t="inlineStr">
        <is>
          <t>-</t>
        </is>
      </c>
      <c r="H159" s="294" t="inlineStr">
        <is>
          <t>Tier 2. 완전 탐색 &amp; 백트래킹 (A형 핵심)</t>
        </is>
      </c>
      <c r="I159" s="294" t="inlineStr">
        <is>
          <t>순열/D3_순열_도윤이의_알파벳_단어_사전순_나열</t>
        </is>
      </c>
      <c r="J159" s="292" t="inlineStr">
        <is>
          <t>✅ 6종 완비</t>
        </is>
      </c>
      <c r="K159" s="294" t="inlineStr">
        <is>
          <t>Lv.5 실전 응용 (스토리텔링)</t>
        </is>
      </c>
      <c r="L159" s="294" t="inlineStr">
        <is>
          <t>어휘 퍼즐 맞추기를 좋아하는 도윤이는 서로 다른 알파벳 대문자로 구성된 글자 카드들을 가지고 있습니다. 도윤이는 주어진 글자 카드들로 만들 수 있는 모든 순열 단어들을 사전 순으로 정렬했을 때,</t>
        </is>
      </c>
      <c r="M159" s="294" t="inlineStr">
        <is>
          <t>-</t>
        </is>
      </c>
    </row>
    <row r="160" ht="20" customHeight="1" s="209">
      <c r="A160" s="287" t="n">
        <v>159</v>
      </c>
      <c r="B160" s="295" t="inlineStr">
        <is>
          <t>D3</t>
        </is>
      </c>
      <c r="C160" s="287" t="inlineStr">
        <is>
          <t>순열</t>
        </is>
      </c>
      <c r="D160" s="289" t="inlineStr">
        <is>
          <t>사전순_다음_순열</t>
        </is>
      </c>
      <c r="E160" s="290" t="inlineStr">
        <is>
          <t>⬜ 대기</t>
        </is>
      </c>
      <c r="F160" s="287" t="inlineStr">
        <is>
          <t>-</t>
        </is>
      </c>
      <c r="G160" s="287" t="inlineStr">
        <is>
          <t>-</t>
        </is>
      </c>
      <c r="H160" s="291" t="inlineStr">
        <is>
          <t>Tier 2. 완전 탐색 &amp; 백트래킹 (A형 핵심)</t>
        </is>
      </c>
      <c r="I160" s="291" t="inlineStr">
        <is>
          <t>순열/D3_순열_사전순_다음_순열</t>
        </is>
      </c>
      <c r="J160" s="287" t="inlineStr">
        <is>
          <t>✅ 6종 완비</t>
        </is>
      </c>
      <c r="K160" s="291" t="inlineStr">
        <is>
          <t>Lv.5 실전 응용 (스토리텔링)</t>
        </is>
      </c>
      <c r="L160" s="291" t="inlineStr">
        <is>
          <t>보안 시스템 연구원 지아는 비밀번호 순열 목록에서 사전순으로 바로 다음에 오는 순열을 생성하는 인증 알고리즘을 개발 중이다. 1부터 N까지의 숫자로 이루어진 순열이 주어졌을 때, 사전순으로 바로 다음에 오는 순열을 ...</t>
        </is>
      </c>
      <c r="M160" s="291" t="inlineStr">
        <is>
          <t>-</t>
        </is>
      </c>
    </row>
    <row r="161" ht="20" customHeight="1" s="209">
      <c r="A161" s="292" t="n">
        <v>160</v>
      </c>
      <c r="B161" s="295" t="inlineStr">
        <is>
          <t>D3</t>
        </is>
      </c>
      <c r="C161" s="292" t="inlineStr">
        <is>
          <t>순열</t>
        </is>
      </c>
      <c r="D161" s="293" t="inlineStr">
        <is>
          <t>시우의_숫자_카드_최대_차이_수열</t>
        </is>
      </c>
      <c r="E161" s="290" t="inlineStr">
        <is>
          <t>⬜ 대기</t>
        </is>
      </c>
      <c r="F161" s="292" t="inlineStr">
        <is>
          <t>-</t>
        </is>
      </c>
      <c r="G161" s="292" t="inlineStr">
        <is>
          <t>-</t>
        </is>
      </c>
      <c r="H161" s="294" t="inlineStr">
        <is>
          <t>Tier 2. 완전 탐색 &amp; 백트래킹 (A형 핵심)</t>
        </is>
      </c>
      <c r="I161" s="294" t="inlineStr">
        <is>
          <t>순열/D3_순열_시우의_숫자_카드_최대_차이_수열</t>
        </is>
      </c>
      <c r="J161" s="292" t="inlineStr">
        <is>
          <t>✅ 6종 완비</t>
        </is>
      </c>
      <c r="K161" s="294" t="inlineStr">
        <is>
          <t>Lv.5 실전 응용 (스토리텔링)</t>
        </is>
      </c>
      <c r="L161" s="294" t="inlineStr">
        <is>
          <t>보드게임 개발을 좋아하는 시우는 N장의 숫자 카드를 이용한 흥미진진한 점수 계산 규칙을 만들었습니다. N장의 카드를 어떤 순서로 나열하여 수열 A = [A_1, A_2, ..., A_N]을 만들 때,</t>
        </is>
      </c>
      <c r="M161" s="294" t="inlineStr">
        <is>
          <t>-</t>
        </is>
      </c>
    </row>
    <row r="162" ht="20" customHeight="1" s="209">
      <c r="A162" s="287" t="n">
        <v>161</v>
      </c>
      <c r="B162" s="295" t="inlineStr">
        <is>
          <t>D3</t>
        </is>
      </c>
      <c r="C162" s="287" t="inlineStr">
        <is>
          <t>순열</t>
        </is>
      </c>
      <c r="D162" s="289" t="inlineStr">
        <is>
          <t>원형_테이블_좌석_배치</t>
        </is>
      </c>
      <c r="E162" s="290" t="inlineStr">
        <is>
          <t>⬜ 대기</t>
        </is>
      </c>
      <c r="F162" s="287" t="inlineStr">
        <is>
          <t>-</t>
        </is>
      </c>
      <c r="G162" s="287" t="inlineStr">
        <is>
          <t>-</t>
        </is>
      </c>
      <c r="H162" s="291" t="inlineStr">
        <is>
          <t>Tier 2. 완전 탐색 &amp; 백트래킹 (A형 핵심)</t>
        </is>
      </c>
      <c r="I162" s="291" t="inlineStr">
        <is>
          <t>순열/D3_순열_원형_테이블_좌석_배치</t>
        </is>
      </c>
      <c r="J162" s="287" t="inlineStr">
        <is>
          <t>✅ 6종 완비</t>
        </is>
      </c>
      <c r="K162" s="291" t="inlineStr">
        <is>
          <t>Lv.5 실전 응용 (스토리텔링)</t>
        </is>
      </c>
      <c r="L162" s="291" t="inlineStr">
        <is>
          <t>연회 기획자 하윤이는 귀빈들을 원형 테이블에 둘러앉힐 때 서로 사이가 좋은 사람들끼리 이웃하도록 순열 좌석을 배치하고 있다. N명의 사람(1번부터 N번)이 원형 테이블에 둘러앉습니다.</t>
        </is>
      </c>
      <c r="M162" s="291" t="inlineStr">
        <is>
          <t>-</t>
        </is>
      </c>
    </row>
    <row r="163" ht="20" customHeight="1" s="209">
      <c r="A163" s="292" t="n">
        <v>162</v>
      </c>
      <c r="B163" s="295" t="inlineStr">
        <is>
          <t>D3</t>
        </is>
      </c>
      <c r="C163" s="292" t="inlineStr">
        <is>
          <t>순열</t>
        </is>
      </c>
      <c r="D163" s="293" t="inlineStr">
        <is>
          <t>은우의_이어달리기_주자_배치</t>
        </is>
      </c>
      <c r="E163" s="290" t="inlineStr">
        <is>
          <t>⬜ 대기</t>
        </is>
      </c>
      <c r="F163" s="292" t="inlineStr">
        <is>
          <t>-</t>
        </is>
      </c>
      <c r="G163" s="292" t="inlineStr">
        <is>
          <t>-</t>
        </is>
      </c>
      <c r="H163" s="294" t="inlineStr">
        <is>
          <t>Tier 2. 완전 탐색 &amp; 백트래킹 (A형 핵심)</t>
        </is>
      </c>
      <c r="I163" s="294" t="inlineStr">
        <is>
          <t>순열/D3_순열_은우의_이어달리기_주자_배치</t>
        </is>
      </c>
      <c r="J163" s="292" t="inlineStr">
        <is>
          <t>✅ 6종 완비</t>
        </is>
      </c>
      <c r="K163" s="294" t="inlineStr">
        <is>
          <t>Lv.5 실전 응용 (스토리텔링)</t>
        </is>
      </c>
      <c r="L163" s="294" t="inlineStr">
        <is>
          <t>체육대회 반 대표 육상 코치를 맡은 은우는 이어달리기 종목에 출전할 N명의 주자 배치 순서를 결정하고 있습니다. 이어달리기에서는 앞 주자로부터 다음 주자로 배턴(Baton)을 전달할 때 두 사람 간의 호흡과 시너지가...</t>
        </is>
      </c>
      <c r="M163" s="294" t="inlineStr">
        <is>
          <t>-</t>
        </is>
      </c>
    </row>
    <row r="164" ht="20" customHeight="1" s="209">
      <c r="A164" s="287" t="n">
        <v>163</v>
      </c>
      <c r="B164" s="296" t="inlineStr">
        <is>
          <t>D4</t>
        </is>
      </c>
      <c r="C164" s="287" t="inlineStr">
        <is>
          <t>순열</t>
        </is>
      </c>
      <c r="D164" s="289" t="inlineStr">
        <is>
          <t>N자리_순열_사전순_K번째_복원</t>
        </is>
      </c>
      <c r="E164" s="290" t="inlineStr">
        <is>
          <t>⬜ 대기</t>
        </is>
      </c>
      <c r="F164" s="287" t="inlineStr">
        <is>
          <t>-</t>
        </is>
      </c>
      <c r="G164" s="287" t="inlineStr">
        <is>
          <t>-</t>
        </is>
      </c>
      <c r="H164" s="291" t="inlineStr">
        <is>
          <t>Tier 2. 완전 탐색 &amp; 백트래킹 (A형 핵심)</t>
        </is>
      </c>
      <c r="I164" s="291" t="inlineStr">
        <is>
          <t>순열/D4_순열_N자리_순열_사전순_K번째_복원</t>
        </is>
      </c>
      <c r="J164" s="287" t="inlineStr">
        <is>
          <t>✅ 6종 완비</t>
        </is>
      </c>
      <c r="K164" s="291" t="inlineStr">
        <is>
          <t>Lv.6 복합 제약 &amp; 시공간 최적화</t>
        </is>
      </c>
      <c r="L164" s="291" t="inlineStr">
        <is>
          <t>1부터 N까지의 자연수를 한 번씩만 사용하여 만들 수 있는 N!개의 순열들을 사전순으로 정렬했을 때, K번째로 오는 순열을 복원하는 문제입니다. N이 최대 20에 달할 수 있으므로 N! = 2.4 x 10^18로 모...</t>
        </is>
      </c>
      <c r="M164" s="291" t="inlineStr">
        <is>
          <t>-</t>
        </is>
      </c>
    </row>
    <row r="165" ht="20" customHeight="1" s="209">
      <c r="A165" s="292" t="n">
        <v>164</v>
      </c>
      <c r="B165" s="296" t="inlineStr">
        <is>
          <t>D4</t>
        </is>
      </c>
      <c r="C165" s="292" t="inlineStr">
        <is>
          <t>순열</t>
        </is>
      </c>
      <c r="D165" s="293" t="inlineStr">
        <is>
          <t>과일트럭_최단배달</t>
        </is>
      </c>
      <c r="E165" s="290" t="inlineStr">
        <is>
          <t>⬜ 대기</t>
        </is>
      </c>
      <c r="F165" s="292" t="inlineStr">
        <is>
          <t>-</t>
        </is>
      </c>
      <c r="G165" s="292" t="inlineStr">
        <is>
          <t>-</t>
        </is>
      </c>
      <c r="H165" s="294" t="inlineStr">
        <is>
          <t>Tier 2. 완전 탐색 &amp; 백트래킹 (A형 핵심)</t>
        </is>
      </c>
      <c r="I165" s="294" t="inlineStr">
        <is>
          <t>순열/D4_순열_과일트럭_최단배달</t>
        </is>
      </c>
      <c r="J165" s="292" t="inlineStr">
        <is>
          <t>✅ 6종 완비</t>
        </is>
      </c>
      <c r="K165" s="294" t="inlineStr">
        <is>
          <t>Lv.6 복합 제약 &amp; 시공간 최적화</t>
        </is>
      </c>
      <c r="L165" s="294" t="inlineStr">
        <is>
          <t>신선 과일 배송 트럭이 과일 유통센터(0번)에서 출발하여 N개의 가맹 과일 매장(1번부터 N번)을 모두 정확히 한 번씩 방문하여 배송을 마친 뒤, 다시 유통센터(0번)로 복귀해야 합니다. 지점 i에서 지점 j로 이동...</t>
        </is>
      </c>
      <c r="M165" s="294" t="inlineStr">
        <is>
          <t>-</t>
        </is>
      </c>
    </row>
    <row r="166" ht="20" customHeight="1" s="209">
      <c r="A166" s="287" t="n">
        <v>165</v>
      </c>
      <c r="B166" s="296" t="inlineStr">
        <is>
          <t>D4</t>
        </is>
      </c>
      <c r="C166" s="287" t="inlineStr">
        <is>
          <t>순열</t>
        </is>
      </c>
      <c r="D166" s="289" t="inlineStr">
        <is>
          <t>부등호_관계식_최대_최소_수열</t>
        </is>
      </c>
      <c r="E166" s="290" t="inlineStr">
        <is>
          <t>⬜ 대기</t>
        </is>
      </c>
      <c r="F166" s="287" t="inlineStr">
        <is>
          <t>-</t>
        </is>
      </c>
      <c r="G166" s="287" t="inlineStr">
        <is>
          <t>-</t>
        </is>
      </c>
      <c r="H166" s="291" t="inlineStr">
        <is>
          <t>Tier 2. 완전 탐색 &amp; 백트래킹 (A형 핵심)</t>
        </is>
      </c>
      <c r="I166" s="291" t="inlineStr">
        <is>
          <t>순열/D4_순열_부등호_관계식_최대_최소_수열</t>
        </is>
      </c>
      <c r="J166" s="287" t="inlineStr">
        <is>
          <t>✅ 6종 완비</t>
        </is>
      </c>
      <c r="K166" s="291" t="inlineStr">
        <is>
          <t>Lv.6 복합 제약 &amp; 시공간 최적화</t>
        </is>
      </c>
      <c r="L166" s="291" t="inlineStr">
        <is>
          <t>주어진 부등호 관계식을 만족하는 k+1자리의 최대 정수와 최소 정수를 각각 문자열 형태로 한 줄씩 출력하십시오.</t>
        </is>
      </c>
      <c r="M166" s="291" t="inlineStr">
        <is>
          <t>-</t>
        </is>
      </c>
    </row>
    <row r="167" ht="20" customHeight="1" s="209">
      <c r="A167" s="292" t="n">
        <v>166</v>
      </c>
      <c r="B167" s="296" t="inlineStr">
        <is>
          <t>D4</t>
        </is>
      </c>
      <c r="C167" s="292" t="inlineStr">
        <is>
          <t>순열</t>
        </is>
      </c>
      <c r="D167" s="293" t="inlineStr">
        <is>
          <t>외판원_순회_비트마스크_순열_최적화</t>
        </is>
      </c>
      <c r="E167" s="290" t="inlineStr">
        <is>
          <t>⬜ 대기</t>
        </is>
      </c>
      <c r="F167" s="292" t="inlineStr">
        <is>
          <t>-</t>
        </is>
      </c>
      <c r="G167" s="292" t="inlineStr">
        <is>
          <t>-</t>
        </is>
      </c>
      <c r="H167" s="294" t="inlineStr">
        <is>
          <t>Tier 2. 완전 탐색 &amp; 백트래킹 (A형 핵심)</t>
        </is>
      </c>
      <c r="I167" s="294" t="inlineStr">
        <is>
          <t>순열/D4_순열_외판원_순회_비트마스크_순열_최적화</t>
        </is>
      </c>
      <c r="J167" s="292" t="inlineStr">
        <is>
          <t>✅ 6종 완비</t>
        </is>
      </c>
      <c r="K167" s="294" t="inlineStr">
        <is>
          <t>Lv.6 복합 제약 &amp; 시공간 최적화</t>
        </is>
      </c>
      <c r="L167" s="294" t="inlineStr">
        <is>
          <t>주어진 N개의 도시 간 이동 비용 행렬 W에 대해 모든 도시를 거쳐 다시 출발 도시(0번)로 돌아오는 최소 순회 비용을 구하십시오.</t>
        </is>
      </c>
      <c r="M167" s="294" t="inlineStr">
        <is>
          <t>-</t>
        </is>
      </c>
    </row>
    <row r="168" ht="20" customHeight="1" s="209">
      <c r="A168" s="287" t="n">
        <v>167</v>
      </c>
      <c r="B168" s="296" t="inlineStr">
        <is>
          <t>D4</t>
        </is>
      </c>
      <c r="C168" s="287" t="inlineStr">
        <is>
          <t>순열</t>
        </is>
      </c>
      <c r="D168" s="289" t="inlineStr">
        <is>
          <t>작업_공정_최적순서</t>
        </is>
      </c>
      <c r="E168" s="290" t="inlineStr">
        <is>
          <t>⬜ 대기</t>
        </is>
      </c>
      <c r="F168" s="287" t="inlineStr">
        <is>
          <t>-</t>
        </is>
      </c>
      <c r="G168" s="287" t="inlineStr">
        <is>
          <t>-</t>
        </is>
      </c>
      <c r="H168" s="291" t="inlineStr">
        <is>
          <t>Tier 2. 완전 탐색 &amp; 백트래킹 (A형 핵심)</t>
        </is>
      </c>
      <c r="I168" s="291" t="inlineStr">
        <is>
          <t>순열/D4_순열_작업_공정_최적순서</t>
        </is>
      </c>
      <c r="J168" s="287" t="inlineStr">
        <is>
          <t>✅ 6종 완비</t>
        </is>
      </c>
      <c r="K168" s="291" t="inlineStr">
        <is>
          <t>Lv.6 복합 제약 &amp; 시공간 최적화</t>
        </is>
      </c>
      <c r="L168" s="291" t="inlineStr">
        <is>
          <t>N개의 독립적인 작업(1번 ~ N번)을 단일 작업대에서 순서대로 처리해야 합니다. 각 작업 i는 소요 시간 P_i와 마감 기한 D_i가 있습니다.</t>
        </is>
      </c>
      <c r="M168" s="291" t="inlineStr">
        <is>
          <t>-</t>
        </is>
      </c>
    </row>
    <row r="169" ht="20" customHeight="1" s="209">
      <c r="A169" s="292" t="n">
        <v>168</v>
      </c>
      <c r="B169" s="288" t="inlineStr">
        <is>
          <t>D2</t>
        </is>
      </c>
      <c r="C169" s="292" t="inlineStr">
        <is>
          <t>스택</t>
        </is>
      </c>
      <c r="D169" s="293" t="inlineStr">
        <is>
          <t>문자열_압축_해제</t>
        </is>
      </c>
      <c r="E169" s="290" t="inlineStr">
        <is>
          <t>⬜ 대기</t>
        </is>
      </c>
      <c r="F169" s="292" t="inlineStr">
        <is>
          <t>-</t>
        </is>
      </c>
      <c r="G169" s="292" t="inlineStr">
        <is>
          <t>-</t>
        </is>
      </c>
      <c r="H169" s="294" t="inlineStr">
        <is>
          <t>Tier 1. 선형 자료구조 &amp; 탐색 기본기</t>
        </is>
      </c>
      <c r="I169" s="294" t="inlineStr">
        <is>
          <t>스택/D2_스택_문자열_압축_해제</t>
        </is>
      </c>
      <c r="J169" s="292" t="inlineStr">
        <is>
          <t>✅ 6종 완비</t>
        </is>
      </c>
      <c r="K169" s="294" t="inlineStr">
        <is>
          <t>Lv.4 경계완충/징검다리</t>
        </is>
      </c>
      <c r="L169" s="294" t="inlineStr">
        <is>
          <t>주어진 압축 문자열을 스택을 이용하여 완전히 압축 해제한 원본 문자열을 출력하는 프로그램을 작성하십시오.</t>
        </is>
      </c>
      <c r="M169" s="294" t="inlineStr">
        <is>
          <t>-</t>
        </is>
      </c>
    </row>
    <row r="170" ht="20" customHeight="1" s="209">
      <c r="A170" s="287" t="n">
        <v>169</v>
      </c>
      <c r="B170" s="288" t="inlineStr">
        <is>
          <t>D2</t>
        </is>
      </c>
      <c r="C170" s="287" t="inlineStr">
        <is>
          <t>스택</t>
        </is>
      </c>
      <c r="D170" s="289" t="inlineStr">
        <is>
          <t>숫자_되돌리기_제로</t>
        </is>
      </c>
      <c r="E170" s="290" t="inlineStr">
        <is>
          <t>⬜ 대기</t>
        </is>
      </c>
      <c r="F170" s="287" t="inlineStr">
        <is>
          <t>-</t>
        </is>
      </c>
      <c r="G170" s="287" t="inlineStr">
        <is>
          <t>-</t>
        </is>
      </c>
      <c r="H170" s="291" t="inlineStr">
        <is>
          <t>Tier 1. 선형 자료구조 &amp; 탐색 기본기</t>
        </is>
      </c>
      <c r="I170" s="291" t="inlineStr">
        <is>
          <t>스택/D2_스택_숫자_되돌리기_제로</t>
        </is>
      </c>
      <c r="J170" s="287" t="inlineStr">
        <is>
          <t>✅ 6종 완비</t>
        </is>
      </c>
      <c r="K170" s="291" t="inlineStr">
        <is>
          <t>Lv.4 경계완충/징검다리</t>
        </is>
      </c>
      <c r="L170" s="291" t="inlineStr">
        <is>
          <t>주어진 K개의 정수를 순서대로 처리한 후 스택에 남은 모든 정수의 합을 구하는 프로그램을 작성하십시오.</t>
        </is>
      </c>
      <c r="M170" s="291" t="inlineStr">
        <is>
          <t>-</t>
        </is>
      </c>
    </row>
    <row r="171" ht="20" customHeight="1" s="209">
      <c r="A171" s="292" t="n">
        <v>170</v>
      </c>
      <c r="B171" s="288" t="inlineStr">
        <is>
          <t>D2</t>
        </is>
      </c>
      <c r="C171" s="292" t="inlineStr">
        <is>
          <t>스택</t>
        </is>
      </c>
      <c r="D171" s="293" t="inlineStr">
        <is>
          <t>스택에_대해서</t>
        </is>
      </c>
      <c r="E171" s="290" t="inlineStr">
        <is>
          <t>⬜ 대기</t>
        </is>
      </c>
      <c r="F171" s="292" t="inlineStr">
        <is>
          <t>-</t>
        </is>
      </c>
      <c r="G171" s="292" t="inlineStr">
        <is>
          <t>-</t>
        </is>
      </c>
      <c r="H171" s="294" t="inlineStr">
        <is>
          <t>Tier 1. 선형 자료구조 &amp; 탐색 기본기</t>
        </is>
      </c>
      <c r="I171" s="294" t="inlineStr">
        <is>
          <t>스택/D2_스택_스택에_대해서</t>
        </is>
      </c>
      <c r="J171" s="292" t="inlineStr">
        <is>
          <t>✅ 6종 완비</t>
        </is>
      </c>
      <c r="K171" s="294" t="inlineStr">
        <is>
          <t>Lv.3 개념뼈대 완결</t>
        </is>
      </c>
      <c r="L171" s="294" t="inlineStr">
        <is>
          <t>주어지는 N개의 명령어를 순서대로 처리하여 그 결과를 출력하는 스택 프로그램을 직접 구현하십시오!</t>
        </is>
      </c>
      <c r="M171" s="294" t="inlineStr">
        <is>
          <t>-</t>
        </is>
      </c>
    </row>
    <row r="172" ht="20" customHeight="1" s="209">
      <c r="A172" s="287" t="n">
        <v>171</v>
      </c>
      <c r="B172" s="288" t="inlineStr">
        <is>
          <t>D2</t>
        </is>
      </c>
      <c r="C172" s="287" t="inlineStr">
        <is>
          <t>스택</t>
        </is>
      </c>
      <c r="D172" s="289" t="inlineStr">
        <is>
          <t>올바른_괄호쌍</t>
        </is>
      </c>
      <c r="E172" s="290" t="inlineStr">
        <is>
          <t>⬜ 대기</t>
        </is>
      </c>
      <c r="F172" s="287" t="inlineStr">
        <is>
          <t>-</t>
        </is>
      </c>
      <c r="G172" s="287" t="inlineStr">
        <is>
          <t>-</t>
        </is>
      </c>
      <c r="H172" s="291" t="inlineStr">
        <is>
          <t>Tier 1. 선형 자료구조 &amp; 탐색 기본기</t>
        </is>
      </c>
      <c r="I172" s="291" t="inlineStr">
        <is>
          <t>스택/D2_스택_올바른_괄호쌍</t>
        </is>
      </c>
      <c r="J172" s="287" t="inlineStr">
        <is>
          <t>✅ 6종 완비</t>
        </is>
      </c>
      <c r="K172" s="291" t="inlineStr">
        <is>
          <t>Lv.4 경계완충/징검다리</t>
        </is>
      </c>
      <c r="L172" s="291" t="inlineStr">
        <is>
          <t>주어진 괄호 문자열이 올바른 괄호쌍이면 "YES", 아니면 "NO"를 출력하는 프로그램을 작성하십시오.</t>
        </is>
      </c>
      <c r="M172" s="291" t="inlineStr">
        <is>
          <t>-</t>
        </is>
      </c>
    </row>
    <row r="173" ht="20" customHeight="1" s="209">
      <c r="A173" s="292" t="n">
        <v>172</v>
      </c>
      <c r="B173" s="288" t="inlineStr">
        <is>
          <t>D2</t>
        </is>
      </c>
      <c r="C173" s="292" t="inlineStr">
        <is>
          <t>스택</t>
        </is>
      </c>
      <c r="D173" s="293" t="inlineStr">
        <is>
          <t>후위표기식_연산_기초</t>
        </is>
      </c>
      <c r="E173" s="290" t="inlineStr">
        <is>
          <t>⬜ 대기</t>
        </is>
      </c>
      <c r="F173" s="292" t="inlineStr">
        <is>
          <t>-</t>
        </is>
      </c>
      <c r="G173" s="292" t="inlineStr">
        <is>
          <t>-</t>
        </is>
      </c>
      <c r="H173" s="294" t="inlineStr">
        <is>
          <t>Tier 1. 선형 자료구조 &amp; 탐색 기본기</t>
        </is>
      </c>
      <c r="I173" s="294" t="inlineStr">
        <is>
          <t>스택/D2_스택_후위표기식_연산_기초</t>
        </is>
      </c>
      <c r="J173" s="292" t="inlineStr">
        <is>
          <t>✅ 6종 완비</t>
        </is>
      </c>
      <c r="K173" s="294" t="inlineStr">
        <is>
          <t>Lv.4 경계완충/징검다리</t>
        </is>
      </c>
      <c r="L173" s="294" t="inlineStr">
        <is>
          <t>주어진 길이 N의 후위 표기식을 스택을 활용하여 계산하고, 최종 결과값을 출력하는 프로그램을 작성하십시오. 이것을 구현하여 스택의 LIFO 원리와 연산자 처리 원리를 완벽히 체득하십시오.</t>
        </is>
      </c>
      <c r="M173" s="294" t="inlineStr">
        <is>
          <t>-</t>
        </is>
      </c>
    </row>
    <row r="174" ht="20" customHeight="1" s="209">
      <c r="A174" s="287" t="n">
        <v>173</v>
      </c>
      <c r="B174" s="295" t="inlineStr">
        <is>
          <t>D3</t>
        </is>
      </c>
      <c r="C174" s="287" t="inlineStr">
        <is>
          <t>스택</t>
        </is>
      </c>
      <c r="D174" s="289" t="inlineStr">
        <is>
          <t>서준이의_쇠막대기_자르기</t>
        </is>
      </c>
      <c r="E174" s="290" t="inlineStr">
        <is>
          <t>⬜ 대기</t>
        </is>
      </c>
      <c r="F174" s="287" t="inlineStr">
        <is>
          <t>-</t>
        </is>
      </c>
      <c r="G174" s="287" t="inlineStr">
        <is>
          <t>-</t>
        </is>
      </c>
      <c r="H174" s="291" t="inlineStr">
        <is>
          <t>Tier 1. 선형 자료구조 &amp; 탐색 기본기</t>
        </is>
      </c>
      <c r="I174" s="291" t="inlineStr">
        <is>
          <t>스택/D3_스택_서준이의_쇠막대기_자르기</t>
        </is>
      </c>
      <c r="J174" s="287" t="inlineStr">
        <is>
          <t>✅ 6종 완비</t>
        </is>
      </c>
      <c r="K174" s="291" t="inlineStr">
        <is>
          <t>Lv.5 실전 응용 (스토리텔링)</t>
        </is>
      </c>
      <c r="L174" s="291" t="inlineStr">
        <is>
          <t>창의공작 동아리의 서준이는 기다란 쇠막대기들을 아래에서부터 위로 겹쳐 쌓아 올린 뒤, 수직 레이저를 발사하여 쇠막대기들을 여러 조각으로 절단하는 실험을 진행하고 있습니다. 서준이가 쌓은 쇠막대기와 레이저의 위치는 괄...</t>
        </is>
      </c>
      <c r="M174" s="291" t="inlineStr">
        <is>
          <t>-</t>
        </is>
      </c>
    </row>
    <row r="175" ht="20" customHeight="1" s="209">
      <c r="A175" s="292" t="n">
        <v>174</v>
      </c>
      <c r="B175" s="295" t="inlineStr">
        <is>
          <t>D3</t>
        </is>
      </c>
      <c r="C175" s="292" t="inlineStr">
        <is>
          <t>스택</t>
        </is>
      </c>
      <c r="D175" s="293" t="inlineStr">
        <is>
          <t>선우의_중복_문자_제거_정리</t>
        </is>
      </c>
      <c r="E175" s="290" t="inlineStr">
        <is>
          <t>⬜ 대기</t>
        </is>
      </c>
      <c r="F175" s="292" t="inlineStr">
        <is>
          <t>-</t>
        </is>
      </c>
      <c r="G175" s="292" t="inlineStr">
        <is>
          <t>-</t>
        </is>
      </c>
      <c r="H175" s="294" t="inlineStr">
        <is>
          <t>Tier 1. 선형 자료구조 &amp; 탐색 기본기</t>
        </is>
      </c>
      <c r="I175" s="294" t="inlineStr">
        <is>
          <t>스택/D3_스택_선우의_중복_문자_제거_정리</t>
        </is>
      </c>
      <c r="J175" s="292" t="inlineStr">
        <is>
          <t>✅ 6종 완비</t>
        </is>
      </c>
      <c r="K175" s="294" t="inlineStr">
        <is>
          <t>Lv.5 실전 응용 (스토리텔링)</t>
        </is>
      </c>
      <c r="L175" s="294" t="inlineStr">
        <is>
          <t>소프트웨어 엔지니어를 꿈꾸는 선우는 사내 메신저의 데이터 압축 및 중복 패킷 필터링 모듈을 개발하고 있습니다. 메시지 문자열에 동일한 문자가 연속해서 2개 붙어 있으면 두 문자가 서로 상쇄되어 사라지는 규칙이 있습니...</t>
        </is>
      </c>
      <c r="M175" s="294" t="inlineStr">
        <is>
          <t>-</t>
        </is>
      </c>
    </row>
    <row r="176" ht="20" customHeight="1" s="209">
      <c r="A176" s="287" t="n">
        <v>175</v>
      </c>
      <c r="B176" s="295" t="inlineStr">
        <is>
          <t>D3</t>
        </is>
      </c>
      <c r="C176" s="287" t="inlineStr">
        <is>
          <t>스택</t>
        </is>
      </c>
      <c r="D176" s="289" t="inlineStr">
        <is>
          <t>시우의_균형잡힌_문자열</t>
        </is>
      </c>
      <c r="E176" s="290" t="inlineStr">
        <is>
          <t>⬜ 대기</t>
        </is>
      </c>
      <c r="F176" s="287" t="inlineStr">
        <is>
          <t>-</t>
        </is>
      </c>
      <c r="G176" s="287" t="inlineStr">
        <is>
          <t>-</t>
        </is>
      </c>
      <c r="H176" s="291" t="inlineStr">
        <is>
          <t>Tier 1. 선형 자료구조 &amp; 탐색 기본기</t>
        </is>
      </c>
      <c r="I176" s="291" t="inlineStr">
        <is>
          <t>스택/D3_스택_시우의_균형잡힌_문자열</t>
        </is>
      </c>
      <c r="J176" s="287" t="inlineStr">
        <is>
          <t>✅ 6종 완비</t>
        </is>
      </c>
      <c r="K176" s="291" t="inlineStr">
        <is>
          <t>Lv.5 실전 응용 (스토리텔링)</t>
        </is>
      </c>
      <c r="L176" s="291" t="inlineStr">
        <is>
          <t>보안 분석가 시우는 서버 통신 프로토콜에서 전송된 패킷의 구문 무결성을 검사하고 있습니다. 전송되는 데이터에는 세 가지 종류의 괄호 소괄호 '()', 중괄호 '{}', 대괄호 '[]'가 포함되어 있습니다.</t>
        </is>
      </c>
      <c r="M176" s="291" t="inlineStr">
        <is>
          <t>-</t>
        </is>
      </c>
    </row>
    <row r="177" ht="20" customHeight="1" s="209">
      <c r="A177" s="292" t="n">
        <v>176</v>
      </c>
      <c r="B177" s="295" t="inlineStr">
        <is>
          <t>D3</t>
        </is>
      </c>
      <c r="C177" s="292" t="inlineStr">
        <is>
          <t>스택</t>
        </is>
      </c>
      <c r="D177" s="293" t="inlineStr">
        <is>
          <t>유주의_계산기_괄호_변환</t>
        </is>
      </c>
      <c r="E177" s="290" t="inlineStr">
        <is>
          <t>⬜ 대기</t>
        </is>
      </c>
      <c r="F177" s="292" t="inlineStr">
        <is>
          <t>-</t>
        </is>
      </c>
      <c r="G177" s="292" t="inlineStr">
        <is>
          <t>-</t>
        </is>
      </c>
      <c r="H177" s="294" t="inlineStr">
        <is>
          <t>Tier 1. 선형 자료구조 &amp; 탐색 기본기</t>
        </is>
      </c>
      <c r="I177" s="294" t="inlineStr">
        <is>
          <t>스택/D3_스택_유주의_계산기_괄호_변환</t>
        </is>
      </c>
      <c r="J177" s="292" t="inlineStr">
        <is>
          <t>✅ 6종 완비</t>
        </is>
      </c>
      <c r="K177" s="294" t="inlineStr">
        <is>
          <t>Lv.5 실전 응용 (스토리텔링)</t>
        </is>
      </c>
      <c r="L177" s="294" t="inlineStr">
        <is>
          <t>알고리즘 캠프에 참가한 유주는 사칙연산과 괄호가 포함된 중위 표기식(Infix) 수식 파서를 개발하고 있습니다. 수식에는 한 자리 정수(0~9)와 덧셈('+'), 곱셈('*'), 그리고 소괄호('(', ')')가 포...</t>
        </is>
      </c>
      <c r="M177" s="294" t="inlineStr">
        <is>
          <t>-</t>
        </is>
      </c>
    </row>
    <row r="178" ht="20" customHeight="1" s="209">
      <c r="A178" s="287" t="n">
        <v>177</v>
      </c>
      <c r="B178" s="295" t="inlineStr">
        <is>
          <t>D3</t>
        </is>
      </c>
      <c r="C178" s="287" t="inlineStr">
        <is>
          <t>스택</t>
        </is>
      </c>
      <c r="D178" s="289" t="inlineStr">
        <is>
          <t>후위표기식_계산기</t>
        </is>
      </c>
      <c r="E178" s="290" t="inlineStr">
        <is>
          <t>⬜ 대기</t>
        </is>
      </c>
      <c r="F178" s="287" t="inlineStr">
        <is>
          <t>-</t>
        </is>
      </c>
      <c r="G178" s="287" t="inlineStr">
        <is>
          <t>-</t>
        </is>
      </c>
      <c r="H178" s="291" t="inlineStr">
        <is>
          <t>Tier 1. 선형 자료구조 &amp; 탐색 기본기</t>
        </is>
      </c>
      <c r="I178" s="291" t="inlineStr">
        <is>
          <t>스택/D3_스택_후위표기식_계산기</t>
        </is>
      </c>
      <c r="J178" s="287" t="inlineStr">
        <is>
          <t>✅ 6종 완비</t>
        </is>
      </c>
      <c r="K178" s="291" t="inlineStr">
        <is>
          <t>Lv.5 실전 응용 (스토리텔링)</t>
        </is>
      </c>
      <c r="L178" s="291" t="inlineStr">
        <is>
          <t>SSAFY 소프트웨어 트랙에서 수식 파서 엔진을 설계하던 하윤이는 사칙연산 식을 효율적으로 평가하기 위해 후위 표기식(Postfix Notation, 역폴란드 표기법) 계산 모듈을 개발하고 있습니다. 후위 표기식에서...</t>
        </is>
      </c>
      <c r="M178" s="291" t="inlineStr">
        <is>
          <t>-</t>
        </is>
      </c>
    </row>
    <row r="179" ht="20" customHeight="1" s="209">
      <c r="A179" s="292" t="n">
        <v>178</v>
      </c>
      <c r="B179" s="296" t="inlineStr">
        <is>
          <t>D4</t>
        </is>
      </c>
      <c r="C179" s="292" t="inlineStr">
        <is>
          <t>스택</t>
        </is>
      </c>
      <c r="D179" s="293" t="inlineStr">
        <is>
          <t>빌딩_옥상_정원_관측</t>
        </is>
      </c>
      <c r="E179" s="290" t="inlineStr">
        <is>
          <t>⬜ 대기</t>
        </is>
      </c>
      <c r="F179" s="292" t="inlineStr">
        <is>
          <t>-</t>
        </is>
      </c>
      <c r="G179" s="292" t="inlineStr">
        <is>
          <t>-</t>
        </is>
      </c>
      <c r="H179" s="294" t="inlineStr">
        <is>
          <t>Tier 1. 선형 자료구조 &amp; 탐색 기본기</t>
        </is>
      </c>
      <c r="I179" s="294" t="inlineStr">
        <is>
          <t>스택/D4_스택_빌딩_옥상_정원_관측</t>
        </is>
      </c>
      <c r="J179" s="292" t="inlineStr">
        <is>
          <t>✅ 6종 완비</t>
        </is>
      </c>
      <c r="K179" s="294" t="inlineStr">
        <is>
          <t>Lv.6 복합 제약 &amp; 시공간 최적화</t>
        </is>
      </c>
      <c r="L179" s="294" t="inlineStr">
        <is>
          <t>주어진 빌딩 높이 수열에 대해 모든 관리인이 볼 수 있는 옥상 정원의 총합을 구하는 프로그램을 작성하십시오.</t>
        </is>
      </c>
      <c r="M179" s="294" t="inlineStr">
        <is>
          <t>-</t>
        </is>
      </c>
    </row>
    <row r="180" ht="20" customHeight="1" s="209">
      <c r="A180" s="287" t="n">
        <v>179</v>
      </c>
      <c r="B180" s="296" t="inlineStr">
        <is>
          <t>D4</t>
        </is>
      </c>
      <c r="C180" s="287" t="inlineStr">
        <is>
          <t>스택</t>
        </is>
      </c>
      <c r="D180" s="289" t="inlineStr">
        <is>
          <t>오등큰수_빈도수_모노톤스택</t>
        </is>
      </c>
      <c r="E180" s="290" t="inlineStr">
        <is>
          <t>⬜ 대기</t>
        </is>
      </c>
      <c r="F180" s="287" t="inlineStr">
        <is>
          <t>-</t>
        </is>
      </c>
      <c r="G180" s="287" t="inlineStr">
        <is>
          <t>-</t>
        </is>
      </c>
      <c r="H180" s="291" t="inlineStr">
        <is>
          <t>Tier 1. 선형 자료구조 &amp; 탐색 기본기</t>
        </is>
      </c>
      <c r="I180" s="291" t="inlineStr">
        <is>
          <t>스택/D4_스택_오등큰수_빈도수_모노톤스택</t>
        </is>
      </c>
      <c r="J180" s="287" t="inlineStr">
        <is>
          <t>✅ 6종 완비</t>
        </is>
      </c>
      <c r="K180" s="291" t="inlineStr">
        <is>
          <t>Lv.6 복합 제약 &amp; 시공간 최적화</t>
        </is>
      </c>
      <c r="L180" s="291" t="inlineStr">
        <is>
          <t>주어진 수열 A의 모든 원소에 대해 오등큰수 NGF를 구하여 공백으로 구분하여 출력하십시오.</t>
        </is>
      </c>
      <c r="M180" s="291" t="inlineStr">
        <is>
          <t>-</t>
        </is>
      </c>
    </row>
    <row r="181" ht="20" customHeight="1" s="209">
      <c r="A181" s="292" t="n">
        <v>180</v>
      </c>
      <c r="B181" s="296" t="inlineStr">
        <is>
          <t>D4</t>
        </is>
      </c>
      <c r="C181" s="292" t="inlineStr">
        <is>
          <t>스택</t>
        </is>
      </c>
      <c r="D181" s="293" t="inlineStr">
        <is>
          <t>오큰수_수열_탐색</t>
        </is>
      </c>
      <c r="E181" s="290" t="inlineStr">
        <is>
          <t>⬜ 대기</t>
        </is>
      </c>
      <c r="F181" s="292" t="inlineStr">
        <is>
          <t>-</t>
        </is>
      </c>
      <c r="G181" s="292" t="inlineStr">
        <is>
          <t>-</t>
        </is>
      </c>
      <c r="H181" s="294" t="inlineStr">
        <is>
          <t>Tier 1. 선형 자료구조 &amp; 탐색 기본기</t>
        </is>
      </c>
      <c r="I181" s="294" t="inlineStr">
        <is>
          <t>스택/D4_스택_오큰수_수열_탐색</t>
        </is>
      </c>
      <c r="J181" s="292" t="inlineStr">
        <is>
          <t>✅ 6종 완비</t>
        </is>
      </c>
      <c r="K181" s="294" t="inlineStr">
        <is>
          <t>Lv.6 복합 제약 &amp; 시공간 최적화</t>
        </is>
      </c>
      <c r="L181" s="294" t="inlineStr">
        <is>
          <t>크기가 N인 수열 A = [A_1, A_2, ..., A_N]이 주어집니다. 수열의 각 원소 A_i에 대해, '오른쪽에 있으면서 A_i보다 큰 수 중에서 가장 왼쪽에 있는 수'를 A_i의 오큰수(NGE: Next G...</t>
        </is>
      </c>
      <c r="M181" s="294" t="inlineStr">
        <is>
          <t>-</t>
        </is>
      </c>
    </row>
    <row r="182" ht="20" customHeight="1" s="209">
      <c r="A182" s="287" t="n">
        <v>181</v>
      </c>
      <c r="B182" s="296" t="inlineStr">
        <is>
          <t>D4</t>
        </is>
      </c>
      <c r="C182" s="287" t="inlineStr">
        <is>
          <t>스택</t>
        </is>
      </c>
      <c r="D182" s="289" t="inlineStr">
        <is>
          <t>탑_레이저_신호_수신</t>
        </is>
      </c>
      <c r="E182" s="290" t="inlineStr">
        <is>
          <t>⬜ 대기</t>
        </is>
      </c>
      <c r="F182" s="287" t="inlineStr">
        <is>
          <t>-</t>
        </is>
      </c>
      <c r="G182" s="287" t="inlineStr">
        <is>
          <t>-</t>
        </is>
      </c>
      <c r="H182" s="291" t="inlineStr">
        <is>
          <t>Tier 1. 선형 자료구조 &amp; 탐색 기본기</t>
        </is>
      </c>
      <c r="I182" s="291" t="inlineStr">
        <is>
          <t>스택/D4_스택_탑_레이저_신호_수신</t>
        </is>
      </c>
      <c r="J182" s="287" t="inlineStr">
        <is>
          <t>✅ 6종 완비</t>
        </is>
      </c>
      <c r="K182" s="291" t="inlineStr">
        <is>
          <t>Lv.6 복합 제약 &amp; 시공간 최적화</t>
        </is>
      </c>
      <c r="L182" s="291" t="inlineStr">
        <is>
          <t>수평 직선상에 N개의 높이가 서로 다른 탑이 왼쪽부터 1번부터 N번까지 차례대로 세워져 있습니다. 모든 탑의 꼭대기에는 왼쪽(서쪽) 방향으로만 발사되는 레이저 송신기가 설치되어 있습니다.</t>
        </is>
      </c>
      <c r="M182" s="291" t="inlineStr">
        <is>
          <t>-</t>
        </is>
      </c>
    </row>
    <row r="183" ht="20" customHeight="1" s="209">
      <c r="A183" s="292" t="n">
        <v>182</v>
      </c>
      <c r="B183" s="296" t="inlineStr">
        <is>
          <t>D4</t>
        </is>
      </c>
      <c r="C183" s="292" t="inlineStr">
        <is>
          <t>스택</t>
        </is>
      </c>
      <c r="D183" s="293" t="inlineStr">
        <is>
          <t>히스토그램_가장큰직사각형</t>
        </is>
      </c>
      <c r="E183" s="290" t="inlineStr">
        <is>
          <t>⬜ 대기</t>
        </is>
      </c>
      <c r="F183" s="292" t="inlineStr">
        <is>
          <t>-</t>
        </is>
      </c>
      <c r="G183" s="292" t="inlineStr">
        <is>
          <t>-</t>
        </is>
      </c>
      <c r="H183" s="294" t="inlineStr">
        <is>
          <t>Tier 1. 선형 자료구조 &amp; 탐색 기본기</t>
        </is>
      </c>
      <c r="I183" s="294" t="inlineStr">
        <is>
          <t>스택/D4_스택_히스토그램_가장큰직사각형</t>
        </is>
      </c>
      <c r="J183" s="292" t="inlineStr">
        <is>
          <t>✅ 6종 완비</t>
        </is>
      </c>
      <c r="K183" s="294" t="inlineStr">
        <is>
          <t>Lv.6 복합 제약 &amp; 시공간 최적화</t>
        </is>
      </c>
      <c r="L183" s="294" t="inlineStr">
        <is>
          <t>히스토그램은 너비가 1인 N개의 직사각형 막대가 수평으로 이어붙여진 형태입니다. 각 막대의 높이가 주어집니다. 이 히스토그램 내부에 완전히 포함되는 직사각형 중 '가장 넓이가 큰 직사각형'의 면적을 구해야 합니다.</t>
        </is>
      </c>
      <c r="M183" s="294" t="inlineStr">
        <is>
          <t>-</t>
        </is>
      </c>
    </row>
    <row r="184" ht="20" customHeight="1" s="209">
      <c r="A184" s="287" t="n">
        <v>183</v>
      </c>
      <c r="B184" s="288" t="inlineStr">
        <is>
          <t>D2</t>
        </is>
      </c>
      <c r="C184" s="287" t="inlineStr">
        <is>
          <t>슬라이딩윈도우</t>
        </is>
      </c>
      <c r="D184" s="289" t="inlineStr">
        <is>
          <t>고정_구간_최댓값과_최솟값</t>
        </is>
      </c>
      <c r="E184" s="290" t="inlineStr">
        <is>
          <t>⬜ 대기</t>
        </is>
      </c>
      <c r="F184" s="287" t="inlineStr">
        <is>
          <t>-</t>
        </is>
      </c>
      <c r="G184" s="287" t="inlineStr">
        <is>
          <t>-</t>
        </is>
      </c>
      <c r="H184" s="291" t="inlineStr">
        <is>
          <t>Tier 1. 선형 자료구조 &amp; 탐색 기본기</t>
        </is>
      </c>
      <c r="I184" s="291" t="inlineStr">
        <is>
          <t>슬라이딩윈도우/D2_슬라이딩윈도우_고정_구간_최댓값과_최솟값</t>
        </is>
      </c>
      <c r="J184" s="287" t="inlineStr">
        <is>
          <t>✅ 6종 완비</t>
        </is>
      </c>
      <c r="K184" s="291" t="inlineStr">
        <is>
          <t>Lv.4 경계완충/징검다리</t>
        </is>
      </c>
      <c r="L184" s="291" t="inlineStr">
        <is>
          <t>길이가 N인 정수 수열이 주어집니다. 연속된 K일 동안의 합들 중 가장 큰 합(Max)과 가장 작은 합(Min)의 차이를 구하는 문제입니다.</t>
        </is>
      </c>
      <c r="M184" s="291" t="inlineStr">
        <is>
          <t>-</t>
        </is>
      </c>
    </row>
    <row r="185" ht="20" customHeight="1" s="209">
      <c r="A185" s="292" t="n">
        <v>184</v>
      </c>
      <c r="B185" s="288" t="inlineStr">
        <is>
          <t>D2</t>
        </is>
      </c>
      <c r="C185" s="292" t="inlineStr">
        <is>
          <t>슬라이딩윈도우</t>
        </is>
      </c>
      <c r="D185" s="293" t="inlineStr">
        <is>
          <t>단어_아나그램_부분문자열</t>
        </is>
      </c>
      <c r="E185" s="290" t="inlineStr">
        <is>
          <t>⬜ 대기</t>
        </is>
      </c>
      <c r="F185" s="292" t="inlineStr">
        <is>
          <t>-</t>
        </is>
      </c>
      <c r="G185" s="292" t="inlineStr">
        <is>
          <t>-</t>
        </is>
      </c>
      <c r="H185" s="294" t="inlineStr">
        <is>
          <t>Tier 1. 선형 자료구조 &amp; 탐색 기본기</t>
        </is>
      </c>
      <c r="I185" s="294" t="inlineStr">
        <is>
          <t>슬라이딩윈도우/D2_슬라이딩윈도우_단어_아나그램_부분문자열</t>
        </is>
      </c>
      <c r="J185" s="292" t="inlineStr">
        <is>
          <t>✅ 6종 완비</t>
        </is>
      </c>
      <c r="K185" s="294" t="inlineStr">
        <is>
          <t>Lv.4 경계완충/징검다리</t>
        </is>
      </c>
      <c r="L185" s="294" t="inlineStr">
        <is>
          <t>알파벳 소문자로 구성된 긴 원본 문자열 S와 목표 단어 T가 주어집니다. S 안에서 길이 |T|인 연속된 부분 문자열 중, T의 문자들을 재배열하여 만들 수 있는 부분 문자열(아나그램, Anagram)이 몇 번 등장...</t>
        </is>
      </c>
      <c r="M185" s="294" t="inlineStr">
        <is>
          <t>-</t>
        </is>
      </c>
    </row>
    <row r="186" ht="20" customHeight="1" s="209">
      <c r="A186" s="287" t="n">
        <v>185</v>
      </c>
      <c r="B186" s="288" t="inlineStr">
        <is>
          <t>D2</t>
        </is>
      </c>
      <c r="C186" s="287" t="inlineStr">
        <is>
          <t>슬라이딩윈도우</t>
        </is>
      </c>
      <c r="D186" s="289" t="inlineStr">
        <is>
          <t>뒤집기_가능한_숫자열의_최대곱</t>
        </is>
      </c>
      <c r="E186" s="290" t="inlineStr">
        <is>
          <t>⬜ 대기</t>
        </is>
      </c>
      <c r="F186" s="287" t="inlineStr">
        <is>
          <t>-</t>
        </is>
      </c>
      <c r="G186" s="287" t="inlineStr">
        <is>
          <t>-</t>
        </is>
      </c>
      <c r="H186" s="291" t="inlineStr">
        <is>
          <t>Tier 1. 선형 자료구조 &amp; 탐색 기본기</t>
        </is>
      </c>
      <c r="I186" s="291" t="inlineStr">
        <is>
          <t>슬라이딩윈도우/D2_슬라이딩윈도우_뒤집기_가능한_숫자열의_최대곱</t>
        </is>
      </c>
      <c r="J186" s="287" t="inlineStr">
        <is>
          <t>✅ 6종 완비</t>
        </is>
      </c>
      <c r="K186" s="291" t="inlineStr">
        <is>
          <t>Lv.4 경계완충/징검다리</t>
        </is>
      </c>
      <c r="L186" s="291" t="inlineStr">
        <is>
          <t>N개의 숫자로 구성된 숫자열 A와 M개의 숫자로 구성된 숫자열 B가 있습니다. 두 숫자열을 자유롭게 움직여서 서로 마주보는 위치의 숫자들을 곱한 뒤, 그 결과들의 합이 최대가 되도록 하려 합니다.</t>
        </is>
      </c>
      <c r="M186" s="291" t="inlineStr">
        <is>
          <t>-</t>
        </is>
      </c>
    </row>
    <row r="187" ht="20" customHeight="1" s="209">
      <c r="A187" s="292" t="n">
        <v>186</v>
      </c>
      <c r="B187" s="288" t="inlineStr">
        <is>
          <t>D2</t>
        </is>
      </c>
      <c r="C187" s="292" t="inlineStr">
        <is>
          <t>슬라이딩윈도우</t>
        </is>
      </c>
      <c r="D187" s="293" t="inlineStr">
        <is>
          <t>비트_연속_구간_1의_최대개수</t>
        </is>
      </c>
      <c r="E187" s="290" t="inlineStr">
        <is>
          <t>⬜ 대기</t>
        </is>
      </c>
      <c r="F187" s="292" t="inlineStr">
        <is>
          <t>-</t>
        </is>
      </c>
      <c r="G187" s="292" t="inlineStr">
        <is>
          <t>-</t>
        </is>
      </c>
      <c r="H187" s="294" t="inlineStr">
        <is>
          <t>Tier 1. 선형 자료구조 &amp; 탐색 기본기</t>
        </is>
      </c>
      <c r="I187" s="294" t="inlineStr">
        <is>
          <t>슬라이딩윈도우/D2_슬라이딩윈도우_비트_연속_구간_1의_최대개수</t>
        </is>
      </c>
      <c r="J187" s="292" t="inlineStr">
        <is>
          <t>✅ 6종 완비</t>
        </is>
      </c>
      <c r="K187" s="294" t="inlineStr">
        <is>
          <t>Lv.4 경계완충/징검다리</t>
        </is>
      </c>
      <c r="L187" s="294" t="inlineStr">
        <is>
          <t>0과 1로만 구성된 길이 N인 이진 수열이 주어집니다. 크기가 정확히 K인 연속된 윈도우 안에 포함될 수 있는 1의 최대 개수를 구하는 문제입니다.</t>
        </is>
      </c>
      <c r="M187" s="294" t="inlineStr">
        <is>
          <t>-</t>
        </is>
      </c>
    </row>
    <row r="188" ht="20" customHeight="1" s="209">
      <c r="A188" s="287" t="n">
        <v>187</v>
      </c>
      <c r="B188" s="288" t="inlineStr">
        <is>
          <t>D2</t>
        </is>
      </c>
      <c r="C188" s="287" t="inlineStr">
        <is>
          <t>슬라이딩윈도우</t>
        </is>
      </c>
      <c r="D188" s="289" t="inlineStr">
        <is>
          <t>슬라이딩윈도우에_대해서</t>
        </is>
      </c>
      <c r="E188" s="290" t="inlineStr">
        <is>
          <t>⬜ 대기</t>
        </is>
      </c>
      <c r="F188" s="287" t="inlineStr">
        <is>
          <t>-</t>
        </is>
      </c>
      <c r="G188" s="287" t="inlineStr">
        <is>
          <t>-</t>
        </is>
      </c>
      <c r="H188" s="291" t="inlineStr">
        <is>
          <t>Tier 1. 선형 자료구조 &amp; 탐색 기본기</t>
        </is>
      </c>
      <c r="I188" s="291" t="inlineStr">
        <is>
          <t>슬라이딩윈도우/D2_슬라이딩윈도우_슬라이딩윈도우에_대해서</t>
        </is>
      </c>
      <c r="J188" s="287" t="inlineStr">
        <is>
          <t>✅ 6종 완비</t>
        </is>
      </c>
      <c r="K188" s="291" t="inlineStr">
        <is>
          <t>Lv.3 개념뼈대 완결</t>
        </is>
      </c>
      <c r="L188" s="291" t="inlineStr">
        <is>
          <t>길이가 N인 수열과 윈도우의 크기 K가 주어집니다. 슬라이딩 윈도우 기법을 적용하여, 왼쪽부터 오른쪽으로 윈도우가 한 칸씩 이동할 때마다 발생하는 각 윈도우의 합을 공백으로 구분하여 출력(Trace)하고, 마지막에 ...</t>
        </is>
      </c>
      <c r="M188" s="291" t="inlineStr">
        <is>
          <t>-</t>
        </is>
      </c>
    </row>
    <row r="189" ht="20" customHeight="1" s="209">
      <c r="A189" s="292" t="n">
        <v>188</v>
      </c>
      <c r="B189" s="288" t="inlineStr">
        <is>
          <t>D2</t>
        </is>
      </c>
      <c r="C189" s="292" t="inlineStr">
        <is>
          <t>슬라이딩윈도우</t>
        </is>
      </c>
      <c r="D189" s="293" t="inlineStr">
        <is>
          <t>연속_온도_최대합</t>
        </is>
      </c>
      <c r="E189" s="290" t="inlineStr">
        <is>
          <t>⬜ 대기</t>
        </is>
      </c>
      <c r="F189" s="292" t="inlineStr">
        <is>
          <t>-</t>
        </is>
      </c>
      <c r="G189" s="292" t="inlineStr">
        <is>
          <t>-</t>
        </is>
      </c>
      <c r="H189" s="294" t="inlineStr">
        <is>
          <t>Tier 1. 선형 자료구조 &amp; 탐색 기본기</t>
        </is>
      </c>
      <c r="I189" s="294" t="inlineStr">
        <is>
          <t>슬라이딩윈도우/D2_슬라이딩윈도우_연속_온도_최대합</t>
        </is>
      </c>
      <c r="J189" s="292" t="inlineStr">
        <is>
          <t>✅ 6종 완비</t>
        </is>
      </c>
      <c r="K189" s="294" t="inlineStr">
        <is>
          <t>Lv.4 경계완충/징검다리</t>
        </is>
      </c>
      <c r="L189" s="294" t="inlineStr">
        <is>
          <t>슬라이딩 윈도우(Sliding Window)는 고정된 크기 K의 창문(구간)을 배열의 시작부터 끝까지 한 칸씩 오른쪽으로 밀고 가면서 필요한 값을 갱신하는 고효율 탐색 기법입니다. 매 구간마다 K개의 원소를 매번 처...</t>
        </is>
      </c>
      <c r="M189" s="294" t="inlineStr">
        <is>
          <t>-</t>
        </is>
      </c>
    </row>
    <row r="190" ht="20" customHeight="1" s="209">
      <c r="A190" s="287" t="n">
        <v>189</v>
      </c>
      <c r="B190" s="295" t="inlineStr">
        <is>
          <t>D3</t>
        </is>
      </c>
      <c r="C190" s="287" t="inlineStr">
        <is>
          <t>슬라이딩윈도우</t>
        </is>
      </c>
      <c r="D190" s="289" t="inlineStr">
        <is>
          <t>나은이의_트랙_달리기_페이스_조절</t>
        </is>
      </c>
      <c r="E190" s="290" t="inlineStr">
        <is>
          <t>⬜ 대기</t>
        </is>
      </c>
      <c r="F190" s="287" t="inlineStr">
        <is>
          <t>-</t>
        </is>
      </c>
      <c r="G190" s="287" t="inlineStr">
        <is>
          <t>-</t>
        </is>
      </c>
      <c r="H190" s="291" t="inlineStr">
        <is>
          <t>Tier 1. 선형 자료구조 &amp; 탐색 기본기</t>
        </is>
      </c>
      <c r="I190" s="291" t="inlineStr">
        <is>
          <t>슬라이딩윈도우/D3_슬라이딩윈도우_나은이의_트랙_달리기_페이스_조절</t>
        </is>
      </c>
      <c r="J190" s="287" t="inlineStr">
        <is>
          <t>✅ 6종 완비</t>
        </is>
      </c>
      <c r="K190" s="291" t="inlineStr">
        <is>
          <t>Lv.5 실전 응용 (스토리텔링)</t>
        </is>
      </c>
      <c r="L190" s="291" t="inlineStr">
        <is>
          <t>육상 선수 나은이는 400m 트랙에서 N바퀴를 도는 장거리 훈련을 진행하고 있습니다. 나은이가 각 바퀴를 도는 데 걸린 랩 타임(초)이 배열로 기록되어 있습니다.</t>
        </is>
      </c>
      <c r="M190" s="291" t="inlineStr">
        <is>
          <t>-</t>
        </is>
      </c>
    </row>
    <row r="191" ht="20" customHeight="1" s="209">
      <c r="A191" s="292" t="n">
        <v>190</v>
      </c>
      <c r="B191" s="295" t="inlineStr">
        <is>
          <t>D3</t>
        </is>
      </c>
      <c r="C191" s="292" t="inlineStr">
        <is>
          <t>슬라이딩윈도우</t>
        </is>
      </c>
      <c r="D191" s="293" t="inlineStr">
        <is>
          <t>로운이의_포켓몬_카드_세트_수집</t>
        </is>
      </c>
      <c r="E191" s="290" t="inlineStr">
        <is>
          <t>⬜ 대기</t>
        </is>
      </c>
      <c r="F191" s="292" t="inlineStr">
        <is>
          <t>-</t>
        </is>
      </c>
      <c r="G191" s="292" t="inlineStr">
        <is>
          <t>-</t>
        </is>
      </c>
      <c r="H191" s="294" t="inlineStr">
        <is>
          <t>Tier 1. 선형 자료구조 &amp; 탐색 기본기</t>
        </is>
      </c>
      <c r="I191" s="294" t="inlineStr">
        <is>
          <t>슬라이딩윈도우/D3_슬라이딩윈도우_로운이의_포켓몬_카드_세트_수집</t>
        </is>
      </c>
      <c r="J191" s="292" t="inlineStr">
        <is>
          <t>✅ 6종 완비</t>
        </is>
      </c>
      <c r="K191" s="294" t="inlineStr">
        <is>
          <t>Lv.5 실전 응용 (스토리텔링)</t>
        </is>
      </c>
      <c r="L191" s="294" t="inlineStr">
        <is>
          <t>초등학생 로운이는 수집용 포켓몬 카드 N장이 일렬로 진열된 매대 앞에 서 있습니다. 각 카드에는 1 이상 100,000 이하의 포켓몬 고유 번호가 적혀 있습니다.</t>
        </is>
      </c>
      <c r="M191" s="294" t="inlineStr">
        <is>
          <t>-</t>
        </is>
      </c>
    </row>
    <row r="192" ht="20" customHeight="1" s="209">
      <c r="A192" s="287" t="n">
        <v>191</v>
      </c>
      <c r="B192" s="295" t="inlineStr">
        <is>
          <t>D3</t>
        </is>
      </c>
      <c r="C192" s="287" t="inlineStr">
        <is>
          <t>슬라이딩윈도우</t>
        </is>
      </c>
      <c r="D192" s="289" t="inlineStr">
        <is>
          <t>은우의_문서_키워드_밀도_측정</t>
        </is>
      </c>
      <c r="E192" s="290" t="inlineStr">
        <is>
          <t>⬜ 대기</t>
        </is>
      </c>
      <c r="F192" s="287" t="inlineStr">
        <is>
          <t>-</t>
        </is>
      </c>
      <c r="G192" s="287" t="inlineStr">
        <is>
          <t>-</t>
        </is>
      </c>
      <c r="H192" s="291" t="inlineStr">
        <is>
          <t>Tier 1. 선형 자료구조 &amp; 탐색 기본기</t>
        </is>
      </c>
      <c r="I192" s="291" t="inlineStr">
        <is>
          <t>슬라이딩윈도우/D3_슬라이딩윈도우_은우의_문서_키워드_밀도_측정</t>
        </is>
      </c>
      <c r="J192" s="287" t="inlineStr">
        <is>
          <t>✅ 6종 완비</t>
        </is>
      </c>
      <c r="K192" s="291" t="inlineStr">
        <is>
          <t>Lv.5 실전 응용 (스토리텔링)</t>
        </is>
      </c>
      <c r="L192" s="291" t="inlineStr">
        <is>
          <t>영어 단어 암기왕 은우는 영문 원서 텍스트에서 모음('a', 'e', 'i', 'o', 'u')의 밀도를 분석하고 있습니다. 길이가 N인 영문 소문자 문자열 S에서, 길이가 정확히 K인 연속된 부분 문자열 안에 모음...</t>
        </is>
      </c>
      <c r="M192" s="291" t="inlineStr">
        <is>
          <t>-</t>
        </is>
      </c>
    </row>
    <row r="193" ht="20" customHeight="1" s="209">
      <c r="A193" s="292" t="n">
        <v>192</v>
      </c>
      <c r="B193" s="295" t="inlineStr">
        <is>
          <t>D3</t>
        </is>
      </c>
      <c r="C193" s="292" t="inlineStr">
        <is>
          <t>슬라이딩윈도우</t>
        </is>
      </c>
      <c r="D193" s="293" t="inlineStr">
        <is>
          <t>지아의_놀이공원_연속_탑승_스케줄</t>
        </is>
      </c>
      <c r="E193" s="290" t="inlineStr">
        <is>
          <t>⬜ 대기</t>
        </is>
      </c>
      <c r="F193" s="292" t="inlineStr">
        <is>
          <t>-</t>
        </is>
      </c>
      <c r="G193" s="292" t="inlineStr">
        <is>
          <t>-</t>
        </is>
      </c>
      <c r="H193" s="294" t="inlineStr">
        <is>
          <t>Tier 1. 선형 자료구조 &amp; 탐색 기본기</t>
        </is>
      </c>
      <c r="I193" s="294" t="inlineStr">
        <is>
          <t>슬라이딩윈도우/D3_슬라이딩윈도우_지아의_놀이공원_연속_탑승_스케줄</t>
        </is>
      </c>
      <c r="J193" s="292" t="inlineStr">
        <is>
          <t>✅ 6종 완비</t>
        </is>
      </c>
      <c r="K193" s="294" t="inlineStr">
        <is>
          <t>Lv.5 실전 응용 (스토리텔링)</t>
        </is>
      </c>
      <c r="L193" s="294" t="inlineStr">
        <is>
          <t>활달한 지아는 주말을 맞아 대형 테마파크에 방문했습니다. 테마파크에는 1시간 단위로 진행되는 N개의 어트랙션 운영 코스가 있습니다.</t>
        </is>
      </c>
      <c r="M193" s="294" t="inlineStr">
        <is>
          <t>-</t>
        </is>
      </c>
    </row>
    <row r="194" ht="20" customHeight="1" s="209">
      <c r="A194" s="287" t="n">
        <v>193</v>
      </c>
      <c r="B194" s="295" t="inlineStr">
        <is>
          <t>D3</t>
        </is>
      </c>
      <c r="C194" s="287" t="inlineStr">
        <is>
          <t>슬라이딩윈도우</t>
        </is>
      </c>
      <c r="D194" s="289" t="inlineStr">
        <is>
          <t>하윤이의_과일_스무디_당도_분석</t>
        </is>
      </c>
      <c r="E194" s="290" t="inlineStr">
        <is>
          <t>⬜ 대기</t>
        </is>
      </c>
      <c r="F194" s="287" t="inlineStr">
        <is>
          <t>-</t>
        </is>
      </c>
      <c r="G194" s="287" t="inlineStr">
        <is>
          <t>-</t>
        </is>
      </c>
      <c r="H194" s="291" t="inlineStr">
        <is>
          <t>Tier 1. 선형 자료구조 &amp; 탐색 기본기</t>
        </is>
      </c>
      <c r="I194" s="291" t="inlineStr">
        <is>
          <t>슬라이딩윈도우/D3_슬라이딩윈도우_하윤이의_과일_스무디_당도_분석</t>
        </is>
      </c>
      <c r="J194" s="287" t="inlineStr">
        <is>
          <t>✅ 6종 완비</t>
        </is>
      </c>
      <c r="K194" s="291" t="inlineStr">
        <is>
          <t>Lv.5 실전 응용 (스토리텔링)</t>
        </is>
      </c>
      <c r="L194" s="291" t="inlineStr">
        <is>
          <t>하윤이는 카페에서 신선한 과일 스무디를 제조하는 레시피를 연구 중입니다. 일렬로 진열된 N개의 과일 조각이 있으며, 각 과일 조각에는 고유한 당도 지수(Brix)가 적혀 있습니다.</t>
        </is>
      </c>
      <c r="M194" s="291" t="inlineStr">
        <is>
          <t>-</t>
        </is>
      </c>
    </row>
    <row r="195" ht="20" customHeight="1" s="209">
      <c r="A195" s="292" t="n">
        <v>194</v>
      </c>
      <c r="B195" s="296" t="inlineStr">
        <is>
          <t>D4</t>
        </is>
      </c>
      <c r="C195" s="292" t="inlineStr">
        <is>
          <t>슬라이딩윈도우</t>
        </is>
      </c>
      <c r="D195" s="293" t="inlineStr">
        <is>
          <t>모노톤덱_구간_최솟값_쿼리</t>
        </is>
      </c>
      <c r="E195" s="290" t="inlineStr">
        <is>
          <t>⬜ 대기</t>
        </is>
      </c>
      <c r="F195" s="292" t="inlineStr">
        <is>
          <t>-</t>
        </is>
      </c>
      <c r="G195" s="292" t="inlineStr">
        <is>
          <t>-</t>
        </is>
      </c>
      <c r="H195" s="294" t="inlineStr">
        <is>
          <t>Tier 1. 선형 자료구조 &amp; 탐색 기본기</t>
        </is>
      </c>
      <c r="I195" s="294" t="inlineStr">
        <is>
          <t>슬라이딩윈도우/D4_슬라이딩윈도우_모노톤덱_구간_최솟값_쿼리</t>
        </is>
      </c>
      <c r="J195" s="292" t="inlineStr">
        <is>
          <t>✅ 6종 완비</t>
        </is>
      </c>
      <c r="K195" s="294" t="inlineStr">
        <is>
          <t>Lv.6 복합 제약 &amp; 시공간 최적화</t>
        </is>
      </c>
      <c r="L195" s="294" t="inlineStr">
        <is>
          <t>길이가 N인 수열 A와 윈도우 크기 L이 주어집니다. 수열에서 i = 0부터 N - L까지 각 윈도우 [i, i + L - 1]의 최솟값을 모두 구해야 합니다.</t>
        </is>
      </c>
      <c r="M195" s="294" t="inlineStr">
        <is>
          <t>-</t>
        </is>
      </c>
    </row>
    <row r="196" ht="20" customHeight="1" s="209">
      <c r="A196" s="287" t="n">
        <v>195</v>
      </c>
      <c r="B196" s="296" t="inlineStr">
        <is>
          <t>D4</t>
        </is>
      </c>
      <c r="C196" s="287" t="inlineStr">
        <is>
          <t>슬라이딩윈도우</t>
        </is>
      </c>
      <c r="D196" s="289" t="inlineStr">
        <is>
          <t>모든_문자_포함_최소_부분문자열</t>
        </is>
      </c>
      <c r="E196" s="290" t="inlineStr">
        <is>
          <t>⬜ 대기</t>
        </is>
      </c>
      <c r="F196" s="287" t="inlineStr">
        <is>
          <t>-</t>
        </is>
      </c>
      <c r="G196" s="287" t="inlineStr">
        <is>
          <t>-</t>
        </is>
      </c>
      <c r="H196" s="291" t="inlineStr">
        <is>
          <t>Tier 1. 선형 자료구조 &amp; 탐색 기본기</t>
        </is>
      </c>
      <c r="I196" s="291" t="inlineStr">
        <is>
          <t>슬라이딩윈도우/D4_슬라이딩윈도우_모든_문자_포함_최소_부분문자열</t>
        </is>
      </c>
      <c r="J196" s="287" t="inlineStr">
        <is>
          <t>✅ 6종 완비</t>
        </is>
      </c>
      <c r="K196" s="291" t="inlineStr">
        <is>
          <t>Lv.6 복합 제약 &amp; 시공간 최적화</t>
        </is>
      </c>
      <c r="L196" s="291" t="inlineStr">
        <is>
          <t>두 개의 영문 대문자 문자열 S와 T가 주어집니다. S의 연속된 부분 문자열 중, T에 포함된 모든 문자(중복 개수 포함)를 온전히 포함하는 '가장 짧은 부분 문자열의 길이'를 구하는 프로그램을 작성하십시오.</t>
        </is>
      </c>
      <c r="M196" s="291" t="inlineStr">
        <is>
          <t>-</t>
        </is>
      </c>
    </row>
    <row r="197" ht="20" customHeight="1" s="209">
      <c r="A197" s="292" t="n">
        <v>196</v>
      </c>
      <c r="B197" s="296" t="inlineStr">
        <is>
          <t>D4</t>
        </is>
      </c>
      <c r="C197" s="292" t="inlineStr">
        <is>
          <t>슬라이딩윈도우</t>
        </is>
      </c>
      <c r="D197" s="293" t="inlineStr">
        <is>
          <t>부분배열_중앙값_유지_엔진</t>
        </is>
      </c>
      <c r="E197" s="290" t="inlineStr">
        <is>
          <t>⬜ 대기</t>
        </is>
      </c>
      <c r="F197" s="292" t="inlineStr">
        <is>
          <t>-</t>
        </is>
      </c>
      <c r="G197" s="292" t="inlineStr">
        <is>
          <t>-</t>
        </is>
      </c>
      <c r="H197" s="294" t="inlineStr">
        <is>
          <t>Tier 1. 선형 자료구조 &amp; 탐색 기본기</t>
        </is>
      </c>
      <c r="I197" s="294" t="inlineStr">
        <is>
          <t>슬라이딩윈도우/D4_슬라이딩윈도우_부분배열_중앙값_유지_엔진</t>
        </is>
      </c>
      <c r="J197" s="292" t="inlineStr">
        <is>
          <t>✅ 6종 완비</t>
        </is>
      </c>
      <c r="K197" s="294" t="inlineStr">
        <is>
          <t>Lv.6 복합 제약 &amp; 시공간 최적화</t>
        </is>
      </c>
      <c r="L197" s="294" t="inlineStr">
        <is>
          <t>길이가 N인 수열 A와 윈도우 크기 K(홀수)가 주어집니다. 윈도우가 한 칸씩 이동할 때마다, 현재 윈도우 안에 포함된 K개 원소들의 '중앙값(Median)'을 구하여 순서대로 출력하는 문제입니다.</t>
        </is>
      </c>
      <c r="M197" s="294" t="inlineStr">
        <is>
          <t>-</t>
        </is>
      </c>
    </row>
    <row r="198" ht="20" customHeight="1" s="209">
      <c r="A198" s="287" t="n">
        <v>197</v>
      </c>
      <c r="B198" s="296" t="inlineStr">
        <is>
          <t>D4</t>
        </is>
      </c>
      <c r="C198" s="287" t="inlineStr">
        <is>
          <t>슬라이딩윈도우</t>
        </is>
      </c>
      <c r="D198" s="289" t="inlineStr">
        <is>
          <t>순환_수열_최대_연속합_카운터</t>
        </is>
      </c>
      <c r="E198" s="290" t="inlineStr">
        <is>
          <t>⬜ 대기</t>
        </is>
      </c>
      <c r="F198" s="287" t="inlineStr">
        <is>
          <t>-</t>
        </is>
      </c>
      <c r="G198" s="287" t="inlineStr">
        <is>
          <t>-</t>
        </is>
      </c>
      <c r="H198" s="291" t="inlineStr">
        <is>
          <t>Tier 1. 선형 자료구조 &amp; 탐색 기본기</t>
        </is>
      </c>
      <c r="I198" s="291" t="inlineStr">
        <is>
          <t>슬라이딩윈도우/D4_슬라이딩윈도우_순환_수열_최대_연속합_카운터</t>
        </is>
      </c>
      <c r="J198" s="287" t="inlineStr">
        <is>
          <t>✅ 6종 완비</t>
        </is>
      </c>
      <c r="K198" s="291" t="inlineStr">
        <is>
          <t>Lv.6 복합 제약 &amp; 시공간 최적화</t>
        </is>
      </c>
      <c r="L198" s="291" t="inlineStr">
        <is>
          <t>길이가 N인 수열이 원형(Circular)으로 연결되어 있습니다 (배열의 마지막 원소 다음은 첫 번째 원소). 원형 수열에서 연속된 K개의 원소로 구성된 모든 윈도우(총 N개)에 대하여:</t>
        </is>
      </c>
      <c r="M198" s="291" t="inlineStr">
        <is>
          <t>-</t>
        </is>
      </c>
    </row>
    <row r="199" ht="20" customHeight="1" s="209">
      <c r="A199" s="292" t="n">
        <v>198</v>
      </c>
      <c r="B199" s="296" t="inlineStr">
        <is>
          <t>D4</t>
        </is>
      </c>
      <c r="C199" s="292" t="inlineStr">
        <is>
          <t>슬라이딩윈도우</t>
        </is>
      </c>
      <c r="D199" s="293" t="inlineStr">
        <is>
          <t>최대_K회_0을_1로_바꾸기</t>
        </is>
      </c>
      <c r="E199" s="290" t="inlineStr">
        <is>
          <t>⬜ 대기</t>
        </is>
      </c>
      <c r="F199" s="292" t="inlineStr">
        <is>
          <t>-</t>
        </is>
      </c>
      <c r="G199" s="292" t="inlineStr">
        <is>
          <t>-</t>
        </is>
      </c>
      <c r="H199" s="294" t="inlineStr">
        <is>
          <t>Tier 1. 선형 자료구조 &amp; 탐색 기본기</t>
        </is>
      </c>
      <c r="I199" s="294" t="inlineStr">
        <is>
          <t>슬라이딩윈도우/D4_슬라이딩윈도우_최대_K회_0을_1로_바꾸기</t>
        </is>
      </c>
      <c r="J199" s="292" t="inlineStr">
        <is>
          <t>✅ 6종 완비</t>
        </is>
      </c>
      <c r="K199" s="294" t="inlineStr">
        <is>
          <t>Lv.6 복합 제약 &amp; 시공간 최적화</t>
        </is>
      </c>
      <c r="L199" s="294" t="inlineStr">
        <is>
          <t>0과 1로 이루어진 길이 N인 이진 배열이 주어집니다. 최대 K개의 0을 1로 뒤집을 수 있는 찬스가 주어질 때, 배열에서 '연속된 1로만 이루어진 가장 긴 부분 배열의 길이'를 구하는 프로그램을 작성하십시오.</t>
        </is>
      </c>
      <c r="M199" s="294" t="inlineStr">
        <is>
          <t>-</t>
        </is>
      </c>
    </row>
    <row r="200" ht="20" customHeight="1" s="209">
      <c r="A200" s="287" t="n">
        <v>199</v>
      </c>
      <c r="B200" s="288" t="inlineStr">
        <is>
          <t>D2</t>
        </is>
      </c>
      <c r="C200" s="287" t="inlineStr">
        <is>
          <t>연결리스트</t>
        </is>
      </c>
      <c r="D200" s="289" t="inlineStr">
        <is>
          <t>노드_역순_뒤집기</t>
        </is>
      </c>
      <c r="E200" s="290" t="inlineStr">
        <is>
          <t>⬜ 대기</t>
        </is>
      </c>
      <c r="F200" s="287" t="inlineStr">
        <is>
          <t>-</t>
        </is>
      </c>
      <c r="G200" s="287" t="inlineStr">
        <is>
          <t>-</t>
        </is>
      </c>
      <c r="H200" s="291" t="inlineStr">
        <is>
          <t>Tier 1. 선형 자료구조 &amp; 탐색 기본기</t>
        </is>
      </c>
      <c r="I200" s="291" t="inlineStr">
        <is>
          <t>연결리스트/D2_연결리스트_노드_역순_뒤집기</t>
        </is>
      </c>
      <c r="J200" s="287" t="inlineStr">
        <is>
          <t>✅ 6종 완비</t>
        </is>
      </c>
      <c r="K200" s="291" t="inlineStr">
        <is>
          <t>Lv.4 경계완충/징검다리</t>
        </is>
      </c>
      <c r="L200" s="291" t="inlineStr">
        <is>
          <t>단일 연결 리스트(Singly Linked List)는 각 노드가 다음 노드만을 가리키므로, 전체 리스트의 방향을 역순으로 뒤집으려면 각 노드의 `next` 포인터를 이전(Previous) 노드로 변경해야 합니다. ...</t>
        </is>
      </c>
      <c r="M200" s="291" t="inlineStr">
        <is>
          <t>-</t>
        </is>
      </c>
    </row>
    <row r="201" ht="20" customHeight="1" s="209">
      <c r="A201" s="292" t="n">
        <v>200</v>
      </c>
      <c r="B201" s="288" t="inlineStr">
        <is>
          <t>D2</t>
        </is>
      </c>
      <c r="C201" s="292" t="inlineStr">
        <is>
          <t>연결리스트</t>
        </is>
      </c>
      <c r="D201" s="293" t="inlineStr">
        <is>
          <t>두_리스트_병합</t>
        </is>
      </c>
      <c r="E201" s="290" t="inlineStr">
        <is>
          <t>⬜ 대기</t>
        </is>
      </c>
      <c r="F201" s="292" t="inlineStr">
        <is>
          <t>-</t>
        </is>
      </c>
      <c r="G201" s="292" t="inlineStr">
        <is>
          <t>-</t>
        </is>
      </c>
      <c r="H201" s="294" t="inlineStr">
        <is>
          <t>Tier 1. 선형 자료구조 &amp; 탐색 기본기</t>
        </is>
      </c>
      <c r="I201" s="294" t="inlineStr">
        <is>
          <t>연결리스트/D2_연결리스트_두_리스트_병합</t>
        </is>
      </c>
      <c r="J201" s="292" t="inlineStr">
        <is>
          <t>✅ 6종 완비</t>
        </is>
      </c>
      <c r="K201" s="294" t="inlineStr">
        <is>
          <t>Lv.4 경계완충/징검다리</t>
        </is>
      </c>
      <c r="L201" s="294" t="inlineStr">
        <is>
          <t>각각 오름차순으로 정렬된 두 개의 단일 연결 리스트 A와 B가 주어집니다. 두 리스트의 포인터를 순회하며 더 작은 값을 가진 노드를 차례대로 이어 붙여 하나의 정렬된 연결 리스트로 병합(Merge)하십시오.</t>
        </is>
      </c>
      <c r="M201" s="294" t="inlineStr">
        <is>
          <t>-</t>
        </is>
      </c>
    </row>
    <row r="202" ht="20" customHeight="1" s="209">
      <c r="A202" s="287" t="n">
        <v>201</v>
      </c>
      <c r="B202" s="288" t="inlineStr">
        <is>
          <t>D2</t>
        </is>
      </c>
      <c r="C202" s="287" t="inlineStr">
        <is>
          <t>연결리스트</t>
        </is>
      </c>
      <c r="D202" s="289" t="inlineStr">
        <is>
          <t>연결리스트에_대해서</t>
        </is>
      </c>
      <c r="E202" s="290" t="inlineStr">
        <is>
          <t>⬜ 대기</t>
        </is>
      </c>
      <c r="F202" s="287" t="inlineStr">
        <is>
          <t>-</t>
        </is>
      </c>
      <c r="G202" s="287" t="inlineStr">
        <is>
          <t>-</t>
        </is>
      </c>
      <c r="H202" s="291" t="inlineStr">
        <is>
          <t>Tier 1. 선형 자료구조 &amp; 탐색 기본기</t>
        </is>
      </c>
      <c r="I202" s="291" t="inlineStr">
        <is>
          <t>연결리스트/D2_연결리스트_연결리스트에_대해서</t>
        </is>
      </c>
      <c r="J202" s="287" t="inlineStr">
        <is>
          <t>✅ 6종 완비</t>
        </is>
      </c>
      <c r="K202" s="291" t="inlineStr">
        <is>
          <t>Lv.3 개념뼈대 완결</t>
        </is>
      </c>
      <c r="L202" s="291" t="inlineStr">
        <is>
          <t>주어지는 N개의 명령어를 순서대로 처리하여 그 결과를 출력하는 단일 연결 리스트 프로그램을 직접 구현하십시오!</t>
        </is>
      </c>
      <c r="M202" s="291" t="inlineStr">
        <is>
          <t>-</t>
        </is>
      </c>
    </row>
    <row r="203" ht="20" customHeight="1" s="209">
      <c r="A203" s="292" t="n">
        <v>202</v>
      </c>
      <c r="B203" s="288" t="inlineStr">
        <is>
          <t>D2</t>
        </is>
      </c>
      <c r="C203" s="292" t="inlineStr">
        <is>
          <t>연결리스트</t>
        </is>
      </c>
      <c r="D203" s="293" t="inlineStr">
        <is>
          <t>중간_노드_찾기</t>
        </is>
      </c>
      <c r="E203" s="290" t="inlineStr">
        <is>
          <t>⬜ 대기</t>
        </is>
      </c>
      <c r="F203" s="292" t="inlineStr">
        <is>
          <t>-</t>
        </is>
      </c>
      <c r="G203" s="292" t="inlineStr">
        <is>
          <t>-</t>
        </is>
      </c>
      <c r="H203" s="294" t="inlineStr">
        <is>
          <t>Tier 1. 선형 자료구조 &amp; 탐색 기본기</t>
        </is>
      </c>
      <c r="I203" s="294" t="inlineStr">
        <is>
          <t>연결리스트/D2_연결리스트_중간_노드_찾기</t>
        </is>
      </c>
      <c r="J203" s="292" t="inlineStr">
        <is>
          <t>✅ 6종 완비</t>
        </is>
      </c>
      <c r="K203" s="294" t="inlineStr">
        <is>
          <t>Lv.4 경계완충/징검다리</t>
        </is>
      </c>
      <c r="L203" s="294" t="inlineStr">
        <is>
          <t>단일 연결 리스트에서 전체 크기를 미리 세지 않고도 정중앙의 노드를 단 한 번의 순회(O(N))로 찾아내는 대표적인 알고리즘이 바로 '투 포인터 러너(Runner) 기법'입니다. 두 개의 포인터 `slow`와 `fa...</t>
        </is>
      </c>
      <c r="M203" s="294" t="inlineStr">
        <is>
          <t>-</t>
        </is>
      </c>
    </row>
    <row r="204" ht="20" customHeight="1" s="209">
      <c r="A204" s="287" t="n">
        <v>203</v>
      </c>
      <c r="B204" s="288" t="inlineStr">
        <is>
          <t>D2</t>
        </is>
      </c>
      <c r="C204" s="287" t="inlineStr">
        <is>
          <t>연결리스트</t>
        </is>
      </c>
      <c r="D204" s="289" t="inlineStr">
        <is>
          <t>중복_노드_제거</t>
        </is>
      </c>
      <c r="E204" s="290" t="inlineStr">
        <is>
          <t>⬜ 대기</t>
        </is>
      </c>
      <c r="F204" s="287" t="inlineStr">
        <is>
          <t>-</t>
        </is>
      </c>
      <c r="G204" s="287" t="inlineStr">
        <is>
          <t>-</t>
        </is>
      </c>
      <c r="H204" s="291" t="inlineStr">
        <is>
          <t>Tier 1. 선형 자료구조 &amp; 탐색 기본기</t>
        </is>
      </c>
      <c r="I204" s="291" t="inlineStr">
        <is>
          <t>연결리스트/D2_연결리스트_중복_노드_제거</t>
        </is>
      </c>
      <c r="J204" s="287" t="inlineStr">
        <is>
          <t>✅ 6종 완비</t>
        </is>
      </c>
      <c r="K204" s="291" t="inlineStr">
        <is>
          <t>Lv.4 경계완충/징검다리</t>
        </is>
      </c>
      <c r="L204" s="291" t="inlineStr">
        <is>
          <t>오름차순으로 정렬된 정수 단일 연결 리스트가 주어집니다. 리스트를 순회하면서 연속하여 나타나는 동일한 값의 중복 노드를 하나만 남기고 모두 삭제하십시오.</t>
        </is>
      </c>
      <c r="M204" s="291" t="inlineStr">
        <is>
          <t>-</t>
        </is>
      </c>
    </row>
    <row r="205" ht="20" customHeight="1" s="209">
      <c r="A205" s="292" t="n">
        <v>204</v>
      </c>
      <c r="B205" s="295" t="inlineStr">
        <is>
          <t>D3</t>
        </is>
      </c>
      <c r="C205" s="292" t="inlineStr">
        <is>
          <t>연결리스트</t>
        </is>
      </c>
      <c r="D205" s="293" t="inlineStr">
        <is>
          <t>나은이의_기차_놀이_재배치</t>
        </is>
      </c>
      <c r="E205" s="290" t="inlineStr">
        <is>
          <t>⬜ 대기</t>
        </is>
      </c>
      <c r="F205" s="292" t="inlineStr">
        <is>
          <t>-</t>
        </is>
      </c>
      <c r="G205" s="292" t="inlineStr">
        <is>
          <t>-</t>
        </is>
      </c>
      <c r="H205" s="294" t="inlineStr">
        <is>
          <t>Tier 1. 선형 자료구조 &amp; 탐색 기본기</t>
        </is>
      </c>
      <c r="I205" s="294" t="inlineStr">
        <is>
          <t>연결리스트/D3_연결리스트_나은이의_기차_놀이_재배치</t>
        </is>
      </c>
      <c r="J205" s="292" t="inlineStr">
        <is>
          <t>✅ 6종 완비</t>
        </is>
      </c>
      <c r="K205" s="294" t="inlineStr">
        <is>
          <t>Lv.5 실전 응용 (스토리텔링)</t>
        </is>
      </c>
      <c r="L205" s="294" t="inlineStr">
        <is>
          <t>나은이는 일렬로 연결된 숫자 블록 기차 칸들을 가지고 놀고 있습니다. 초기 기차는 1번 칸부터 N번 칸까지 번호가 적힌 화물칸들이 단일 연결 리스트 형태로 줄지어 연결되어 있습니다.</t>
        </is>
      </c>
      <c r="M205" s="294" t="inlineStr">
        <is>
          <t>-</t>
        </is>
      </c>
    </row>
    <row r="206" ht="20" customHeight="1" s="209">
      <c r="A206" s="287" t="n">
        <v>205</v>
      </c>
      <c r="B206" s="295" t="inlineStr">
        <is>
          <t>D3</t>
        </is>
      </c>
      <c r="C206" s="287" t="inlineStr">
        <is>
          <t>연결리스트</t>
        </is>
      </c>
      <c r="D206" s="289" t="inlineStr">
        <is>
          <t>로운이의_암호문_삽입과_삭제</t>
        </is>
      </c>
      <c r="E206" s="290" t="inlineStr">
        <is>
          <t>⬜ 대기</t>
        </is>
      </c>
      <c r="F206" s="287" t="inlineStr">
        <is>
          <t>-</t>
        </is>
      </c>
      <c r="G206" s="287" t="inlineStr">
        <is>
          <t>-</t>
        </is>
      </c>
      <c r="H206" s="291" t="inlineStr">
        <is>
          <t>Tier 1. 선형 자료구조 &amp; 탐색 기본기</t>
        </is>
      </c>
      <c r="I206" s="291" t="inlineStr">
        <is>
          <t>연결리스트/D3_연결리스트_로운이의_암호문_삽입과_삭제</t>
        </is>
      </c>
      <c r="J206" s="287" t="inlineStr">
        <is>
          <t>✅ 6종 완비</t>
        </is>
      </c>
      <c r="K206" s="291" t="inlineStr">
        <is>
          <t>Lv.5 실전 응용 (스토리텔링)</t>
        </is>
      </c>
      <c r="L206" s="291" t="inlineStr">
        <is>
          <t>국가 비밀 정보국의 특수 요원 로운이는 적국에서 보낸 암호문을 실시간으로 해독 및 수정하는 임무를 맡고 있습니다. 초기 원본 암호문은 N개의 숫자로 구성된 연결 리스트로 주어집니다.</t>
        </is>
      </c>
      <c r="M206" s="291" t="inlineStr">
        <is>
          <t>-</t>
        </is>
      </c>
    </row>
    <row r="207" ht="20" customHeight="1" s="209">
      <c r="A207" s="292" t="n">
        <v>206</v>
      </c>
      <c r="B207" s="295" t="inlineStr">
        <is>
          <t>D3</t>
        </is>
      </c>
      <c r="C207" s="292" t="inlineStr">
        <is>
          <t>연결리스트</t>
        </is>
      </c>
      <c r="D207" s="293" t="inlineStr">
        <is>
          <t>선우의_음악_플레이리스트</t>
        </is>
      </c>
      <c r="E207" s="290" t="inlineStr">
        <is>
          <t>⬜ 대기</t>
        </is>
      </c>
      <c r="F207" s="292" t="inlineStr">
        <is>
          <t>-</t>
        </is>
      </c>
      <c r="G207" s="292" t="inlineStr">
        <is>
          <t>-</t>
        </is>
      </c>
      <c r="H207" s="294" t="inlineStr">
        <is>
          <t>Tier 1. 선형 자료구조 &amp; 탐색 기본기</t>
        </is>
      </c>
      <c r="I207" s="294" t="inlineStr">
        <is>
          <t>연결리스트/D3_연결리스트_선우의_음악_플레이리스트</t>
        </is>
      </c>
      <c r="J207" s="292" t="inlineStr">
        <is>
          <t>✅ 6종 완비</t>
        </is>
      </c>
      <c r="K207" s="294" t="inlineStr">
        <is>
          <t>Lv.5 실전 응용 (스토리텔링)</t>
        </is>
      </c>
      <c r="L207" s="294" t="inlineStr">
        <is>
          <t>초등학생 선우는 좋아하는 동요 음악 트랙들을 관리하기 위해 이중 연결 리스트(Doubly Linked List) 기반의 스마트 음악 플레이어 소프트웨어를 개발하고 있습니다. 각 곡은 고유 번호(정수)를 가지고 있으며...</t>
        </is>
      </c>
      <c r="M207" s="294" t="inlineStr">
        <is>
          <t>-</t>
        </is>
      </c>
    </row>
    <row r="208" ht="20" customHeight="1" s="209">
      <c r="A208" s="287" t="n">
        <v>207</v>
      </c>
      <c r="B208" s="295" t="inlineStr">
        <is>
          <t>D3</t>
        </is>
      </c>
      <c r="C208" s="287" t="inlineStr">
        <is>
          <t>연결리스트</t>
        </is>
      </c>
      <c r="D208" s="289" t="inlineStr">
        <is>
          <t>암호문_복원</t>
        </is>
      </c>
      <c r="E208" s="290" t="inlineStr">
        <is>
          <t>⬜ 대기</t>
        </is>
      </c>
      <c r="F208" s="287" t="inlineStr">
        <is>
          <t>-</t>
        </is>
      </c>
      <c r="G208" s="287" t="inlineStr">
        <is>
          <t>-</t>
        </is>
      </c>
      <c r="H208" s="291" t="inlineStr">
        <is>
          <t>Tier 1. 선형 자료구조 &amp; 탐색 기본기</t>
        </is>
      </c>
      <c r="I208" s="291" t="inlineStr">
        <is>
          <t>연결리스트/D3_연결리스트_암호문_복원</t>
        </is>
      </c>
      <c r="J208" s="287" t="inlineStr">
        <is>
          <t>✅ 6종 완비</t>
        </is>
      </c>
      <c r="K208" s="291" t="inlineStr">
        <is>
          <t>Lv.5 실전 응용 (스토리텔링)</t>
        </is>
      </c>
      <c r="L208" s="291" t="inlineStr">
        <is>
          <t>보안 전문가 시우는 중간에 삽입 명령으로 훼손된 국가 기밀 암호문을 복원하는 임무를 맡았습니다. 원본 암호문은 N개의 숫자로 이루어져 있습니다.</t>
        </is>
      </c>
      <c r="M208" s="291" t="inlineStr">
        <is>
          <t>-</t>
        </is>
      </c>
    </row>
    <row r="209" ht="20" customHeight="1" s="209">
      <c r="A209" s="292" t="n">
        <v>208</v>
      </c>
      <c r="B209" s="295" t="inlineStr">
        <is>
          <t>D3</t>
        </is>
      </c>
      <c r="C209" s="292" t="inlineStr">
        <is>
          <t>연결리스트</t>
        </is>
      </c>
      <c r="D209" s="293" t="inlineStr">
        <is>
          <t>은우와_아린이의_단어_사슬_잇기</t>
        </is>
      </c>
      <c r="E209" s="290" t="inlineStr">
        <is>
          <t>⬜ 대기</t>
        </is>
      </c>
      <c r="F209" s="292" t="inlineStr">
        <is>
          <t>-</t>
        </is>
      </c>
      <c r="G209" s="292" t="inlineStr">
        <is>
          <t>-</t>
        </is>
      </c>
      <c r="H209" s="294" t="inlineStr">
        <is>
          <t>Tier 1. 선형 자료구조 &amp; 탐색 기본기</t>
        </is>
      </c>
      <c r="I209" s="294" t="inlineStr">
        <is>
          <t>연결리스트/D3_연결리스트_은우와_아린이의_단어_사슬_잇기</t>
        </is>
      </c>
      <c r="J209" s="292" t="inlineStr">
        <is>
          <t>✅ 6종 완비</t>
        </is>
      </c>
      <c r="K209" s="294" t="inlineStr">
        <is>
          <t>Lv.5 실전 응용 (스토리텔링)</t>
        </is>
      </c>
      <c r="L209" s="294" t="inlineStr">
        <is>
          <t>은우와 아린이는 N장의 숫자 카드를 둥글게 원형 연결 리스트(Circular Linked List)로 이어 붙여 즐거운 게임을 하고 있습니다. 각 카드는 1번부터 N번까지의 번호를 지니고 있으며, 1번 카드부터 시계...</t>
        </is>
      </c>
      <c r="M209" s="294" t="inlineStr">
        <is>
          <t>-</t>
        </is>
      </c>
    </row>
    <row r="210" ht="20" customHeight="1" s="209">
      <c r="A210" s="287" t="n">
        <v>209</v>
      </c>
      <c r="B210" s="296" t="inlineStr">
        <is>
          <t>D4</t>
        </is>
      </c>
      <c r="C210" s="287" t="inlineStr">
        <is>
          <t>연결리스트</t>
        </is>
      </c>
      <c r="D210" s="289" t="inlineStr">
        <is>
          <t>LRU_캐시_구현_DLL_해시_연동</t>
        </is>
      </c>
      <c r="E210" s="290" t="inlineStr">
        <is>
          <t>⬜ 대기</t>
        </is>
      </c>
      <c r="F210" s="287" t="inlineStr">
        <is>
          <t>-</t>
        </is>
      </c>
      <c r="G210" s="287" t="inlineStr">
        <is>
          <t>-</t>
        </is>
      </c>
      <c r="H210" s="291" t="inlineStr">
        <is>
          <t>Tier 1. 선형 자료구조 &amp; 탐색 기본기</t>
        </is>
      </c>
      <c r="I210" s="291" t="inlineStr">
        <is>
          <t>연결리스트/D4_연결리스트_LRU_캐시_구현_DLL_해시_연동</t>
        </is>
      </c>
      <c r="J210" s="287" t="inlineStr">
        <is>
          <t>✅ 6종 완비</t>
        </is>
      </c>
      <c r="K210" s="291" t="inlineStr">
        <is>
          <t>Lv.6 복합 제약 &amp; 시공간 최적화</t>
        </is>
      </c>
      <c r="L210" s="291" t="inlineStr">
        <is>
          <t>최대 용량이 Capacity인 LRU(Least Recently Used) 캐시를 구현하는 문제입니다. 데이터에 대한 조회(`GET`)나 갱신/삽입(`PUT`)이 일어날 때마다 해당 데이터는 가장 최근에 사용된(Mo...</t>
        </is>
      </c>
      <c r="M210" s="291" t="inlineStr">
        <is>
          <t>-</t>
        </is>
      </c>
    </row>
    <row r="211" ht="20" customHeight="1" s="209">
      <c r="A211" s="292" t="n">
        <v>210</v>
      </c>
      <c r="B211" s="296" t="inlineStr">
        <is>
          <t>D4</t>
        </is>
      </c>
      <c r="C211" s="292" t="inlineStr">
        <is>
          <t>연결리스트</t>
        </is>
      </c>
      <c r="D211" s="293" t="inlineStr">
        <is>
          <t>메모리풀_기반_커스텀_리스트</t>
        </is>
      </c>
      <c r="E211" s="290" t="inlineStr">
        <is>
          <t>⬜ 대기</t>
        </is>
      </c>
      <c r="F211" s="292" t="inlineStr">
        <is>
          <t>-</t>
        </is>
      </c>
      <c r="G211" s="292" t="inlineStr">
        <is>
          <t>-</t>
        </is>
      </c>
      <c r="H211" s="294" t="inlineStr">
        <is>
          <t>Tier 1. 선형 자료구조 &amp; 탐색 기본기</t>
        </is>
      </c>
      <c r="I211" s="294" t="inlineStr">
        <is>
          <t>연결리스트/D4_연결리스트_메모리풀_기반_커스텀_리스트</t>
        </is>
      </c>
      <c r="J211" s="292" t="inlineStr">
        <is>
          <t>✅ 6종 완비</t>
        </is>
      </c>
      <c r="K211" s="294" t="inlineStr">
        <is>
          <t>Lv.6 복합 제약 &amp; 시공간 최적화</t>
        </is>
      </c>
      <c r="L211" s="294" t="inlineStr">
        <is>
          <t>삼성 B형(Pro) 실전 코딩 테스트에서는 수십만 건의 노드 동적 생성 시 자바의 `new` 연산자로 인한 가비지 컬렉터(GC) 오버헤드를 원천 차단하기 위해, 정적 배열 메모리 풀(Static Node Pool)을...</t>
        </is>
      </c>
      <c r="M211" s="294" t="inlineStr">
        <is>
          <t>-</t>
        </is>
      </c>
    </row>
    <row r="212" ht="20" customHeight="1" s="209">
      <c r="A212" s="287" t="n">
        <v>211</v>
      </c>
      <c r="B212" s="296" t="inlineStr">
        <is>
          <t>D4</t>
        </is>
      </c>
      <c r="C212" s="287" t="inlineStr">
        <is>
          <t>연결리스트</t>
        </is>
      </c>
      <c r="D212" s="289" t="inlineStr">
        <is>
          <t>블록체인_트랜잭션_롤백_엔진</t>
        </is>
      </c>
      <c r="E212" s="290" t="inlineStr">
        <is>
          <t>⬜ 대기</t>
        </is>
      </c>
      <c r="F212" s="287" t="inlineStr">
        <is>
          <t>-</t>
        </is>
      </c>
      <c r="G212" s="287" t="inlineStr">
        <is>
          <t>-</t>
        </is>
      </c>
      <c r="H212" s="291" t="inlineStr">
        <is>
          <t>Tier 1. 선형 자료구조 &amp; 탐색 기본기</t>
        </is>
      </c>
      <c r="I212" s="291" t="inlineStr">
        <is>
          <t>연결리스트/D4_연결리스트_블록체인_트랜잭션_롤백_엔진</t>
        </is>
      </c>
      <c r="J212" s="287" t="inlineStr">
        <is>
          <t>✅ 6종 완비</t>
        </is>
      </c>
      <c r="K212" s="291" t="inlineStr">
        <is>
          <t>Lv.6 복합 제약 &amp; 시공간 최적화</t>
        </is>
      </c>
      <c r="L212" s="291" t="inlineStr">
        <is>
          <t>블록체인 네트워크에서 트랜잭션 블록들이 단일 연결 체인 형태로 순차적으로 쌓이고 있습니다. 각 블록은 고유한 `blockId`와 정수 가치 `amount`를 보유하고 있으며, 이전 블록을 가리키는 `prev` 포인터...</t>
        </is>
      </c>
      <c r="M212" s="291" t="inlineStr">
        <is>
          <t>-</t>
        </is>
      </c>
    </row>
    <row r="213" ht="20" customHeight="1" s="209">
      <c r="A213" s="292" t="n">
        <v>212</v>
      </c>
      <c r="B213" s="296" t="inlineStr">
        <is>
          <t>D4</t>
        </is>
      </c>
      <c r="C213" s="292" t="inlineStr">
        <is>
          <t>연결리스트</t>
        </is>
      </c>
      <c r="D213" s="293" t="inlineStr">
        <is>
          <t>원형_리스트_요세푸스_순열_최적화</t>
        </is>
      </c>
      <c r="E213" s="290" t="inlineStr">
        <is>
          <t>⬜ 대기</t>
        </is>
      </c>
      <c r="F213" s="292" t="inlineStr">
        <is>
          <t>-</t>
        </is>
      </c>
      <c r="G213" s="292" t="inlineStr">
        <is>
          <t>-</t>
        </is>
      </c>
      <c r="H213" s="294" t="inlineStr">
        <is>
          <t>Tier 1. 선형 자료구조 &amp; 탐색 기본기</t>
        </is>
      </c>
      <c r="I213" s="294" t="inlineStr">
        <is>
          <t>연결리스트/D4_연결리스트_원형_리스트_요세푸스_순열_최적화</t>
        </is>
      </c>
      <c r="J213" s="292" t="inlineStr">
        <is>
          <t>✅ 6종 완비</t>
        </is>
      </c>
      <c r="K213" s="294" t="inlineStr">
        <is>
          <t>Lv.6 복합 제약 &amp; 시공간 최적화</t>
        </is>
      </c>
      <c r="L213" s="294" t="inlineStr">
        <is>
          <t>1번부터 N번까지의 사람이 원형으로 둘러앉아 있을 때, 순서대로 K번째 사람을 탈락시키는 요세푸스 순열 문제입니다. 일반적인 배열이나 단순 큐를 사용할 경우 K가 매우 크거나 노드 삭제가 빈번할 때 O(N x K)의...</t>
        </is>
      </c>
      <c r="M213" s="294" t="inlineStr">
        <is>
          <t>-</t>
        </is>
      </c>
    </row>
    <row r="214" ht="20" customHeight="1" s="209">
      <c r="A214" s="287" t="n">
        <v>213</v>
      </c>
      <c r="B214" s="296" t="inlineStr">
        <is>
          <t>D4</t>
        </is>
      </c>
      <c r="C214" s="287" t="inlineStr">
        <is>
          <t>연결리스트</t>
        </is>
      </c>
      <c r="D214" s="289" t="inlineStr">
        <is>
          <t>커서_기반_초고속_텍스트_에디터</t>
        </is>
      </c>
      <c r="E214" s="290" t="inlineStr">
        <is>
          <t>⬜ 대기</t>
        </is>
      </c>
      <c r="F214" s="287" t="inlineStr">
        <is>
          <t>-</t>
        </is>
      </c>
      <c r="G214" s="287" t="inlineStr">
        <is>
          <t>-</t>
        </is>
      </c>
      <c r="H214" s="291" t="inlineStr">
        <is>
          <t>Tier 1. 선형 자료구조 &amp; 탐색 기본기</t>
        </is>
      </c>
      <c r="I214" s="291" t="inlineStr">
        <is>
          <t>연결리스트/D4_연결리스트_커서_기반_초고속_텍스트_에디터</t>
        </is>
      </c>
      <c r="J214" s="287" t="inlineStr">
        <is>
          <t>✅ 6종 완비</t>
        </is>
      </c>
      <c r="K214" s="291" t="inlineStr">
        <is>
          <t>Lv.6 복합 제약 &amp; 시공간 최적화</t>
        </is>
      </c>
      <c r="L214" s="291" t="inlineStr">
        <is>
          <t>초대용량 텍스트 파일(최대 100,000자)을 실시간으로 편집할 수 있는 커서 기반 에디터를 구현해야 합니다. 커서는 문자열의 맨 앞, 맨 뒤, 혹은 문자와 문자 사이에 위치할 수 있습니다.</t>
        </is>
      </c>
      <c r="M214" s="291" t="inlineStr">
        <is>
          <t>-</t>
        </is>
      </c>
    </row>
    <row r="215" ht="20" customHeight="1" s="209">
      <c r="A215" s="292" t="n">
        <v>214</v>
      </c>
      <c r="B215" s="288" t="inlineStr">
        <is>
          <t>D2</t>
        </is>
      </c>
      <c r="C215" s="292" t="inlineStr">
        <is>
          <t>위상정렬</t>
        </is>
      </c>
      <c r="D215" s="293" t="inlineStr">
        <is>
          <t>사이클_존재_여부_판별</t>
        </is>
      </c>
      <c r="E215" s="290" t="inlineStr">
        <is>
          <t>⬜ 대기</t>
        </is>
      </c>
      <c r="F215" s="292" t="inlineStr">
        <is>
          <t>-</t>
        </is>
      </c>
      <c r="G215" s="292" t="inlineStr">
        <is>
          <t>-</t>
        </is>
      </c>
      <c r="H215" s="294" t="inlineStr">
        <is>
          <t>Tier 3. 격자 시뮬레이션 &amp; 최단 경로 (골드 상위)</t>
        </is>
      </c>
      <c r="I215" s="294" t="inlineStr">
        <is>
          <t>위상정렬/D2_위상정렬_사이클_존재_여부_판별</t>
        </is>
      </c>
      <c r="J215" s="292" t="inlineStr">
        <is>
          <t>✅ 6종 완비</t>
        </is>
      </c>
      <c r="K215" s="294" t="inlineStr">
        <is>
          <t>Lv.4 경계완충/징검다리</t>
        </is>
      </c>
      <c r="L215" s="294" t="inlineStr">
        <is>
          <t>방향 그래프가 주어졌을 때, 그래프 내에 하나 이상의 순환 사이클(Cycle)이 존재하는지 판별하는 문제입니다. 위상 정렬(Kahn 알고리즘)을 수행할 때:</t>
        </is>
      </c>
      <c r="M215" s="294" t="inlineStr">
        <is>
          <t>-</t>
        </is>
      </c>
    </row>
    <row r="216" ht="20" customHeight="1" s="209">
      <c r="A216" s="287" t="n">
        <v>215</v>
      </c>
      <c r="B216" s="288" t="inlineStr">
        <is>
          <t>D2</t>
        </is>
      </c>
      <c r="C216" s="287" t="inlineStr">
        <is>
          <t>위상정렬</t>
        </is>
      </c>
      <c r="D216" s="289" t="inlineStr">
        <is>
          <t>사전순_가장_앞선_순서</t>
        </is>
      </c>
      <c r="E216" s="290" t="inlineStr">
        <is>
          <t>⬜ 대기</t>
        </is>
      </c>
      <c r="F216" s="287" t="inlineStr">
        <is>
          <t>-</t>
        </is>
      </c>
      <c r="G216" s="287" t="inlineStr">
        <is>
          <t>-</t>
        </is>
      </c>
      <c r="H216" s="291" t="inlineStr">
        <is>
          <t>Tier 3. 격자 시뮬레이션 &amp; 최단 경로 (골드 상위)</t>
        </is>
      </c>
      <c r="I216" s="291" t="inlineStr">
        <is>
          <t>위상정렬/D2_위상정렬_사전순_가장_앞선_순서</t>
        </is>
      </c>
      <c r="J216" s="287" t="inlineStr">
        <is>
          <t>✅ 6종 완비</t>
        </is>
      </c>
      <c r="K216" s="291" t="inlineStr">
        <is>
          <t>Lv.4 경계완충/징검다리</t>
        </is>
      </c>
      <c r="L216" s="291" t="inlineStr">
        <is>
          <t>작업 간의 선후 관계가 주어질 때 가능한 위상 정렬 결과가 여러 가지일 수 있습니다. 선택 가능한 여러 작업 중 항상 번호가 가장 작은 작업을 우선하여 처리할 때, '사전순으로 가장 앞서는(Lexicographica...</t>
        </is>
      </c>
      <c r="M216" s="291" t="inlineStr">
        <is>
          <t>-</t>
        </is>
      </c>
    </row>
    <row r="217" ht="20" customHeight="1" s="209">
      <c r="A217" s="292" t="n">
        <v>216</v>
      </c>
      <c r="B217" s="288" t="inlineStr">
        <is>
          <t>D2</t>
        </is>
      </c>
      <c r="C217" s="292" t="inlineStr">
        <is>
          <t>위상정렬</t>
        </is>
      </c>
      <c r="D217" s="293" t="inlineStr">
        <is>
          <t>수강_가능_여부_체크</t>
        </is>
      </c>
      <c r="E217" s="290" t="inlineStr">
        <is>
          <t>⬜ 대기</t>
        </is>
      </c>
      <c r="F217" s="292" t="inlineStr">
        <is>
          <t>-</t>
        </is>
      </c>
      <c r="G217" s="292" t="inlineStr">
        <is>
          <t>-</t>
        </is>
      </c>
      <c r="H217" s="294" t="inlineStr">
        <is>
          <t>Tier 3. 격자 시뮬레이션 &amp; 최단 경로 (골드 상위)</t>
        </is>
      </c>
      <c r="I217" s="294" t="inlineStr">
        <is>
          <t>위상정렬/D2_위상정렬_수강_가능_여부_체크</t>
        </is>
      </c>
      <c r="J217" s="292" t="inlineStr">
        <is>
          <t>✅ 6종 완비</t>
        </is>
      </c>
      <c r="K217" s="294" t="inlineStr">
        <is>
          <t>Lv.4 경계완충/징검다리</t>
        </is>
      </c>
      <c r="L217" s="294" t="inlineStr">
        <is>
          <t>대학교의 컴퓨터공학과에는 1번부터 N번까지 N개의 과목이 개설되어 있습니다. 과목들 사이에는 선수과목(Prerequisite) 제약 조건이 존재합니다.</t>
        </is>
      </c>
      <c r="M217" s="294" t="inlineStr">
        <is>
          <t>-</t>
        </is>
      </c>
    </row>
    <row r="218" ht="20" customHeight="1" s="209">
      <c r="A218" s="287" t="n">
        <v>217</v>
      </c>
      <c r="B218" s="288" t="inlineStr">
        <is>
          <t>D2</t>
        </is>
      </c>
      <c r="C218" s="287" t="inlineStr">
        <is>
          <t>위상정렬</t>
        </is>
      </c>
      <c r="D218" s="289" t="inlineStr">
        <is>
          <t>위상정렬에_대해서</t>
        </is>
      </c>
      <c r="E218" s="290" t="inlineStr">
        <is>
          <t>⬜ 대기</t>
        </is>
      </c>
      <c r="F218" s="287" t="inlineStr">
        <is>
          <t>-</t>
        </is>
      </c>
      <c r="G218" s="287" t="inlineStr">
        <is>
          <t>-</t>
        </is>
      </c>
      <c r="H218" s="291" t="inlineStr">
        <is>
          <t>Tier 3. 격자 시뮬레이션 &amp; 최단 경로 (골드 상위)</t>
        </is>
      </c>
      <c r="I218" s="291" t="inlineStr">
        <is>
          <t>위상정렬/D2_위상정렬_위상정렬에_대해서</t>
        </is>
      </c>
      <c r="J218" s="287" t="inlineStr">
        <is>
          <t>✅ 6종 완비</t>
        </is>
      </c>
      <c r="K218" s="291" t="inlineStr">
        <is>
          <t>Lv.3 개념뼈대 완결</t>
        </is>
      </c>
      <c r="L218" s="291" t="inlineStr">
        <is>
          <t>위상 정렬(Topological Sort) 알고리즘 개념 및 동작 원리 설명: 위상 정렬은 사이클이 없는 방향 그래프(DAG, Directed Acyclic Graph)의 모든 정점을 방향성에 거스르지 않도록 순서대...</t>
        </is>
      </c>
      <c r="M218" s="291" t="inlineStr">
        <is>
          <t>-</t>
        </is>
      </c>
    </row>
    <row r="219" ht="20" customHeight="1" s="209">
      <c r="A219" s="292" t="n">
        <v>218</v>
      </c>
      <c r="B219" s="288" t="inlineStr">
        <is>
          <t>D2</t>
        </is>
      </c>
      <c r="C219" s="292" t="inlineStr">
        <is>
          <t>위상정렬</t>
        </is>
      </c>
      <c r="D219" s="293" t="inlineStr">
        <is>
          <t>작업_순서_결정</t>
        </is>
      </c>
      <c r="E219" s="290" t="inlineStr">
        <is>
          <t>⬜ 대기</t>
        </is>
      </c>
      <c r="F219" s="292" t="inlineStr">
        <is>
          <t>-</t>
        </is>
      </c>
      <c r="G219" s="292" t="inlineStr">
        <is>
          <t>-</t>
        </is>
      </c>
      <c r="H219" s="294" t="inlineStr">
        <is>
          <t>Tier 3. 격자 시뮬레이션 &amp; 최단 경로 (골드 상위)</t>
        </is>
      </c>
      <c r="I219" s="294" t="inlineStr">
        <is>
          <t>위상정렬/D2_위상정렬_작업_순서_결정</t>
        </is>
      </c>
      <c r="J219" s="292" t="inlineStr">
        <is>
          <t>✅ 6종 완비</t>
        </is>
      </c>
      <c r="K219" s="294" t="inlineStr">
        <is>
          <t>Lv.4 경계완충/징검다리</t>
        </is>
      </c>
      <c r="L219" s="294" t="inlineStr">
        <is>
          <t>1부터 N까지의 번호가 매겨진 N개의 작업과 M개의 선후 관계(u번 작업을 끝내야만 v번 작업을 할 수 있음)가 주어집니다. 위상 정렬을 이용하여 모든 작업을 올바르게 끝마칠 수 있는 작업 순서를 구하는 프로그램을 ...</t>
        </is>
      </c>
      <c r="M219" s="294" t="inlineStr">
        <is>
          <t>-</t>
        </is>
      </c>
    </row>
    <row r="220" ht="20" customHeight="1" s="209">
      <c r="A220" s="287" t="n">
        <v>219</v>
      </c>
      <c r="B220" s="295" t="inlineStr">
        <is>
          <t>D3</t>
        </is>
      </c>
      <c r="C220" s="287" t="inlineStr">
        <is>
          <t>위상정렬</t>
        </is>
      </c>
      <c r="D220" s="289" t="inlineStr">
        <is>
          <t>도하의_선수과목_체계</t>
        </is>
      </c>
      <c r="E220" s="290" t="inlineStr">
        <is>
          <t>⬜ 대기</t>
        </is>
      </c>
      <c r="F220" s="287" t="inlineStr">
        <is>
          <t>-</t>
        </is>
      </c>
      <c r="G220" s="287" t="inlineStr">
        <is>
          <t>-</t>
        </is>
      </c>
      <c r="H220" s="291" t="inlineStr">
        <is>
          <t>Tier 3. 격자 시뮬레이션 &amp; 최단 경로 (골드 상위)</t>
        </is>
      </c>
      <c r="I220" s="291" t="inlineStr">
        <is>
          <t>위상정렬/D3_위상정렬_도하의_선수과목_체계</t>
        </is>
      </c>
      <c r="J220" s="287" t="inlineStr">
        <is>
          <t>✅ 6종 완비</t>
        </is>
      </c>
      <c r="K220" s="291" t="inlineStr">
        <is>
          <t>Lv.5 실전 응용 (스토리텔링)</t>
        </is>
      </c>
      <c r="L220" s="291" t="inlineStr">
        <is>
          <t>컴퓨터공학과에 재학 중인 도하는 졸업 요건을 충족하기 위해 N개의 전공 과목을 수강해야 합니다. 과목들 사이에는 선수과목(선행 조건) 관계가 존재하여, A번 과목을 이수해야만 B번 과목을 수강할 수 있습니다.</t>
        </is>
      </c>
      <c r="M220" s="291" t="inlineStr">
        <is>
          <t>-</t>
        </is>
      </c>
    </row>
    <row r="221" ht="20" customHeight="1" s="209">
      <c r="A221" s="292" t="n">
        <v>220</v>
      </c>
      <c r="B221" s="295" t="inlineStr">
        <is>
          <t>D3</t>
        </is>
      </c>
      <c r="C221" s="292" t="inlineStr">
        <is>
          <t>위상정렬</t>
        </is>
      </c>
      <c r="D221" s="293" t="inlineStr">
        <is>
          <t>서윤이의_게임_테크트리</t>
        </is>
      </c>
      <c r="E221" s="290" t="inlineStr">
        <is>
          <t>⬜ 대기</t>
        </is>
      </c>
      <c r="F221" s="292" t="inlineStr">
        <is>
          <t>-</t>
        </is>
      </c>
      <c r="G221" s="292" t="inlineStr">
        <is>
          <t>-</t>
        </is>
      </c>
      <c r="H221" s="294" t="inlineStr">
        <is>
          <t>Tier 3. 격자 시뮬레이션 &amp; 최단 경로 (골드 상위)</t>
        </is>
      </c>
      <c r="I221" s="294" t="inlineStr">
        <is>
          <t>위상정렬/D3_위상정렬_서윤이의_게임_테크트리</t>
        </is>
      </c>
      <c r="J221" s="292" t="inlineStr">
        <is>
          <t>✅ 6종 완비</t>
        </is>
      </c>
      <c r="K221" s="294" t="inlineStr">
        <is>
          <t>Lv.5 실전 응용 (스토리텔링)</t>
        </is>
      </c>
      <c r="L221" s="294" t="inlineStr">
        <is>
          <t>게임 개발자 서윤이는 전략 시뮬레이션 게임에서 건물이나 유닛을 생산하기 위한 테크트리 선행 관계를 정의하고 있습니다. 특정 기술을 연구하려면 선행 기술들이 모두 완료되어야 합니다. 주어진 선행 관계를 바탕으로 모든 ...</t>
        </is>
      </c>
      <c r="M221" s="294" t="inlineStr">
        <is>
          <t>-</t>
        </is>
      </c>
    </row>
    <row r="222" ht="20" customHeight="1" s="209">
      <c r="A222" s="287" t="n">
        <v>221</v>
      </c>
      <c r="B222" s="295" t="inlineStr">
        <is>
          <t>D3</t>
        </is>
      </c>
      <c r="C222" s="287" t="inlineStr">
        <is>
          <t>위상정렬</t>
        </is>
      </c>
      <c r="D222" s="289" t="inlineStr">
        <is>
          <t>선우의_음악_플레이리스트_배치</t>
        </is>
      </c>
      <c r="E222" s="290" t="inlineStr">
        <is>
          <t>⬜ 대기</t>
        </is>
      </c>
      <c r="F222" s="287" t="inlineStr">
        <is>
          <t>-</t>
        </is>
      </c>
      <c r="G222" s="287" t="inlineStr">
        <is>
          <t>-</t>
        </is>
      </c>
      <c r="H222" s="291" t="inlineStr">
        <is>
          <t>Tier 3. 격자 시뮬레이션 &amp; 최단 경로 (골드 상위)</t>
        </is>
      </c>
      <c r="I222" s="291" t="inlineStr">
        <is>
          <t>위상정렬/D3_위상정렬_선우의_음악_플레이리스트_배치</t>
        </is>
      </c>
      <c r="J222" s="287" t="inlineStr">
        <is>
          <t>✅ 6종 완비</t>
        </is>
      </c>
      <c r="K222" s="291" t="inlineStr">
        <is>
          <t>Lv.5 실전 응용 (스토리텔링)</t>
        </is>
      </c>
      <c r="L222" s="291" t="inlineStr">
        <is>
          <t>음악 스트리밍 DJ 선우는 청취자의 몰입도를 높이기 위해 곡 간의 자연스러운 흐름 선행 조건을 반영한 플레이리스트를 제작하려 합니다. 특정 곡 u는 반드시 곡 v보다 먼저 재생되어야 한다는 조건들을 모두 만족하는 유...</t>
        </is>
      </c>
      <c r="M222" s="291" t="inlineStr">
        <is>
          <t>-</t>
        </is>
      </c>
    </row>
    <row r="223" ht="20" customHeight="1" s="209">
      <c r="A223" s="292" t="n">
        <v>222</v>
      </c>
      <c r="B223" s="295" t="inlineStr">
        <is>
          <t>D3</t>
        </is>
      </c>
      <c r="C223" s="292" t="inlineStr">
        <is>
          <t>위상정렬</t>
        </is>
      </c>
      <c r="D223" s="293" t="inlineStr">
        <is>
          <t>유주의_장난감_조립_순서</t>
        </is>
      </c>
      <c r="E223" s="290" t="inlineStr">
        <is>
          <t>⬜ 대기</t>
        </is>
      </c>
      <c r="F223" s="292" t="inlineStr">
        <is>
          <t>-</t>
        </is>
      </c>
      <c r="G223" s="292" t="inlineStr">
        <is>
          <t>-</t>
        </is>
      </c>
      <c r="H223" s="294" t="inlineStr">
        <is>
          <t>Tier 3. 격자 시뮬레이션 &amp; 최단 경로 (골드 상위)</t>
        </is>
      </c>
      <c r="I223" s="294" t="inlineStr">
        <is>
          <t>위상정렬/D3_위상정렬_유주의_장난감_조립_순서</t>
        </is>
      </c>
      <c r="J223" s="292" t="inlineStr">
        <is>
          <t>✅ 6종 완비</t>
        </is>
      </c>
      <c r="K223" s="294" t="inlineStr">
        <is>
          <t>Lv.5 실전 응용 (스토리텔링)</t>
        </is>
      </c>
      <c r="L223" s="294" t="inlineStr">
        <is>
          <t>조립 블록 마니아 유주는 N개의 부품으로 구성된 거대 로봇을 조립하고 있습니다. 특정 부품들은 다른 기본 부품들이 먼저 조립되어 결합되어야만 다음 조립이 가능합니다. 유주가 부품들을 올바른 순서대로 조립할 수 있도록...</t>
        </is>
      </c>
      <c r="M223" s="294" t="inlineStr">
        <is>
          <t>-</t>
        </is>
      </c>
    </row>
    <row r="224" ht="20" customHeight="1" s="209">
      <c r="A224" s="287" t="n">
        <v>223</v>
      </c>
      <c r="B224" s="295" t="inlineStr">
        <is>
          <t>D3</t>
        </is>
      </c>
      <c r="C224" s="287" t="inlineStr">
        <is>
          <t>위상정렬</t>
        </is>
      </c>
      <c r="D224" s="289" t="inlineStr">
        <is>
          <t>은우의_프로젝트_태스크_스케줄링</t>
        </is>
      </c>
      <c r="E224" s="290" t="inlineStr">
        <is>
          <t>⬜ 대기</t>
        </is>
      </c>
      <c r="F224" s="287" t="inlineStr">
        <is>
          <t>-</t>
        </is>
      </c>
      <c r="G224" s="287" t="inlineStr">
        <is>
          <t>-</t>
        </is>
      </c>
      <c r="H224" s="291" t="inlineStr">
        <is>
          <t>Tier 3. 격자 시뮬레이션 &amp; 최단 경로 (골드 상위)</t>
        </is>
      </c>
      <c r="I224" s="291" t="inlineStr">
        <is>
          <t>위상정렬/D3_위상정렬_은우의_프로젝트_태스크_스케줄링</t>
        </is>
      </c>
      <c r="J224" s="287" t="inlineStr">
        <is>
          <t>✅ 6종 완비</t>
        </is>
      </c>
      <c r="K224" s="291" t="inlineStr">
        <is>
          <t>Lv.5 실전 응용 (스토리텔링)</t>
        </is>
      </c>
      <c r="L224" s="291" t="inlineStr">
        <is>
          <t>프로젝트 매니저 은우는 소프트웨어 릴리스를 위해 N개의 하위 태스크를 계획하고 있습니다. 태스크 간의 선행 의존성(Dependency)을 해결하여 작업자들에게 순차적으로 배분할 수 있는 작업 실행 일정을 수립하십시오...</t>
        </is>
      </c>
      <c r="M224" s="291" t="inlineStr">
        <is>
          <t>-</t>
        </is>
      </c>
    </row>
    <row r="225" ht="20" customHeight="1" s="209">
      <c r="A225" s="292" t="n">
        <v>224</v>
      </c>
      <c r="B225" s="296" t="inlineStr">
        <is>
          <t>D4</t>
        </is>
      </c>
      <c r="C225" s="292" t="inlineStr">
        <is>
          <t>위상정렬</t>
        </is>
      </c>
      <c r="D225" s="293" t="inlineStr">
        <is>
          <t>ACM_크래프트_건물_건설_시간</t>
        </is>
      </c>
      <c r="E225" s="290" t="inlineStr">
        <is>
          <t>⬜ 대기</t>
        </is>
      </c>
      <c r="F225" s="292" t="inlineStr">
        <is>
          <t>-</t>
        </is>
      </c>
      <c r="G225" s="292" t="inlineStr">
        <is>
          <t>-</t>
        </is>
      </c>
      <c r="H225" s="294" t="inlineStr">
        <is>
          <t>Tier 3. 격자 시뮬레이션 &amp; 최단 경로 (골드 상위)</t>
        </is>
      </c>
      <c r="I225" s="294" t="inlineStr">
        <is>
          <t>위상정렬/D4_위상정렬_ACM_크래프트_건물_건설_시간</t>
        </is>
      </c>
      <c r="J225" s="292" t="inlineStr">
        <is>
          <t>✅ 6종 완비</t>
        </is>
      </c>
      <c r="K225" s="294" t="inlineStr">
        <is>
          <t>Lv.6 복합 제약 &amp; 시공간 최적화</t>
        </is>
      </c>
      <c r="L225" s="294" t="inlineStr">
        <is>
          <t>건물을 짓는 데 걸리는 시간 D_i와 건물 간의 선행 건설 규칙이 주어집니다. 여러 건물을 동시에 병렬로 지을 수 있을 때, 특정 목표 건물 W를 완성하기까지 걸리는 최소 총 소요 시간을 구하는 문제입니다. 진입 차...</t>
        </is>
      </c>
      <c r="M225" s="294" t="inlineStr">
        <is>
          <t>-</t>
        </is>
      </c>
    </row>
    <row r="226" ht="20" customHeight="1" s="209">
      <c r="A226" s="287" t="n">
        <v>225</v>
      </c>
      <c r="B226" s="296" t="inlineStr">
        <is>
          <t>D4</t>
        </is>
      </c>
      <c r="C226" s="287" t="inlineStr">
        <is>
          <t>위상정렬</t>
        </is>
      </c>
      <c r="D226" s="289" t="inlineStr">
        <is>
          <t>모든_가능한_위상정렬_유일성_검사</t>
        </is>
      </c>
      <c r="E226" s="290" t="inlineStr">
        <is>
          <t>⬜ 대기</t>
        </is>
      </c>
      <c r="F226" s="287" t="inlineStr">
        <is>
          <t>-</t>
        </is>
      </c>
      <c r="G226" s="287" t="inlineStr">
        <is>
          <t>-</t>
        </is>
      </c>
      <c r="H226" s="291" t="inlineStr">
        <is>
          <t>Tier 3. 격자 시뮬레이션 &amp; 최단 경로 (골드 상위)</t>
        </is>
      </c>
      <c r="I226" s="291" t="inlineStr">
        <is>
          <t>위상정렬/D4_위상정렬_모든_가능한_위상정렬_유일성_검사</t>
        </is>
      </c>
      <c r="J226" s="287" t="inlineStr">
        <is>
          <t>✅ 6종 완비</t>
        </is>
      </c>
      <c r="K226" s="291" t="inlineStr">
        <is>
          <t>Lv.6 복합 제약 &amp; 시공간 최적화</t>
        </is>
      </c>
      <c r="L226" s="291" t="inlineStr">
        <is>
          <t>주어진 방향 그래프의 위상 정렬 순서가 '유일하게 단 하나만 존재하는지(Unique)', '여러 가지 순서가 가능한지(Multiple)', 아니면 '사이클이 발생하여 불가능한지(Cycle)'를 판별하는 고난도 알고리...</t>
        </is>
      </c>
      <c r="M226" s="291" t="inlineStr">
        <is>
          <t>-</t>
        </is>
      </c>
    </row>
    <row r="227" ht="20" customHeight="1" s="209">
      <c r="A227" s="292" t="n">
        <v>226</v>
      </c>
      <c r="B227" s="296" t="inlineStr">
        <is>
          <t>D4</t>
        </is>
      </c>
      <c r="C227" s="292" t="inlineStr">
        <is>
          <t>위상정렬</t>
        </is>
      </c>
      <c r="D227" s="293" t="inlineStr">
        <is>
          <t>문제집_우선순위_큐_최적화</t>
        </is>
      </c>
      <c r="E227" s="290" t="inlineStr">
        <is>
          <t>⬜ 대기</t>
        </is>
      </c>
      <c r="F227" s="292" t="inlineStr">
        <is>
          <t>-</t>
        </is>
      </c>
      <c r="G227" s="292" t="inlineStr">
        <is>
          <t>-</t>
        </is>
      </c>
      <c r="H227" s="294" t="inlineStr">
        <is>
          <t>Tier 3. 격자 시뮬레이션 &amp; 최단 경로 (골드 상위)</t>
        </is>
      </c>
      <c r="I227" s="294" t="inlineStr">
        <is>
          <t>위상정렬/D4_위상정렬_문제집_우선순위_큐_최적화</t>
        </is>
      </c>
      <c r="J227" s="292" t="inlineStr">
        <is>
          <t>✅ 6종 완비</t>
        </is>
      </c>
      <c r="K227" s="294" t="inlineStr">
        <is>
          <t>Lv.6 복합 제약 &amp; 시공간 최적화</t>
        </is>
      </c>
      <c r="L227" s="294" t="inlineStr">
        <is>
          <t>N개의 문제를 풀어야 합니다. 문제 간에 먼저 풀어야 하는 선행 조건이 주어지고, 선행 조건이 없는 문제들 중에서는 번호가 작은 문제를 먼저 푸는 것이 좋습니다. 일반 큐 대신 최소 힙(Min-PriorityQueu...</t>
        </is>
      </c>
      <c r="M227" s="294" t="inlineStr">
        <is>
          <t>-</t>
        </is>
      </c>
    </row>
    <row r="228" ht="20" customHeight="1" s="209">
      <c r="A228" s="287" t="n">
        <v>227</v>
      </c>
      <c r="B228" s="296" t="inlineStr">
        <is>
          <t>D4</t>
        </is>
      </c>
      <c r="C228" s="287" t="inlineStr">
        <is>
          <t>위상정렬</t>
        </is>
      </c>
      <c r="D228" s="289" t="inlineStr">
        <is>
          <t>사전순_가장_앞선_위상정렬</t>
        </is>
      </c>
      <c r="E228" s="290" t="inlineStr">
        <is>
          <t>⬜ 대기</t>
        </is>
      </c>
      <c r="F228" s="287" t="inlineStr">
        <is>
          <t>-</t>
        </is>
      </c>
      <c r="G228" s="287" t="inlineStr">
        <is>
          <t>-</t>
        </is>
      </c>
      <c r="H228" s="291" t="inlineStr">
        <is>
          <t>Tier 3. 격자 시뮬레이션 &amp; 최단 경로 (골드 상위)</t>
        </is>
      </c>
      <c r="I228" s="291" t="inlineStr">
        <is>
          <t>위상정렬/D4_위상정렬_사전순_가장_앞선_위상정렬</t>
        </is>
      </c>
      <c r="J228" s="287" t="inlineStr">
        <is>
          <t>✅ 6종 완비</t>
        </is>
      </c>
      <c r="K228" s="291" t="inlineStr">
        <is>
          <t>Lv.6 복합 제약 &amp; 시공간 최적화</t>
        </is>
      </c>
      <c r="L228" s="291" t="inlineStr">
        <is>
          <t>N개의 문제로 구성된 알고리즘 문제집이 있습니다. 각 문제는 1번부터 N번까지 번호가 매겨져 있습니다. 문제들 사이에는 특정 문제를 다른 문제보다 먼저 푸는 것이 좋은 M개의 선행 규칙이 주어집니다.</t>
        </is>
      </c>
      <c r="M228" s="291" t="inlineStr">
        <is>
          <t>-</t>
        </is>
      </c>
    </row>
    <row r="229" ht="20" customHeight="1" s="209">
      <c r="A229" s="292" t="n">
        <v>228</v>
      </c>
      <c r="B229" s="296" t="inlineStr">
        <is>
          <t>D4</t>
        </is>
      </c>
      <c r="C229" s="292" t="inlineStr">
        <is>
          <t>위상정렬</t>
        </is>
      </c>
      <c r="D229" s="293" t="inlineStr">
        <is>
          <t>임계_경로_최장_소요_시간</t>
        </is>
      </c>
      <c r="E229" s="290" t="inlineStr">
        <is>
          <t>⬜ 대기</t>
        </is>
      </c>
      <c r="F229" s="292" t="inlineStr">
        <is>
          <t>-</t>
        </is>
      </c>
      <c r="G229" s="292" t="inlineStr">
        <is>
          <t>-</t>
        </is>
      </c>
      <c r="H229" s="294" t="inlineStr">
        <is>
          <t>Tier 3. 격자 시뮬레이션 &amp; 최단 경로 (골드 상위)</t>
        </is>
      </c>
      <c r="I229" s="294" t="inlineStr">
        <is>
          <t>위상정렬/D4_위상정렬_임계_경로_최장_소요_시간</t>
        </is>
      </c>
      <c r="J229" s="292" t="inlineStr">
        <is>
          <t>✅ 6종 완비</t>
        </is>
      </c>
      <c r="K229" s="294" t="inlineStr">
        <is>
          <t>Lv.6 복합 제약 &amp; 시공간 최적화</t>
        </is>
      </c>
      <c r="L229" s="294" t="inlineStr">
        <is>
          <t>대규모 건설 프로젝트에서 전체 공정이 완료되는 최소 시간(즉, 시작점에서 도착점까지의 최장 경로)을 계산하고, 이 완료 시간에 직접적인 영향을 미치는 임계 경로 간선들의 총 개수를 역추적(Backtracking)하여...</t>
        </is>
      </c>
      <c r="M229" s="294" t="inlineStr">
        <is>
          <t>-</t>
        </is>
      </c>
    </row>
    <row r="230" ht="20" customHeight="1" s="209">
      <c r="A230" s="287" t="n">
        <v>229</v>
      </c>
      <c r="B230" s="288" t="inlineStr">
        <is>
          <t>D2</t>
        </is>
      </c>
      <c r="C230" s="287" t="inlineStr">
        <is>
          <t>이진탐색</t>
        </is>
      </c>
      <c r="D230" s="289" t="inlineStr">
        <is>
          <t>Lower_Bound_찾기</t>
        </is>
      </c>
      <c r="E230" s="290" t="inlineStr">
        <is>
          <t>⬜ 대기</t>
        </is>
      </c>
      <c r="F230" s="287" t="inlineStr">
        <is>
          <t>-</t>
        </is>
      </c>
      <c r="G230" s="287" t="inlineStr">
        <is>
          <t>-</t>
        </is>
      </c>
      <c r="H230" s="291" t="inlineStr">
        <is>
          <t>Tier 2. 완전 탐색 &amp; 백트래킹 (A형 핵심)</t>
        </is>
      </c>
      <c r="I230" s="291" t="inlineStr">
        <is>
          <t>이진탐색/D2_이진탐색_Lower_Bound_찾기</t>
        </is>
      </c>
      <c r="J230" s="287" t="inlineStr">
        <is>
          <t>✅ 6종 완비</t>
        </is>
      </c>
      <c r="K230" s="291" t="inlineStr">
        <is>
          <t>Lv.4 경계완충/징검다리</t>
        </is>
      </c>
      <c r="L230" s="291" t="inlineStr">
        <is>
          <t>정렬된 배열에서 특정 값 이상의 원소가 처음으로 등장하는 위치를 찾는 알고리즘을 하한선(Lower Bound) 탐색이라고 합니다. 동작 원리는 다음과 같습니다.</t>
        </is>
      </c>
      <c r="M230" s="291" t="inlineStr">
        <is>
          <t>-</t>
        </is>
      </c>
    </row>
    <row r="231" ht="20" customHeight="1" s="209">
      <c r="A231" s="292" t="n">
        <v>230</v>
      </c>
      <c r="B231" s="288" t="inlineStr">
        <is>
          <t>D2</t>
        </is>
      </c>
      <c r="C231" s="292" t="inlineStr">
        <is>
          <t>이진탐색</t>
        </is>
      </c>
      <c r="D231" s="293" t="inlineStr">
        <is>
          <t>UP_DOWN_중앙값_비교</t>
        </is>
      </c>
      <c r="E231" s="290" t="inlineStr">
        <is>
          <t>⬜ 대기</t>
        </is>
      </c>
      <c r="F231" s="292" t="inlineStr">
        <is>
          <t>-</t>
        </is>
      </c>
      <c r="G231" s="292" t="inlineStr">
        <is>
          <t>-</t>
        </is>
      </c>
      <c r="H231" s="294" t="inlineStr">
        <is>
          <t>Tier 2. 완전 탐색 &amp; 백트래킹 (A형 핵심)</t>
        </is>
      </c>
      <c r="I231" s="294" t="inlineStr">
        <is>
          <t>이진탐색/D2_이진탐색_UP_DOWN_중앙값_비교</t>
        </is>
      </c>
      <c r="J231" s="292" t="inlineStr">
        <is>
          <t>✅ 6종 완비</t>
        </is>
      </c>
      <c r="K231" s="294" t="inlineStr">
        <is>
          <t>Lv.1 직관/1회판정</t>
        </is>
      </c>
      <c r="L231" s="294" t="inlineStr">
        <is>
          <t>이진 탐색(Binary Search) 알고리즘의 핵심 개념은 "정렬된 데이터에서 중앙 원소(mid)를 선택하여 목표값(target)과 단 한 번 비교함으로써, 다음으로 탐색해야 할 범위를 즉시 절반으로 축소하는 것"...</t>
        </is>
      </c>
      <c r="M231" s="294" t="inlineStr">
        <is>
          <t>-</t>
        </is>
      </c>
    </row>
    <row r="232" ht="20" customHeight="1" s="209">
      <c r="A232" s="287" t="n">
        <v>231</v>
      </c>
      <c r="B232" s="288" t="inlineStr">
        <is>
          <t>D2</t>
        </is>
      </c>
      <c r="C232" s="287" t="inlineStr">
        <is>
          <t>이진탐색</t>
        </is>
      </c>
      <c r="D232" s="289" t="inlineStr">
        <is>
          <t>Upper_Bound_찾기</t>
        </is>
      </c>
      <c r="E232" s="290" t="inlineStr">
        <is>
          <t>⬜ 대기</t>
        </is>
      </c>
      <c r="F232" s="287" t="inlineStr">
        <is>
          <t>-</t>
        </is>
      </c>
      <c r="G232" s="287" t="inlineStr">
        <is>
          <t>-</t>
        </is>
      </c>
      <c r="H232" s="291" t="inlineStr">
        <is>
          <t>Tier 2. 완전 탐색 &amp; 백트래킹 (A형 핵심)</t>
        </is>
      </c>
      <c r="I232" s="291" t="inlineStr">
        <is>
          <t>이진탐색/D2_이진탐색_Upper_Bound_찾기</t>
        </is>
      </c>
      <c r="J232" s="287" t="inlineStr">
        <is>
          <t>✅ 6종 완비</t>
        </is>
      </c>
      <c r="K232" s="291" t="inlineStr">
        <is>
          <t>Lv.4 경계완충/징검다리</t>
        </is>
      </c>
      <c r="L232" s="291" t="inlineStr">
        <is>
          <t>정렬된 배열에서 특정 값을 '초과'하는 원소가 처음으로 등장하는 위치를 찾는 알고리즘을 상한선(Upper Bound) 탐색이라고 합니다. 동작 원리는 다음과 같습니다.</t>
        </is>
      </c>
      <c r="M232" s="291" t="inlineStr">
        <is>
          <t>-</t>
        </is>
      </c>
    </row>
    <row r="233" ht="20" customHeight="1" s="209">
      <c r="A233" s="292" t="n">
        <v>232</v>
      </c>
      <c r="B233" s="288" t="inlineStr">
        <is>
          <t>D2</t>
        </is>
      </c>
      <c r="C233" s="292" t="inlineStr">
        <is>
          <t>이진탐색</t>
        </is>
      </c>
      <c r="D233" s="293" t="inlineStr">
        <is>
          <t>숫자_카드_개수_카운팅</t>
        </is>
      </c>
      <c r="E233" s="290" t="inlineStr">
        <is>
          <t>⬜ 대기</t>
        </is>
      </c>
      <c r="F233" s="292" t="inlineStr">
        <is>
          <t>-</t>
        </is>
      </c>
      <c r="G233" s="292" t="inlineStr">
        <is>
          <t>-</t>
        </is>
      </c>
      <c r="H233" s="294" t="inlineStr">
        <is>
          <t>Tier 2. 완전 탐색 &amp; 백트래킹 (A형 핵심)</t>
        </is>
      </c>
      <c r="I233" s="294" t="inlineStr">
        <is>
          <t>이진탐색/D2_이진탐색_숫자_카드_개수_카운팅</t>
        </is>
      </c>
      <c r="J233" s="292" t="inlineStr">
        <is>
          <t>✅ 6종 완비</t>
        </is>
      </c>
      <c r="K233" s="294" t="inlineStr">
        <is>
          <t>Lv.2 단일루프/추적</t>
        </is>
      </c>
      <c r="L233" s="294" t="inlineStr">
        <is>
          <t>정렬된 N개의 숫자 카드가 주어졌을 때, 특정 숫자가 적힌 카드가 몇 장 존재하는지 알아내는 문제입니다. 이진 탐색의 하한선(Lower Bound)과 상한선(Upper Bound)을 이용하면, 중복 원소가 포함된 정...</t>
        </is>
      </c>
      <c r="M233" s="294" t="inlineStr">
        <is>
          <t>-</t>
        </is>
      </c>
    </row>
    <row r="234" ht="20" customHeight="1" s="209">
      <c r="A234" s="287" t="n">
        <v>233</v>
      </c>
      <c r="B234" s="288" t="inlineStr">
        <is>
          <t>D2</t>
        </is>
      </c>
      <c r="C234" s="287" t="inlineStr">
        <is>
          <t>이진탐색</t>
        </is>
      </c>
      <c r="D234" s="289" t="inlineStr">
        <is>
          <t>이진탐색에_대해서</t>
        </is>
      </c>
      <c r="E234" s="290" t="inlineStr">
        <is>
          <t>⬜ 대기</t>
        </is>
      </c>
      <c r="F234" s="287" t="inlineStr">
        <is>
          <t>-</t>
        </is>
      </c>
      <c r="G234" s="287" t="inlineStr">
        <is>
          <t>-</t>
        </is>
      </c>
      <c r="H234" s="291" t="inlineStr">
        <is>
          <t>Tier 2. 완전 탐색 &amp; 백트래킹 (A형 핵심)</t>
        </is>
      </c>
      <c r="I234" s="291" t="inlineStr">
        <is>
          <t>이진탐색/D2_이진탐색_이진탐색에_대해서</t>
        </is>
      </c>
      <c r="J234" s="287" t="inlineStr">
        <is>
          <t>✅ 6종 완비</t>
        </is>
      </c>
      <c r="K234" s="291" t="inlineStr">
        <is>
          <t>Lv.3 개념뼈대 완결</t>
        </is>
      </c>
      <c r="L234" s="291" t="inlineStr">
        <is>
          <t>이진 탐색(Binary Search) 알고리즘 개념 및 동작 원리 설명: 이진 탐색은 '오름차순으로 정렬된 배열'에서 특정 목표 값(Target)의 위치를 O(log N) 시간 복잡도로 빠르게 찾아내는 탐색 알고리즘...</t>
        </is>
      </c>
      <c r="M234" s="291" t="inlineStr">
        <is>
          <t>-</t>
        </is>
      </c>
    </row>
    <row r="235" ht="20" customHeight="1" s="209">
      <c r="A235" s="292" t="n">
        <v>234</v>
      </c>
      <c r="B235" s="288" t="inlineStr">
        <is>
          <t>D2</t>
        </is>
      </c>
      <c r="C235" s="292" t="inlineStr">
        <is>
          <t>이진탐색</t>
        </is>
      </c>
      <c r="D235" s="293" t="inlineStr">
        <is>
          <t>정렬배열_탐색기</t>
        </is>
      </c>
      <c r="E235" s="290" t="inlineStr">
        <is>
          <t>⬜ 대기</t>
        </is>
      </c>
      <c r="F235" s="292" t="inlineStr">
        <is>
          <t>-</t>
        </is>
      </c>
      <c r="G235" s="292" t="inlineStr">
        <is>
          <t>-</t>
        </is>
      </c>
      <c r="H235" s="294" t="inlineStr">
        <is>
          <t>Tier 2. 완전 탐색 &amp; 백트래킹 (A형 핵심)</t>
        </is>
      </c>
      <c r="I235" s="294" t="inlineStr">
        <is>
          <t>이진탐색/D2_이진탐색_정렬배열_탐색기</t>
        </is>
      </c>
      <c r="J235" s="292" t="inlineStr">
        <is>
          <t>✅ 6종 완비</t>
        </is>
      </c>
      <c r="K235" s="294" t="inlineStr">
        <is>
          <t>Lv.2 단일루프/추적</t>
        </is>
      </c>
      <c r="L235" s="294" t="inlineStr">
        <is>
          <t>이진 탐색(Binary Search)은 '이미 오름차순으로 정렬되어 있는 배열'에서 특정 값을 찾을 때 사용하는 매우 효율적인 탐색 알고리즘입니다. 처음부터 끝까지 순차적으로 확인하는 순차 탐색은 최악의 경우 O(N...</t>
        </is>
      </c>
      <c r="M235" s="294" t="inlineStr">
        <is>
          <t>-</t>
        </is>
      </c>
    </row>
    <row r="236" ht="20" customHeight="1" s="209">
      <c r="A236" s="287" t="n">
        <v>235</v>
      </c>
      <c r="B236" s="288" t="inlineStr">
        <is>
          <t>D2</t>
        </is>
      </c>
      <c r="C236" s="287" t="inlineStr">
        <is>
          <t>이진탐색</t>
        </is>
      </c>
      <c r="D236" s="289" t="inlineStr">
        <is>
          <t>탐색_단계수_카운팅</t>
        </is>
      </c>
      <c r="E236" s="290" t="inlineStr">
        <is>
          <t>⬜ 대기</t>
        </is>
      </c>
      <c r="F236" s="287" t="inlineStr">
        <is>
          <t>-</t>
        </is>
      </c>
      <c r="G236" s="287" t="inlineStr">
        <is>
          <t>-</t>
        </is>
      </c>
      <c r="H236" s="291" t="inlineStr">
        <is>
          <t>Tier 2. 완전 탐색 &amp; 백트래킹 (A형 핵심)</t>
        </is>
      </c>
      <c r="I236" s="291" t="inlineStr">
        <is>
          <t>이진탐색/D2_이진탐색_탐색_단계수_카운팅</t>
        </is>
      </c>
      <c r="J236" s="287" t="inlineStr">
        <is>
          <t>✅ 6종 완비</t>
        </is>
      </c>
      <c r="K236" s="291" t="inlineStr">
        <is>
          <t>Lv.2 단일루프/추적</t>
        </is>
      </c>
      <c r="L236" s="291" t="inlineStr">
        <is>
          <t>이진 탐색(Binary Search)은 정렬된 배열에서 목표값을 찾을 때까지 매 단계마다 탐색 구간을 정확히 절반으로 좁혀나갑니다. 원소의 개수가 N개일 때, 최악의 경우에도 중앙값을 확인하는 비교 횟수는 약 log...</t>
        </is>
      </c>
      <c r="M236" s="291" t="inlineStr">
        <is>
          <t>-</t>
        </is>
      </c>
    </row>
    <row r="237" ht="20" customHeight="1" s="209">
      <c r="A237" s="292" t="n">
        <v>236</v>
      </c>
      <c r="B237" s="295" t="inlineStr">
        <is>
          <t>D3</t>
        </is>
      </c>
      <c r="C237" s="292" t="inlineStr">
        <is>
          <t>이진탐색</t>
        </is>
      </c>
      <c r="D237" s="293" t="inlineStr">
        <is>
          <t>도윤이의_도서_대출</t>
        </is>
      </c>
      <c r="E237" s="290" t="inlineStr">
        <is>
          <t>⬜ 대기</t>
        </is>
      </c>
      <c r="F237" s="292" t="inlineStr">
        <is>
          <t>-</t>
        </is>
      </c>
      <c r="G237" s="292" t="inlineStr">
        <is>
          <t>-</t>
        </is>
      </c>
      <c r="H237" s="294" t="inlineStr">
        <is>
          <t>Tier 2. 완전 탐색 &amp; 백트래킹 (A형 핵심)</t>
        </is>
      </c>
      <c r="I237" s="294" t="inlineStr">
        <is>
          <t>이진탐색/D3_이진탐색_도윤이의_도서_대출</t>
        </is>
      </c>
      <c r="J237" s="292" t="inlineStr">
        <is>
          <t>✅ 6종 완비</t>
        </is>
      </c>
      <c r="K237" s="294" t="inlineStr">
        <is>
          <t>Lv.5 실전 응용 (스토리텔링)</t>
        </is>
      </c>
      <c r="L237" s="294" t="inlineStr">
        <is>
          <t>SSAFY에서 열심히 알고리즘을 공부하던 도윤이는 방과 후 도서관에서 알고리즘 심화 교재를 찾고 있습니다. 도서관의 서가에는 N권의 책이 청구기호(정수 번호) 순으로 오름차순 정렬되어 꽂혀 있습니다.</t>
        </is>
      </c>
      <c r="M237" s="294" t="inlineStr">
        <is>
          <t>-</t>
        </is>
      </c>
    </row>
    <row r="238" ht="20" customHeight="1" s="209">
      <c r="A238" s="287" t="n">
        <v>237</v>
      </c>
      <c r="B238" s="295" t="inlineStr">
        <is>
          <t>D3</t>
        </is>
      </c>
      <c r="C238" s="287" t="inlineStr">
        <is>
          <t>이진탐색</t>
        </is>
      </c>
      <c r="D238" s="289" t="inlineStr">
        <is>
          <t>서아의_과자_분배</t>
        </is>
      </c>
      <c r="E238" s="290" t="inlineStr">
        <is>
          <t>⬜ 대기</t>
        </is>
      </c>
      <c r="F238" s="287" t="inlineStr">
        <is>
          <t>-</t>
        </is>
      </c>
      <c r="G238" s="287" t="inlineStr">
        <is>
          <t>-</t>
        </is>
      </c>
      <c r="H238" s="291" t="inlineStr">
        <is>
          <t>Tier 2. 완전 탐색 &amp; 백트래킹 (A형 핵심)</t>
        </is>
      </c>
      <c r="I238" s="291" t="inlineStr">
        <is>
          <t>이진탐색/D3_이진탐색_서아의_과자_분배</t>
        </is>
      </c>
      <c r="J238" s="287" t="inlineStr">
        <is>
          <t>✅ 6종 완비</t>
        </is>
      </c>
      <c r="K238" s="291" t="inlineStr">
        <is>
          <t>Lv.5 실전 응용 (스토리텔링)</t>
        </is>
      </c>
      <c r="L238" s="291" t="inlineStr">
        <is>
          <t>서아는 생일을 맞아 유치원 친구들에게 나눠줄 과자 스틱 N개를 준비했습니다. 각 과자 스틱은 서로 길이가 다를 수 있습니다. 서아는 모인 M명의 친구들에게 모두 공평하게 동일한 길이 L의 과자 조각을 최소 1개씩 나...</t>
        </is>
      </c>
      <c r="M238" s="291" t="inlineStr">
        <is>
          <t>-</t>
        </is>
      </c>
    </row>
    <row r="239" ht="20" customHeight="1" s="209">
      <c r="A239" s="292" t="n">
        <v>238</v>
      </c>
      <c r="B239" s="295" t="inlineStr">
        <is>
          <t>D3</t>
        </is>
      </c>
      <c r="C239" s="292" t="inlineStr">
        <is>
          <t>이진탐색</t>
        </is>
      </c>
      <c r="D239" s="293" t="inlineStr">
        <is>
          <t>시우의_랜선_자르기</t>
        </is>
      </c>
      <c r="E239" s="290" t="inlineStr">
        <is>
          <t>⬜ 대기</t>
        </is>
      </c>
      <c r="F239" s="292" t="inlineStr">
        <is>
          <t>-</t>
        </is>
      </c>
      <c r="G239" s="292" t="inlineStr">
        <is>
          <t>-</t>
        </is>
      </c>
      <c r="H239" s="294" t="inlineStr">
        <is>
          <t>Tier 2. 완전 탐색 &amp; 백트래킹 (A형 핵심)</t>
        </is>
      </c>
      <c r="I239" s="294" t="inlineStr">
        <is>
          <t>이진탐색/D3_이진탐색_시우의_랜선_자르기</t>
        </is>
      </c>
      <c r="J239" s="292" t="inlineStr">
        <is>
          <t>✅ 6종 완비</t>
        </is>
      </c>
      <c r="K239" s="294" t="inlineStr">
        <is>
          <t>Lv.5 실전 응용 (스토리텔링)</t>
        </is>
      </c>
      <c r="L239" s="294" t="inlineStr">
        <is>
          <t>시우는 길이가 제각각인 K개의 랜선을 가지고 있습니다. 이 랜선들을 잘라서 모두 같은 길이의 랜선 N개를 만들고자 합니다. 자른 후 남은 랜선 조각은 버려집니다. 만들 수 있는 최대 랜선 길이를 이진 탐색(Upper...</t>
        </is>
      </c>
      <c r="M239" s="294" t="inlineStr">
        <is>
          <t>-</t>
        </is>
      </c>
    </row>
    <row r="240" ht="20" customHeight="1" s="209">
      <c r="A240" s="287" t="n">
        <v>239</v>
      </c>
      <c r="B240" s="295" t="inlineStr">
        <is>
          <t>D3</t>
        </is>
      </c>
      <c r="C240" s="287" t="inlineStr">
        <is>
          <t>이진탐색</t>
        </is>
      </c>
      <c r="D240" s="289" t="inlineStr">
        <is>
          <t>은우의_나무_자르기</t>
        </is>
      </c>
      <c r="E240" s="290" t="inlineStr">
        <is>
          <t>⬜ 대기</t>
        </is>
      </c>
      <c r="F240" s="287" t="inlineStr">
        <is>
          <t>-</t>
        </is>
      </c>
      <c r="G240" s="287" t="inlineStr">
        <is>
          <t>-</t>
        </is>
      </c>
      <c r="H240" s="291" t="inlineStr">
        <is>
          <t>Tier 2. 완전 탐색 &amp; 백트래킹 (A형 핵심)</t>
        </is>
      </c>
      <c r="I240" s="291" t="inlineStr">
        <is>
          <t>이진탐색/D3_이진탐색_은우의_나무_자르기</t>
        </is>
      </c>
      <c r="J240" s="287" t="inlineStr">
        <is>
          <t>✅ 6종 완비</t>
        </is>
      </c>
      <c r="K240" s="291" t="inlineStr">
        <is>
          <t>Lv.5 실전 응용 (스토리텔링)</t>
        </is>
      </c>
      <c r="L240" s="291" t="inlineStr">
        <is>
          <t>은우는 목재 공장에서 벌목 작업을 하고 있습니다. N개의 나무들이 한 줄로 서 있고, 절단기의 높이를 H로 지정하면 H보다 높은 나무들의 윗부분이 잘려 나갑니다. 은우가 필요한 최소 M미터의 나무를 가져가기 위해 설...</t>
        </is>
      </c>
      <c r="M240" s="291" t="inlineStr">
        <is>
          <t>-</t>
        </is>
      </c>
    </row>
    <row r="241" ht="20" customHeight="1" s="209">
      <c r="A241" s="292" t="n">
        <v>240</v>
      </c>
      <c r="B241" s="295" t="inlineStr">
        <is>
          <t>D3</t>
        </is>
      </c>
      <c r="C241" s="292" t="inlineStr">
        <is>
          <t>이진탐색</t>
        </is>
      </c>
      <c r="D241" s="293" t="inlineStr">
        <is>
          <t>하윤이의_예산_배정</t>
        </is>
      </c>
      <c r="E241" s="290" t="inlineStr">
        <is>
          <t>⬜ 대기</t>
        </is>
      </c>
      <c r="F241" s="292" t="inlineStr">
        <is>
          <t>-</t>
        </is>
      </c>
      <c r="G241" s="292" t="inlineStr">
        <is>
          <t>-</t>
        </is>
      </c>
      <c r="H241" s="294" t="inlineStr">
        <is>
          <t>Tier 2. 완전 탐색 &amp; 백트래킹 (A형 핵심)</t>
        </is>
      </c>
      <c r="I241" s="294" t="inlineStr">
        <is>
          <t>이진탐색/D3_이진탐색_하윤이의_예산_배정</t>
        </is>
      </c>
      <c r="J241" s="292" t="inlineStr">
        <is>
          <t>✅ 6종 완비</t>
        </is>
      </c>
      <c r="K241" s="294" t="inlineStr">
        <is>
          <t>Lv.5 실전 응용 (스토리텔링)</t>
        </is>
      </c>
      <c r="L241" s="294" t="inlineStr">
        <is>
          <t>재정 담당관 하윤이는 N개 지자체의 예산 요청을 심사하여 국가 총예산 M원 내에서 배정하고자 합니다. 모든 요청의 총합이 M 이하이면 요청한 금액을 그대로 배정하고, 초과하면 특정 상한액(Cap)을 정하여 상한액 이...</t>
        </is>
      </c>
      <c r="M241" s="294" t="inlineStr">
        <is>
          <t>-</t>
        </is>
      </c>
    </row>
    <row r="242" ht="20" customHeight="1" s="209">
      <c r="A242" s="287" t="n">
        <v>241</v>
      </c>
      <c r="B242" s="296" t="inlineStr">
        <is>
          <t>D4</t>
        </is>
      </c>
      <c r="C242" s="287" t="inlineStr">
        <is>
          <t>이진탐색</t>
        </is>
      </c>
      <c r="D242" s="289" t="inlineStr">
        <is>
          <t>K번째_수_구구단_배열</t>
        </is>
      </c>
      <c r="E242" s="290" t="inlineStr">
        <is>
          <t>⬜ 대기</t>
        </is>
      </c>
      <c r="F242" s="287" t="inlineStr">
        <is>
          <t>-</t>
        </is>
      </c>
      <c r="G242" s="287" t="inlineStr">
        <is>
          <t>-</t>
        </is>
      </c>
      <c r="H242" s="291" t="inlineStr">
        <is>
          <t>Tier 2. 완전 탐색 &amp; 백트래킹 (A형 핵심)</t>
        </is>
      </c>
      <c r="I242" s="291" t="inlineStr">
        <is>
          <t>이진탐색/D4_이진탐색_K번째_수_구구단_배열</t>
        </is>
      </c>
      <c r="J242" s="287" t="inlineStr">
        <is>
          <t>✅ 6종 완비</t>
        </is>
      </c>
      <c r="K242" s="291" t="inlineStr">
        <is>
          <t>Lv.6 복합 제약 &amp; 시공간 최적화</t>
        </is>
      </c>
      <c r="L242" s="291" t="inlineStr">
        <is>
          <t>N x N 크기의 2차원 배열 A의 각 원소는 A[i][j] = i * j 입니다. 이 수들을 1차원 배열 B에 넣고 오름차순 정렬했을 때, B[K]번째에 위치하는 수를 구하는 문제입니다. N이 최대 10^5로 N^...</t>
        </is>
      </c>
      <c r="M242" s="291" t="inlineStr">
        <is>
          <t>-</t>
        </is>
      </c>
    </row>
    <row r="243" ht="20" customHeight="1" s="209">
      <c r="A243" s="292" t="n">
        <v>242</v>
      </c>
      <c r="B243" s="296" t="inlineStr">
        <is>
          <t>D4</t>
        </is>
      </c>
      <c r="C243" s="292" t="inlineStr">
        <is>
          <t>이진탐색</t>
        </is>
      </c>
      <c r="D243" s="293" t="inlineStr">
        <is>
          <t>공유기_거리_극대화</t>
        </is>
      </c>
      <c r="E243" s="290" t="inlineStr">
        <is>
          <t>⬜ 대기</t>
        </is>
      </c>
      <c r="F243" s="292" t="inlineStr">
        <is>
          <t>-</t>
        </is>
      </c>
      <c r="G243" s="292" t="inlineStr">
        <is>
          <t>-</t>
        </is>
      </c>
      <c r="H243" s="294" t="inlineStr">
        <is>
          <t>Tier 2. 완전 탐색 &amp; 백트래킹 (A형 핵심)</t>
        </is>
      </c>
      <c r="I243" s="294" t="inlineStr">
        <is>
          <t>이진탐색/D4_이진탐색_공유기_거리_극대화</t>
        </is>
      </c>
      <c r="J243" s="292" t="inlineStr">
        <is>
          <t>✅ 6종 완비</t>
        </is>
      </c>
      <c r="K243" s="294" t="inlineStr">
        <is>
          <t>Lv.6 복합 제약 &amp; 시공간 최적화</t>
        </is>
      </c>
      <c r="L243" s="294" t="inlineStr">
        <is>
          <t>주택의 개수 N, 설치할 공유기 개수 C, 그리고 N개 주택의 좌표가 주어질 때, 가장 인접한 두 공유기 사이의 최대 거리를 출력하는 프로그램을 작성하십시오.</t>
        </is>
      </c>
      <c r="M243" s="294" t="inlineStr">
        <is>
          <t>-</t>
        </is>
      </c>
    </row>
    <row r="244" ht="20" customHeight="1" s="209">
      <c r="A244" s="287" t="n">
        <v>243</v>
      </c>
      <c r="B244" s="296" t="inlineStr">
        <is>
          <t>D4</t>
        </is>
      </c>
      <c r="C244" s="287" t="inlineStr">
        <is>
          <t>이진탐색</t>
        </is>
      </c>
      <c r="D244" s="289" t="inlineStr">
        <is>
          <t>두배열_합의_K번째수</t>
        </is>
      </c>
      <c r="E244" s="290" t="inlineStr">
        <is>
          <t>⬜ 대기</t>
        </is>
      </c>
      <c r="F244" s="287" t="inlineStr">
        <is>
          <t>-</t>
        </is>
      </c>
      <c r="G244" s="287" t="inlineStr">
        <is>
          <t>-</t>
        </is>
      </c>
      <c r="H244" s="291" t="inlineStr">
        <is>
          <t>Tier 2. 완전 탐색 &amp; 백트래킹 (A형 핵심)</t>
        </is>
      </c>
      <c r="I244" s="291" t="inlineStr">
        <is>
          <t>이진탐색/D4_이진탐색_두배열_합의_K번째수</t>
        </is>
      </c>
      <c r="J244" s="287" t="inlineStr">
        <is>
          <t>✅ 6종 완비</t>
        </is>
      </c>
      <c r="K244" s="291" t="inlineStr">
        <is>
          <t>Lv.6 복합 제약 &amp; 시공간 최적화</t>
        </is>
      </c>
      <c r="L244" s="291" t="inlineStr">
        <is>
          <t>크기가 N인 정수 배열 A와 크기가 M인 정수 배열 B가 주어집니다. 배열 A에서 원소 하나 a와 배열 B에서 원소 하나 b를 각각 선택하여 더하면 총 N x M개의 합(a + b)을 만들 수 있습니다.</t>
        </is>
      </c>
      <c r="M244" s="291" t="inlineStr">
        <is>
          <t>-</t>
        </is>
      </c>
    </row>
    <row r="245" ht="20" customHeight="1" s="209">
      <c r="A245" s="292" t="n">
        <v>244</v>
      </c>
      <c r="B245" s="296" t="inlineStr">
        <is>
          <t>D4</t>
        </is>
      </c>
      <c r="C245" s="292" t="inlineStr">
        <is>
          <t>이진탐색</t>
        </is>
      </c>
      <c r="D245" s="293" t="inlineStr">
        <is>
          <t>보석_상자_질투심_최소화</t>
        </is>
      </c>
      <c r="E245" s="290" t="inlineStr">
        <is>
          <t>⬜ 대기</t>
        </is>
      </c>
      <c r="F245" s="292" t="inlineStr">
        <is>
          <t>-</t>
        </is>
      </c>
      <c r="G245" s="292" t="inlineStr">
        <is>
          <t>-</t>
        </is>
      </c>
      <c r="H245" s="294" t="inlineStr">
        <is>
          <t>Tier 2. 완전 탐색 &amp; 백트래킹 (A형 핵심)</t>
        </is>
      </c>
      <c r="I245" s="294" t="inlineStr">
        <is>
          <t>이진탐색/D4_이진탐색_보석_상자_질투심_최소화</t>
        </is>
      </c>
      <c r="J245" s="292" t="inlineStr">
        <is>
          <t>✅ 6종 완비</t>
        </is>
      </c>
      <c r="K245" s="294" t="inlineStr">
        <is>
          <t>Lv.6 복합 제약 &amp; 시공간 최적화</t>
        </is>
      </c>
      <c r="L245" s="294" t="inlineStr">
        <is>
          <t>M가지 색상의 보석들이 각각 몇 개씩 주어지고, N명의 학생들에게 보석을 나누어 주려고 합니다. 각 학생은 한 가지 색상의 보석만 받을 수 있으며, 받지 못하는 학생이 있어도 됩니다. 가장 많은 보석을 받은 학생이 ...</t>
        </is>
      </c>
      <c r="M245" s="294" t="inlineStr">
        <is>
          <t>-</t>
        </is>
      </c>
    </row>
    <row r="246" ht="20" customHeight="1" s="209">
      <c r="A246" s="287" t="n">
        <v>245</v>
      </c>
      <c r="B246" s="296" t="inlineStr">
        <is>
          <t>D4</t>
        </is>
      </c>
      <c r="C246" s="287" t="inlineStr">
        <is>
          <t>이진탐색</t>
        </is>
      </c>
      <c r="D246" s="289" t="inlineStr">
        <is>
          <t>입국심사_최소시간</t>
        </is>
      </c>
      <c r="E246" s="290" t="inlineStr">
        <is>
          <t>⬜ 대기</t>
        </is>
      </c>
      <c r="F246" s="287" t="inlineStr">
        <is>
          <t>-</t>
        </is>
      </c>
      <c r="G246" s="287" t="inlineStr">
        <is>
          <t>-</t>
        </is>
      </c>
      <c r="H246" s="291" t="inlineStr">
        <is>
          <t>Tier 2. 완전 탐색 &amp; 백트래킹 (A형 핵심)</t>
        </is>
      </c>
      <c r="I246" s="291" t="inlineStr">
        <is>
          <t>이진탐색/D4_이진탐색_입국심사_최소시간</t>
        </is>
      </c>
      <c r="J246" s="287" t="inlineStr">
        <is>
          <t>✅ 6종 완비</t>
        </is>
      </c>
      <c r="K246" s="291" t="inlineStr">
        <is>
          <t>Lv.6 복합 제약 &amp; 시공간 최적화</t>
        </is>
      </c>
      <c r="L246" s="291" t="inlineStr">
        <is>
          <t>입국 심사대 N개가 있고 각 심사관마다 한 사람을 심사하는 데 걸리는 시간 T_k가 다릅니다. 심사를 기다리는 입국자 M명이 있을 때, 모든 사람이 심사를 완료하는 데 걸리는 최소 총 소요 시간을 구하십시오. 시간 ...</t>
        </is>
      </c>
      <c r="M246" s="291" t="inlineStr">
        <is>
          <t>-</t>
        </is>
      </c>
    </row>
    <row r="247" ht="20" customHeight="1" s="209">
      <c r="A247" s="292" t="n">
        <v>246</v>
      </c>
      <c r="B247" s="288" t="inlineStr">
        <is>
          <t>D2</t>
        </is>
      </c>
      <c r="C247" s="292" t="inlineStr">
        <is>
          <t>자료구조</t>
        </is>
      </c>
      <c r="D247" s="293" t="inlineStr">
        <is>
          <t>스택_올바른_괄호</t>
        </is>
      </c>
      <c r="E247" s="290" t="inlineStr">
        <is>
          <t>⬜ 대기</t>
        </is>
      </c>
      <c r="F247" s="292" t="inlineStr">
        <is>
          <t>-</t>
        </is>
      </c>
      <c r="G247" s="292" t="inlineStr">
        <is>
          <t>-</t>
        </is>
      </c>
      <c r="H247" s="294" t="inlineStr">
        <is>
          <t>Tier 1. 선형 자료구조 &amp; 탐색 기본기</t>
        </is>
      </c>
      <c r="I247" s="294" t="inlineStr">
        <is>
          <t>자료구조/D2_자료구조_스택_올바른_괄호</t>
        </is>
      </c>
      <c r="J247" s="292" t="inlineStr">
        <is>
          <t>✅ 6종 완비</t>
        </is>
      </c>
      <c r="K247" s="294" t="inlineStr">
        <is>
          <t>Lv.4 경계완충/징검다리</t>
        </is>
      </c>
      <c r="L247" s="294" t="inlineStr">
        <is>
          <t>스택(Stack)은 '가장 마지막에 들어간 데이터가 가장 먼저 나오는' 후입선출(LIFO: Last-In, First-Out) 원칙을 따르는 대표적인 선형 자료구조입니다. 한쪽 끝(Top)에서만 데이터의 삽입(Pus...</t>
        </is>
      </c>
      <c r="M247" s="294" t="inlineStr">
        <is>
          <t>-</t>
        </is>
      </c>
    </row>
    <row r="248" ht="20" customHeight="1" s="209">
      <c r="A248" s="287" t="n">
        <v>247</v>
      </c>
      <c r="B248" s="295" t="inlineStr">
        <is>
          <t>D3</t>
        </is>
      </c>
      <c r="C248" s="287" t="inlineStr">
        <is>
          <t>자료구조</t>
        </is>
      </c>
      <c r="D248" s="289" t="inlineStr">
        <is>
          <t>해시테이블_문자열_빈도</t>
        </is>
      </c>
      <c r="E248" s="290" t="inlineStr">
        <is>
          <t>⬜ 대기</t>
        </is>
      </c>
      <c r="F248" s="287" t="inlineStr">
        <is>
          <t>-</t>
        </is>
      </c>
      <c r="G248" s="287" t="inlineStr">
        <is>
          <t>-</t>
        </is>
      </c>
      <c r="H248" s="291" t="inlineStr">
        <is>
          <t>Tier 1. 선형 자료구조 &amp; 탐색 기본기</t>
        </is>
      </c>
      <c r="I248" s="291" t="inlineStr">
        <is>
          <t>자료구조/D3_자료구조_해시테이블_문자열_빈도</t>
        </is>
      </c>
      <c r="J248" s="287" t="inlineStr">
        <is>
          <t>✅ 6종 완비</t>
        </is>
      </c>
      <c r="K248" s="291" t="inlineStr">
        <is>
          <t>Lv.5 실전 응용 (스토리텔링)</t>
        </is>
      </c>
      <c r="L248" s="291" t="inlineStr">
        <is>
          <t>총 N개의 단어가 주어집니다. 각 단어는 알파벳 소문자로만 구성되어 있습니다. 해시 테이블을 활용하여 가장 많이 등장한 단어와 그 등장 횟수를 출력하는 프로그램을 작성하십시오.</t>
        </is>
      </c>
      <c r="M248" s="291" t="inlineStr">
        <is>
          <t>-</t>
        </is>
      </c>
    </row>
    <row r="249" ht="20" customHeight="1" s="209">
      <c r="A249" s="292" t="n">
        <v>248</v>
      </c>
      <c r="B249" s="296" t="inlineStr">
        <is>
          <t>D4</t>
        </is>
      </c>
      <c r="C249" s="292" t="inlineStr">
        <is>
          <t>자료구조</t>
        </is>
      </c>
      <c r="D249" s="293" t="inlineStr">
        <is>
          <t>이진탐색트리_범위합</t>
        </is>
      </c>
      <c r="E249" s="290" t="inlineStr">
        <is>
          <t>⬜ 대기</t>
        </is>
      </c>
      <c r="F249" s="292" t="inlineStr">
        <is>
          <t>-</t>
        </is>
      </c>
      <c r="G249" s="292" t="inlineStr">
        <is>
          <t>-</t>
        </is>
      </c>
      <c r="H249" s="294" t="inlineStr">
        <is>
          <t>Tier 1. 선형 자료구조 &amp; 탐색 기본기</t>
        </is>
      </c>
      <c r="I249" s="294" t="inlineStr">
        <is>
          <t>자료구조/D4_자료구조_이진탐색트리_범위합</t>
        </is>
      </c>
      <c r="J249" s="292" t="inlineStr">
        <is>
          <t>✅ 6종 완비</t>
        </is>
      </c>
      <c r="K249" s="294" t="inlineStr">
        <is>
          <t>Lv.6 복합 제약 &amp; 시공간 최적화</t>
        </is>
      </c>
      <c r="L249" s="294" t="inlineStr">
        <is>
          <t>N개의 정수와 범위 [L, R]이 주어질 때, 주어진 정수들을 순서대로 BST에 삽입한 후 범위 [L, R]에 속하는 노드 값들의 총합을 구하는 프로그램을 작성하십시오.</t>
        </is>
      </c>
      <c r="M249" s="294" t="inlineStr">
        <is>
          <t>-</t>
        </is>
      </c>
    </row>
    <row r="250" ht="20" customHeight="1" s="209">
      <c r="A250" s="287" t="n">
        <v>249</v>
      </c>
      <c r="B250" s="288" t="inlineStr">
        <is>
          <t>D2</t>
        </is>
      </c>
      <c r="C250" s="287" t="inlineStr">
        <is>
          <t>재귀</t>
        </is>
      </c>
      <c r="D250" s="289" t="inlineStr">
        <is>
          <t>각_자리수_합과_디지털_루트</t>
        </is>
      </c>
      <c r="E250" s="290" t="inlineStr">
        <is>
          <t>⬜ 대기</t>
        </is>
      </c>
      <c r="F250" s="287" t="inlineStr">
        <is>
          <t>-</t>
        </is>
      </c>
      <c r="G250" s="287" t="inlineStr">
        <is>
          <t>-</t>
        </is>
      </c>
      <c r="H250" s="291" t="inlineStr">
        <is>
          <t>Tier 1. 선형 자료구조 &amp; 탐색 기본기</t>
        </is>
      </c>
      <c r="I250" s="291" t="inlineStr">
        <is>
          <t>재귀/D2_재귀_각_자리수_합과_디지털_루트</t>
        </is>
      </c>
      <c r="J250" s="287" t="inlineStr">
        <is>
          <t>✅ 6종 완비</t>
        </is>
      </c>
      <c r="K250" s="291" t="inlineStr">
        <is>
          <t>Lv.4 경계완충/징검다리</t>
        </is>
      </c>
      <c r="L250" s="291" t="inlineStr">
        <is>
          <t>자연수 N이 주어졌을 때, 각 자릿수의 합을 재귀적으로 구하는 함수 `digitSum(n)`을 작성합니다: - 기저 조건: N &lt; 10이면 N을 반환</t>
        </is>
      </c>
      <c r="M250" s="291" t="inlineStr">
        <is>
          <t>-</t>
        </is>
      </c>
    </row>
    <row r="251" ht="20" customHeight="1" s="209">
      <c r="A251" s="292" t="n">
        <v>250</v>
      </c>
      <c r="B251" s="288" t="inlineStr">
        <is>
          <t>D2</t>
        </is>
      </c>
      <c r="C251" s="292" t="inlineStr">
        <is>
          <t>재귀</t>
        </is>
      </c>
      <c r="D251" s="293" t="inlineStr">
        <is>
          <t>배열_역순_출력과_합계</t>
        </is>
      </c>
      <c r="E251" s="290" t="inlineStr">
        <is>
          <t>⬜ 대기</t>
        </is>
      </c>
      <c r="F251" s="292" t="inlineStr">
        <is>
          <t>-</t>
        </is>
      </c>
      <c r="G251" s="292" t="inlineStr">
        <is>
          <t>-</t>
        </is>
      </c>
      <c r="H251" s="294" t="inlineStr">
        <is>
          <t>Tier 1. 선형 자료구조 &amp; 탐색 기본기</t>
        </is>
      </c>
      <c r="I251" s="294" t="inlineStr">
        <is>
          <t>재귀/D2_재귀_배열_역순_출력과_합계</t>
        </is>
      </c>
      <c r="J251" s="292" t="inlineStr">
        <is>
          <t>✅ 6종 완비</t>
        </is>
      </c>
      <c r="K251" s="294" t="inlineStr">
        <is>
          <t>Lv.4 경계완충/징검다리</t>
        </is>
      </c>
      <c r="L251" s="294" t="inlineStr">
        <is>
          <t>길이가 N인 정수 배열이 주어집니다. 반복문(for/while)을 전혀 사용하지 않고, 인덱스를 매개변수로 전달하는 순수 재귀 함수만을 활용하여 다음 두 가지를 수행하십시오:</t>
        </is>
      </c>
      <c r="M251" s="294" t="inlineStr">
        <is>
          <t>-</t>
        </is>
      </c>
    </row>
    <row r="252" ht="20" customHeight="1" s="209">
      <c r="A252" s="287" t="n">
        <v>251</v>
      </c>
      <c r="B252" s="288" t="inlineStr">
        <is>
          <t>D2</t>
        </is>
      </c>
      <c r="C252" s="287" t="inlineStr">
        <is>
          <t>재귀</t>
        </is>
      </c>
      <c r="D252" s="289" t="inlineStr">
        <is>
          <t>재귀에_대해서</t>
        </is>
      </c>
      <c r="E252" s="290" t="inlineStr">
        <is>
          <t>⬜ 대기</t>
        </is>
      </c>
      <c r="F252" s="287" t="inlineStr">
        <is>
          <t>-</t>
        </is>
      </c>
      <c r="G252" s="287" t="inlineStr">
        <is>
          <t>-</t>
        </is>
      </c>
      <c r="H252" s="291" t="inlineStr">
        <is>
          <t>Tier 1. 선형 자료구조 &amp; 탐색 기본기</t>
        </is>
      </c>
      <c r="I252" s="291" t="inlineStr">
        <is>
          <t>재귀/D2_재귀_재귀에_대해서</t>
        </is>
      </c>
      <c r="J252" s="287" t="inlineStr">
        <is>
          <t>✅ 6종 완비</t>
        </is>
      </c>
      <c r="K252" s="291" t="inlineStr">
        <is>
          <t>Lv.3 개념뼈대 완결</t>
        </is>
      </c>
      <c r="L252" s="291" t="inlineStr">
        <is>
          <t>주어지는 자연수 N에 대하여, N부터 1까지 1씩 감소하며 재귀 호출을 수행하여 각 단계의 값을 공백으로 출력(하강 Trace)한 뒤, 기저 조건(1)에 도달한 후 1부터 N까지의 합계(Sum)와 N!(팩토리얼) 값...</t>
        </is>
      </c>
      <c r="M252" s="291" t="inlineStr">
        <is>
          <t>-</t>
        </is>
      </c>
    </row>
    <row r="253" ht="20" customHeight="1" s="209">
      <c r="A253" s="292" t="n">
        <v>252</v>
      </c>
      <c r="B253" s="288" t="inlineStr">
        <is>
          <t>D2</t>
        </is>
      </c>
      <c r="C253" s="292" t="inlineStr">
        <is>
          <t>재귀</t>
        </is>
      </c>
      <c r="D253" s="293" t="inlineStr">
        <is>
          <t>재귀적_거듭제곱</t>
        </is>
      </c>
      <c r="E253" s="290" t="inlineStr">
        <is>
          <t>⬜ 대기</t>
        </is>
      </c>
      <c r="F253" s="292" t="inlineStr">
        <is>
          <t>-</t>
        </is>
      </c>
      <c r="G253" s="292" t="inlineStr">
        <is>
          <t>-</t>
        </is>
      </c>
      <c r="H253" s="294" t="inlineStr">
        <is>
          <t>Tier 1. 선형 자료구조 &amp; 탐색 기본기</t>
        </is>
      </c>
      <c r="I253" s="294" t="inlineStr">
        <is>
          <t>재귀/D2_재귀_재귀적_거듭제곱</t>
        </is>
      </c>
      <c r="J253" s="292" t="inlineStr">
        <is>
          <t>✅ 6종 완비</t>
        </is>
      </c>
      <c r="K253" s="294" t="inlineStr">
        <is>
          <t>Lv.4 경계완충/징검다리</t>
        </is>
      </c>
      <c r="L253" s="294" t="inlineStr">
        <is>
          <t>자연수 C와 N이 주어질 때, C^N을 재귀 호출을 이용하여 계산하는 문제입니다. 기저 조건: N = 0일 때 결과는 1입니다.</t>
        </is>
      </c>
      <c r="M253" s="294" t="inlineStr">
        <is>
          <t>-</t>
        </is>
      </c>
    </row>
    <row r="254" ht="20" customHeight="1" s="209">
      <c r="A254" s="287" t="n">
        <v>253</v>
      </c>
      <c r="B254" s="288" t="inlineStr">
        <is>
          <t>D2</t>
        </is>
      </c>
      <c r="C254" s="287" t="inlineStr">
        <is>
          <t>재귀</t>
        </is>
      </c>
      <c r="D254" s="289" t="inlineStr">
        <is>
          <t>피보나치_수_호출_카운터</t>
        </is>
      </c>
      <c r="E254" s="290" t="inlineStr">
        <is>
          <t>⬜ 대기</t>
        </is>
      </c>
      <c r="F254" s="287" t="inlineStr">
        <is>
          <t>-</t>
        </is>
      </c>
      <c r="G254" s="287" t="inlineStr">
        <is>
          <t>-</t>
        </is>
      </c>
      <c r="H254" s="291" t="inlineStr">
        <is>
          <t>Tier 1. 선형 자료구조 &amp; 탐색 기본기</t>
        </is>
      </c>
      <c r="I254" s="291" t="inlineStr">
        <is>
          <t>재귀/D2_재귀_피보나치_수_호출_카운터</t>
        </is>
      </c>
      <c r="J254" s="287" t="inlineStr">
        <is>
          <t>✅ 6종 완비</t>
        </is>
      </c>
      <c r="K254" s="291" t="inlineStr">
        <is>
          <t>Lv.4 경계완충/징검다리</t>
        </is>
      </c>
      <c r="L254" s="291" t="inlineStr">
        <is>
          <t>피보나치 수열을 다음과 같은 전형적인 재귀 함수로 구현할 수 있습니다: ```java</t>
        </is>
      </c>
      <c r="M254" s="291" t="inlineStr">
        <is>
          <t>-</t>
        </is>
      </c>
    </row>
    <row r="255" ht="20" customHeight="1" s="209">
      <c r="A255" s="292" t="n">
        <v>254</v>
      </c>
      <c r="B255" s="295" t="inlineStr">
        <is>
          <t>D3</t>
        </is>
      </c>
      <c r="C255" s="292" t="inlineStr">
        <is>
          <t>재귀</t>
        </is>
      </c>
      <c r="D255" s="293" t="inlineStr">
        <is>
          <t>서아의_중첩_괄호_트리_파싱</t>
        </is>
      </c>
      <c r="E255" s="290" t="inlineStr">
        <is>
          <t>⬜ 대기</t>
        </is>
      </c>
      <c r="F255" s="292" t="inlineStr">
        <is>
          <t>-</t>
        </is>
      </c>
      <c r="G255" s="292" t="inlineStr">
        <is>
          <t>-</t>
        </is>
      </c>
      <c r="H255" s="294" t="inlineStr">
        <is>
          <t>Tier 1. 선형 자료구조 &amp; 탐색 기본기</t>
        </is>
      </c>
      <c r="I255" s="294" t="inlineStr">
        <is>
          <t>재귀/D3_재귀_서아의_중첩_괄호_트리_파싱</t>
        </is>
      </c>
      <c r="J255" s="292" t="inlineStr">
        <is>
          <t>✅ 6종 완비</t>
        </is>
      </c>
      <c r="K255" s="294" t="inlineStr">
        <is>
          <t>Lv.5 실전 응용 (스토리텔링)</t>
        </is>
      </c>
      <c r="L255" s="294" t="inlineStr">
        <is>
          <t>서아는 올바르게 짝이 맞는 중첩 괄호 문자열을 트리 구조로 분석하고 있습니다. 괄호쌍 `()` 안에 또 다른 괄호쌍들이 포함될 수 있으며, 서아는 이 괄호 문자열에서 '최대 중첩 깊이(Max Depth)'와 '가장 ...</t>
        </is>
      </c>
      <c r="M255" s="294" t="inlineStr">
        <is>
          <t>-</t>
        </is>
      </c>
    </row>
    <row r="256" ht="20" customHeight="1" s="209">
      <c r="A256" s="287" t="n">
        <v>255</v>
      </c>
      <c r="B256" s="295" t="inlineStr">
        <is>
          <t>D3</t>
        </is>
      </c>
      <c r="C256" s="287" t="inlineStr">
        <is>
          <t>재귀</t>
        </is>
      </c>
      <c r="D256" s="289" t="inlineStr">
        <is>
          <t>아윤이의_압축_문자열_해제</t>
        </is>
      </c>
      <c r="E256" s="290" t="inlineStr">
        <is>
          <t>⬜ 대기</t>
        </is>
      </c>
      <c r="F256" s="287" t="inlineStr">
        <is>
          <t>-</t>
        </is>
      </c>
      <c r="G256" s="287" t="inlineStr">
        <is>
          <t>-</t>
        </is>
      </c>
      <c r="H256" s="291" t="inlineStr">
        <is>
          <t>Tier 1. 선형 자료구조 &amp; 탐색 기본기</t>
        </is>
      </c>
      <c r="I256" s="291" t="inlineStr">
        <is>
          <t>재귀/D3_재귀_아윤이의_압축_문자열_해제</t>
        </is>
      </c>
      <c r="J256" s="287" t="inlineStr">
        <is>
          <t>✅ 6종 완비</t>
        </is>
      </c>
      <c r="K256" s="291" t="inlineStr">
        <is>
          <t>Lv.5 실전 응용 (스토리텔링)</t>
        </is>
      </c>
      <c r="L256" s="291" t="inlineStr">
        <is>
          <t>영리한 아윤이는 메모리를 아끼기 위해 문자열을 `K(내용)` 형태로 반복 압축한 암호문을 받았습니다. `K(내용)`은 '내용'을 K번 반복한다는 뜻이며, 괄호 안에는 또 다른 압축 표현이 중첩되어 들어갈 수 있습니다...</t>
        </is>
      </c>
      <c r="M256" s="291" t="inlineStr">
        <is>
          <t>-</t>
        </is>
      </c>
    </row>
    <row r="257" ht="20" customHeight="1" s="209">
      <c r="A257" s="292" t="n">
        <v>256</v>
      </c>
      <c r="B257" s="295" t="inlineStr">
        <is>
          <t>D3</t>
        </is>
      </c>
      <c r="C257" s="292" t="inlineStr">
        <is>
          <t>재귀</t>
        </is>
      </c>
      <c r="D257" s="293" t="inlineStr">
        <is>
          <t>유준이의_계단_오르기_경로_탐색</t>
        </is>
      </c>
      <c r="E257" s="290" t="inlineStr">
        <is>
          <t>⬜ 대기</t>
        </is>
      </c>
      <c r="F257" s="292" t="inlineStr">
        <is>
          <t>-</t>
        </is>
      </c>
      <c r="G257" s="292" t="inlineStr">
        <is>
          <t>-</t>
        </is>
      </c>
      <c r="H257" s="294" t="inlineStr">
        <is>
          <t>Tier 1. 선형 자료구조 &amp; 탐색 기본기</t>
        </is>
      </c>
      <c r="I257" s="294" t="inlineStr">
        <is>
          <t>재귀/D3_재귀_유준이의_계단_오르기_경로_탐색</t>
        </is>
      </c>
      <c r="J257" s="292" t="inlineStr">
        <is>
          <t>✅ 6종 완비</t>
        </is>
      </c>
      <c r="K257" s="294" t="inlineStr">
        <is>
          <t>Lv.5 실전 응용 (스토리텔링)</t>
        </is>
      </c>
      <c r="L257" s="294" t="inlineStr">
        <is>
          <t>활발한 유준이는 아파트 놀이터의 N개 계단을 오르는 놀이를 하고 있습니다. 유준이는 한 번에 '1칸' 또는 '2칸'을 올라갈 수 있습니다.</t>
        </is>
      </c>
      <c r="M257" s="294" t="inlineStr">
        <is>
          <t>-</t>
        </is>
      </c>
    </row>
    <row r="258" ht="20" customHeight="1" s="209">
      <c r="A258" s="287" t="n">
        <v>257</v>
      </c>
      <c r="B258" s="295" t="inlineStr">
        <is>
          <t>D3</t>
        </is>
      </c>
      <c r="C258" s="287" t="inlineStr">
        <is>
          <t>재귀</t>
        </is>
      </c>
      <c r="D258" s="289" t="inlineStr">
        <is>
          <t>이준이의_프랙탈_도형_블록_쌓기</t>
        </is>
      </c>
      <c r="E258" s="290" t="inlineStr">
        <is>
          <t>⬜ 대기</t>
        </is>
      </c>
      <c r="F258" s="287" t="inlineStr">
        <is>
          <t>-</t>
        </is>
      </c>
      <c r="G258" s="287" t="inlineStr">
        <is>
          <t>-</t>
        </is>
      </c>
      <c r="H258" s="291" t="inlineStr">
        <is>
          <t>Tier 1. 선형 자료구조 &amp; 탐색 기본기</t>
        </is>
      </c>
      <c r="I258" s="291" t="inlineStr">
        <is>
          <t>재귀/D3_재귀_이준이의_프랙탈_도형_블록_쌓기</t>
        </is>
      </c>
      <c r="J258" s="287" t="inlineStr">
        <is>
          <t>✅ 6종 완비</t>
        </is>
      </c>
      <c r="K258" s="291" t="inlineStr">
        <is>
          <t>Lv.5 실전 응용 (스토리텔링)</t>
        </is>
      </c>
      <c r="L258" s="291" t="inlineStr">
        <is>
          <t>초등학생 이준이는 장난감 사각 블록을 가지고 프랙탈 카펫 패턴을 조립하고 있습니다. 3^K x 3^K 크기의 정사각형 판에서, 정중앙의 3^{K-1} x 3^{K-1} 영역은 블록을 비워두고, 나머지 8개의 영역은 ...</t>
        </is>
      </c>
      <c r="M258" s="291" t="inlineStr">
        <is>
          <t>-</t>
        </is>
      </c>
    </row>
    <row r="259" ht="20" customHeight="1" s="209">
      <c r="A259" s="292" t="n">
        <v>258</v>
      </c>
      <c r="B259" s="295" t="inlineStr">
        <is>
          <t>D3</t>
        </is>
      </c>
      <c r="C259" s="292" t="inlineStr">
        <is>
          <t>재귀</t>
        </is>
      </c>
      <c r="D259" s="293" t="inlineStr">
        <is>
          <t>하노이의_탑_이동_순서</t>
        </is>
      </c>
      <c r="E259" s="290" t="inlineStr">
        <is>
          <t>⬜ 대기</t>
        </is>
      </c>
      <c r="F259" s="292" t="inlineStr">
        <is>
          <t>-</t>
        </is>
      </c>
      <c r="G259" s="292" t="inlineStr">
        <is>
          <t>-</t>
        </is>
      </c>
      <c r="H259" s="294" t="inlineStr">
        <is>
          <t>Tier 1. 선형 자료구조 &amp; 탐색 기본기</t>
        </is>
      </c>
      <c r="I259" s="294" t="inlineStr">
        <is>
          <t>재귀/D3_재귀_하노이의_탑_이동_순서</t>
        </is>
      </c>
      <c r="J259" s="292" t="inlineStr">
        <is>
          <t>✅ 6종 완비</t>
        </is>
      </c>
      <c r="K259" s="294" t="inlineStr">
        <is>
          <t>Lv.5 실전 응용 (스토리텔링)</t>
        </is>
      </c>
      <c r="L259" s="294" t="inlineStr">
        <is>
          <t>퍼즐 천재 하준이는 세 개의 기둥과 크기가 서로 다른 N개의 원판으로 이루어진 '하노이의 탑(Tower of Hanoi)' 퍼즐을 풀고 있습니다. 처음에는 1번 기둥에 N개의 원판이 아래쪽이 크고 위쪽이 작은 순서로...</t>
        </is>
      </c>
      <c r="M259" s="294" t="inlineStr">
        <is>
          <t>-</t>
        </is>
      </c>
    </row>
    <row r="260" ht="20" customHeight="1" s="209">
      <c r="A260" s="287" t="n">
        <v>259</v>
      </c>
      <c r="B260" s="296" t="inlineStr">
        <is>
          <t>D4</t>
        </is>
      </c>
      <c r="C260" s="287" t="inlineStr">
        <is>
          <t>재귀</t>
        </is>
      </c>
      <c r="D260" s="289" t="inlineStr">
        <is>
          <t>Z_공간_배열_재귀_방문_순서</t>
        </is>
      </c>
      <c r="E260" s="290" t="inlineStr">
        <is>
          <t>⬜ 대기</t>
        </is>
      </c>
      <c r="F260" s="287" t="inlineStr">
        <is>
          <t>-</t>
        </is>
      </c>
      <c r="G260" s="287" t="inlineStr">
        <is>
          <t>-</t>
        </is>
      </c>
      <c r="H260" s="291" t="inlineStr">
        <is>
          <t>Tier 1. 선형 자료구조 &amp; 탐색 기본기</t>
        </is>
      </c>
      <c r="I260" s="291" t="inlineStr">
        <is>
          <t>재귀/D4_재귀_Z_공간_배열_재귀_방문_순서</t>
        </is>
      </c>
      <c r="J260" s="287" t="inlineStr">
        <is>
          <t>✅ 6종 완비</t>
        </is>
      </c>
      <c r="K260" s="291" t="inlineStr">
        <is>
          <t>Lv.6 복합 제약 &amp; 시공간 최적화</t>
        </is>
      </c>
      <c r="L260" s="291" t="inlineStr">
        <is>
          <t>한 변의 길이가 2^N인 2차원 배열을 'Z' 모양으로 재귀 탐색합니다. 2 x 2 배열에서는 왼쪽 위(0) -&gt; 오른쪽 위(1) -&gt; 왼쪽 아래(2) -&gt; 오른쪽 아래(3) 순서로 방문합니다.</t>
        </is>
      </c>
      <c r="M260" s="291" t="inlineStr">
        <is>
          <t>-</t>
        </is>
      </c>
    </row>
    <row r="261" ht="20" customHeight="1" s="209">
      <c r="A261" s="292" t="n">
        <v>260</v>
      </c>
      <c r="B261" s="296" t="inlineStr">
        <is>
          <t>D4</t>
        </is>
      </c>
      <c r="C261" s="292" t="inlineStr">
        <is>
          <t>재귀</t>
        </is>
      </c>
      <c r="D261" s="293" t="inlineStr">
        <is>
          <t>별찍기_프랙탈_카펫_격자_생성</t>
        </is>
      </c>
      <c r="E261" s="290" t="inlineStr">
        <is>
          <t>⬜ 대기</t>
        </is>
      </c>
      <c r="F261" s="292" t="inlineStr">
        <is>
          <t>-</t>
        </is>
      </c>
      <c r="G261" s="292" t="inlineStr">
        <is>
          <t>-</t>
        </is>
      </c>
      <c r="H261" s="294" t="inlineStr">
        <is>
          <t>Tier 1. 선형 자료구조 &amp; 탐색 기본기</t>
        </is>
      </c>
      <c r="I261" s="294" t="inlineStr">
        <is>
          <t>재귀/D4_재귀_별찍기_프랙탈_카펫_격자_생성</t>
        </is>
      </c>
      <c r="J261" s="292" t="inlineStr">
        <is>
          <t>✅ 6종 완비</t>
        </is>
      </c>
      <c r="K261" s="294" t="inlineStr">
        <is>
          <t>Lv.6 복합 제약 &amp; 시공간 최적화</t>
        </is>
      </c>
      <c r="L261" s="294" t="inlineStr">
        <is>
          <t>크기 3^K x 3^K의 시에르핀스키 카펫 격자를 재귀적으로 생성하는 문제입니다. K=1인 경우 가운데 한 칸이 공백이고 주변 8칸이 별('*')인 패턴입니다:</t>
        </is>
      </c>
      <c r="M261" s="294" t="inlineStr">
        <is>
          <t>-</t>
        </is>
      </c>
    </row>
    <row r="262" ht="20" customHeight="1" s="209">
      <c r="A262" s="287" t="n">
        <v>261</v>
      </c>
      <c r="B262" s="296" t="inlineStr">
        <is>
          <t>D4</t>
        </is>
      </c>
      <c r="C262" s="287" t="inlineStr">
        <is>
          <t>재귀</t>
        </is>
      </c>
      <c r="D262" s="289" t="inlineStr">
        <is>
          <t>분할_정복_쿼드트리_압축과_해제</t>
        </is>
      </c>
      <c r="E262" s="290" t="inlineStr">
        <is>
          <t>⬜ 대기</t>
        </is>
      </c>
      <c r="F262" s="287" t="inlineStr">
        <is>
          <t>-</t>
        </is>
      </c>
      <c r="G262" s="287" t="inlineStr">
        <is>
          <t>-</t>
        </is>
      </c>
      <c r="H262" s="291" t="inlineStr">
        <is>
          <t>Tier 1. 선형 자료구조 &amp; 탐색 기본기</t>
        </is>
      </c>
      <c r="I262" s="291" t="inlineStr">
        <is>
          <t>재귀/D4_재귀_분할_정복_쿼드트리_압축과_해제</t>
        </is>
      </c>
      <c r="J262" s="287" t="inlineStr">
        <is>
          <t>✅ 6종 완비</t>
        </is>
      </c>
      <c r="K262" s="291" t="inlineStr">
        <is>
          <t>Lv.6 복합 제약 &amp; 시공간 최적화</t>
        </is>
      </c>
      <c r="L262" s="291" t="inlineStr">
        <is>
          <t>N x N (N = 2^K) 크기의 흑백 영상이 주어집니다. 각 픽셀은 흰색(0) 또는 검은색(1)입니다. 쿼드 트리(Quad Tree) 알고리즘을 사용하여 영상을 다음과 같이 재귀적으로 압축합니다:</t>
        </is>
      </c>
      <c r="M262" s="291" t="inlineStr">
        <is>
          <t>-</t>
        </is>
      </c>
    </row>
    <row r="263" ht="20" customHeight="1" s="209">
      <c r="A263" s="292" t="n">
        <v>262</v>
      </c>
      <c r="B263" s="296" t="inlineStr">
        <is>
          <t>D4</t>
        </is>
      </c>
      <c r="C263" s="292" t="inlineStr">
        <is>
          <t>재귀</t>
        </is>
      </c>
      <c r="D263" s="293" t="inlineStr">
        <is>
          <t>수식_연산자_우선순위_분할_계산</t>
        </is>
      </c>
      <c r="E263" s="290" t="inlineStr">
        <is>
          <t>⬜ 대기</t>
        </is>
      </c>
      <c r="F263" s="292" t="inlineStr">
        <is>
          <t>-</t>
        </is>
      </c>
      <c r="G263" s="292" t="inlineStr">
        <is>
          <t>-</t>
        </is>
      </c>
      <c r="H263" s="294" t="inlineStr">
        <is>
          <t>Tier 1. 선형 자료구조 &amp; 탐색 기본기</t>
        </is>
      </c>
      <c r="I263" s="294" t="inlineStr">
        <is>
          <t>재귀/D4_재귀_수식_연산자_우선순위_분할_계산</t>
        </is>
      </c>
      <c r="J263" s="292" t="inlineStr">
        <is>
          <t>✅ 6종 완비</t>
        </is>
      </c>
      <c r="K263" s="294" t="inlineStr">
        <is>
          <t>Lv.6 복합 제약 &amp; 시공간 최적화</t>
        </is>
      </c>
      <c r="L263" s="294" t="inlineStr">
        <is>
          <t>숫자와 연산자(`+`, `-`, `*`)로 구성된 수식이 주어집니다. 일반적인 연산자 우선순위 규칙을 따르지 않고, 임의의 위치에 괄호를 자유롭게 묶어 계산 순서를 변경할 수 있습니다.</t>
        </is>
      </c>
      <c r="M263" s="294" t="inlineStr">
        <is>
          <t>-</t>
        </is>
      </c>
    </row>
    <row r="264" ht="20" customHeight="1" s="209">
      <c r="A264" s="287" t="n">
        <v>263</v>
      </c>
      <c r="B264" s="296" t="inlineStr">
        <is>
          <t>D4</t>
        </is>
      </c>
      <c r="C264" s="287" t="inlineStr">
        <is>
          <t>재귀</t>
        </is>
      </c>
      <c r="D264" s="289" t="inlineStr">
        <is>
          <t>하노이의_탑_K번째_이동_추적</t>
        </is>
      </c>
      <c r="E264" s="290" t="inlineStr">
        <is>
          <t>⬜ 대기</t>
        </is>
      </c>
      <c r="F264" s="287" t="inlineStr">
        <is>
          <t>-</t>
        </is>
      </c>
      <c r="G264" s="287" t="inlineStr">
        <is>
          <t>-</t>
        </is>
      </c>
      <c r="H264" s="291" t="inlineStr">
        <is>
          <t>Tier 1. 선형 자료구조 &amp; 탐색 기본기</t>
        </is>
      </c>
      <c r="I264" s="291" t="inlineStr">
        <is>
          <t>재귀/D4_재귀_하노이의_탑_K번째_이동_추적</t>
        </is>
      </c>
      <c r="J264" s="287" t="inlineStr">
        <is>
          <t>✅ 6종 완비</t>
        </is>
      </c>
      <c r="K264" s="291" t="inlineStr">
        <is>
          <t>Lv.6 복합 제약 &amp; 시공간 최적화</t>
        </is>
      </c>
      <c r="L264" s="291" t="inlineStr">
        <is>
          <t>세 개의 기둥(1번, 2번, 3번)과 크기가 서로 다른 N개의 원판이 1번 기둥에 꽂혀 있습니다. 하노이의 탑 규칙에 따라 모든 원판을 3번 기둥으로 옮기려면 총 2^N - 1번의 이동이 필요합니다.</t>
        </is>
      </c>
      <c r="M264" s="291" t="inlineStr">
        <is>
          <t>-</t>
        </is>
      </c>
    </row>
    <row r="265" ht="20" customHeight="1" s="209">
      <c r="A265" s="292" t="n">
        <v>264</v>
      </c>
      <c r="B265" s="288" t="inlineStr">
        <is>
          <t>D2</t>
        </is>
      </c>
      <c r="C265" s="292" t="inlineStr">
        <is>
          <t>정렬</t>
        </is>
      </c>
      <c r="D265" s="293" t="inlineStr">
        <is>
          <t>카운팅_정렬_기초</t>
        </is>
      </c>
      <c r="E265" s="290" t="inlineStr">
        <is>
          <t>⬜ 대기</t>
        </is>
      </c>
      <c r="F265" s="292" t="inlineStr">
        <is>
          <t>-</t>
        </is>
      </c>
      <c r="G265" s="292" t="inlineStr">
        <is>
          <t>-</t>
        </is>
      </c>
      <c r="H265" s="294" t="inlineStr">
        <is>
          <t>Tier 1. 선형 자료구조 &amp; 탐색 기본기</t>
        </is>
      </c>
      <c r="I265" s="294" t="inlineStr">
        <is>
          <t>정렬/D2_정렬_카운팅_정렬_기초</t>
        </is>
      </c>
      <c r="J265" s="292" t="inlineStr">
        <is>
          <t>✅ 6종 완비</t>
        </is>
      </c>
      <c r="K265" s="294" t="inlineStr">
        <is>
          <t>Lv.2 단일루프/추적</t>
        </is>
      </c>
      <c r="L265" s="294" t="inlineStr">
        <is>
          <t>SSAFY 알고리즘 캠프의 민준이는 학생들의 시험 채점 결과를 분석하는 보조 강사입니다. 채점 시스템에는 N명의 학생이 응시한 시험 점수가 정수 형태로 기록되어 있습니다.</t>
        </is>
      </c>
      <c r="M265" s="294" t="inlineStr">
        <is>
          <t>-</t>
        </is>
      </c>
    </row>
    <row r="266" ht="20" customHeight="1" s="209">
      <c r="A266" s="287" t="n">
        <v>265</v>
      </c>
      <c r="B266" s="295" t="inlineStr">
        <is>
          <t>D3</t>
        </is>
      </c>
      <c r="C266" s="287" t="inlineStr">
        <is>
          <t>정렬</t>
        </is>
      </c>
      <c r="D266" s="289" t="inlineStr">
        <is>
          <t>퀵_정렬과_피벗_분할</t>
        </is>
      </c>
      <c r="E266" s="290" t="inlineStr">
        <is>
          <t>⬜ 대기</t>
        </is>
      </c>
      <c r="F266" s="287" t="inlineStr">
        <is>
          <t>-</t>
        </is>
      </c>
      <c r="G266" s="287" t="inlineStr">
        <is>
          <t>-</t>
        </is>
      </c>
      <c r="H266" s="291" t="inlineStr">
        <is>
          <t>Tier 1. 선형 자료구조 &amp; 탐색 기본기</t>
        </is>
      </c>
      <c r="I266" s="291" t="inlineStr">
        <is>
          <t>정렬/D3_정렬_퀵_정렬과_피벗_분할</t>
        </is>
      </c>
      <c r="J266" s="287" t="inlineStr">
        <is>
          <t>✅ 6종 완비</t>
        </is>
      </c>
      <c r="K266" s="291" t="inlineStr">
        <is>
          <t>Lv.5 실전 응용 (스토리텔링)</t>
        </is>
      </c>
      <c r="L266" s="291" t="inlineStr">
        <is>
          <t>SSAFY 알고리즘 전공 과정의 지아는 분할 정복(Divide-and-Conquer) 기법의 핵심인 '퀵 정렬(Quicksort)'의 내부 동작 과정을 정밀하게 분석하고 있습니다. 퀵 정렬은 평균적으로 O(N log...</t>
        </is>
      </c>
      <c r="M266" s="291" t="inlineStr">
        <is>
          <t>-</t>
        </is>
      </c>
    </row>
    <row r="267" ht="20" customHeight="1" s="209">
      <c r="A267" s="292" t="n">
        <v>266</v>
      </c>
      <c r="B267" s="295" t="inlineStr">
        <is>
          <t>D3</t>
        </is>
      </c>
      <c r="C267" s="292" t="inlineStr">
        <is>
          <t>정렬</t>
        </is>
      </c>
      <c r="D267" s="293" t="inlineStr">
        <is>
          <t>힙_정렬과_우선순위큐</t>
        </is>
      </c>
      <c r="E267" s="290" t="inlineStr">
        <is>
          <t>⬜ 대기</t>
        </is>
      </c>
      <c r="F267" s="292" t="inlineStr">
        <is>
          <t>-</t>
        </is>
      </c>
      <c r="G267" s="292" t="inlineStr">
        <is>
          <t>-</t>
        </is>
      </c>
      <c r="H267" s="294" t="inlineStr">
        <is>
          <t>Tier 1. 선형 자료구조 &amp; 탐색 기본기</t>
        </is>
      </c>
      <c r="I267" s="294" t="inlineStr">
        <is>
          <t>정렬/D3_정렬_힙_정렬과_우선순위큐</t>
        </is>
      </c>
      <c r="J267" s="292" t="inlineStr">
        <is>
          <t>✅ 6종 완비</t>
        </is>
      </c>
      <c r="K267" s="294" t="inlineStr">
        <is>
          <t>Lv.5 실전 응용 (스토리텔링)</t>
        </is>
      </c>
      <c r="L267" s="294" t="inlineStr">
        <is>
          <t>SSAFY 클라우드 데이터센터의 연구원 서현이는 대규모 분산 작업 스케줄러 시스템을 개발하고 있습니다. 스케줄러는 서버에 도착하는 다양한 작업들의 우선순위(중요도)를 실시간으로 관리하고, 가장 높은 우선순위를 가진 ...</t>
        </is>
      </c>
      <c r="M267" s="294" t="inlineStr">
        <is>
          <t>-</t>
        </is>
      </c>
    </row>
    <row r="268" ht="20" customHeight="1" s="209">
      <c r="A268" s="287" t="n">
        <v>267</v>
      </c>
      <c r="B268" s="288" t="inlineStr">
        <is>
          <t>D2</t>
        </is>
      </c>
      <c r="C268" s="287" t="inlineStr">
        <is>
          <t>정수론</t>
        </is>
      </c>
      <c r="D268" s="289" t="inlineStr">
        <is>
          <t>유클리드_호제법_최대공약수</t>
        </is>
      </c>
      <c r="E268" s="290" t="inlineStr">
        <is>
          <t>⬜ 대기</t>
        </is>
      </c>
      <c r="F268" s="287" t="inlineStr">
        <is>
          <t>-</t>
        </is>
      </c>
      <c r="G268" s="287" t="inlineStr">
        <is>
          <t>-</t>
        </is>
      </c>
      <c r="H268" s="291" t="inlineStr">
        <is>
          <t>Tier 1. 선형 자료구조 &amp; 탐색 기본기</t>
        </is>
      </c>
      <c r="I268" s="291" t="inlineStr">
        <is>
          <t>정수론/D2_정수론_유클리드_호제법_최대공약수</t>
        </is>
      </c>
      <c r="J268" s="287" t="inlineStr">
        <is>
          <t>✅ 6종 완비</t>
        </is>
      </c>
      <c r="K268" s="291" t="inlineStr">
        <is>
          <t>Lv.4 경계완충/징검다리</t>
        </is>
      </c>
      <c r="L268" s="291" t="inlineStr">
        <is>
          <t>SSAFY 알고리즘 캠프에 참가한 학생들은 N개의 양의 정수를 분석하는 프로그램을 작성하고 있습니다. 주어진 N개의 양의 정수들에 대해 전체 수들의 최대공약수(GCD)와 최소공배수(LCM)를 차례대로 구하여 출력하십...</t>
        </is>
      </c>
      <c r="M268" s="291" t="inlineStr">
        <is>
          <t>-</t>
        </is>
      </c>
    </row>
    <row r="269" ht="20" customHeight="1" s="209">
      <c r="A269" s="292" t="n">
        <v>268</v>
      </c>
      <c r="B269" s="288" t="inlineStr">
        <is>
          <t>D2</t>
        </is>
      </c>
      <c r="C269" s="292" t="inlineStr">
        <is>
          <t>조합</t>
        </is>
      </c>
      <c r="D269" s="293" t="inlineStr">
        <is>
          <t>도서관_책_선택</t>
        </is>
      </c>
      <c r="E269" s="290" t="inlineStr">
        <is>
          <t>⬜ 대기</t>
        </is>
      </c>
      <c r="F269" s="292" t="inlineStr">
        <is>
          <t>-</t>
        </is>
      </c>
      <c r="G269" s="292" t="inlineStr">
        <is>
          <t>-</t>
        </is>
      </c>
      <c r="H269" s="294" t="inlineStr">
        <is>
          <t>Tier 2. 완전 탐색 &amp; 백트래킹 (A형 핵심)</t>
        </is>
      </c>
      <c r="I269" s="294" t="inlineStr">
        <is>
          <t>조합/D2_조합_도서관_책_선택</t>
        </is>
      </c>
      <c r="J269" s="292" t="inlineStr">
        <is>
          <t>✅ 6종 완비</t>
        </is>
      </c>
      <c r="K269" s="294" t="inlineStr">
        <is>
          <t>Lv.4 경계완충/징검다리</t>
        </is>
      </c>
      <c r="L269" s="294" t="inlineStr">
        <is>
          <t>도서관에 있는 N권의 서로 다른 책 중 방학 동안 읽을 책 R권을 대출합니다 (순서 무관). 각 책의 페이지 수가 주어질 때, 대출한 R권의 총 페이지 수 합이 P 이하가 되는 대출 조합의 총 가짓수를 구하시오.</t>
        </is>
      </c>
      <c r="M269" s="294" t="inlineStr">
        <is>
          <t>-</t>
        </is>
      </c>
    </row>
    <row r="270" ht="20" customHeight="1" s="209">
      <c r="A270" s="287" t="n">
        <v>269</v>
      </c>
      <c r="B270" s="288" t="inlineStr">
        <is>
          <t>D2</t>
        </is>
      </c>
      <c r="C270" s="287" t="inlineStr">
        <is>
          <t>조합</t>
        </is>
      </c>
      <c r="D270" s="289" t="inlineStr">
        <is>
          <t>생과일주스_레시피</t>
        </is>
      </c>
      <c r="E270" s="290" t="inlineStr">
        <is>
          <t>⬜ 대기</t>
        </is>
      </c>
      <c r="F270" s="287" t="inlineStr">
        <is>
          <t>-</t>
        </is>
      </c>
      <c r="G270" s="287" t="inlineStr">
        <is>
          <t>-</t>
        </is>
      </c>
      <c r="H270" s="291" t="inlineStr">
        <is>
          <t>Tier 2. 완전 탐색 &amp; 백트래킹 (A형 핵심)</t>
        </is>
      </c>
      <c r="I270" s="291" t="inlineStr">
        <is>
          <t>조합/D2_조합_생과일주스_레시피</t>
        </is>
      </c>
      <c r="J270" s="287" t="inlineStr">
        <is>
          <t>✅ 6종 완비</t>
        </is>
      </c>
      <c r="K270" s="291" t="inlineStr">
        <is>
          <t>Lv.4 경계완충/징검다리</t>
        </is>
      </c>
      <c r="L270" s="291" t="inlineStr">
        <is>
          <t>생과일주스 전문점에서 N가지 과일 중 서로 다른 R가지를 골라 한꺼번에 믹서기에 넣고 갈아 주스를 만듭니다. 각 과일 i (1 &lt;= i &lt;= N)는 고유한 당도 점수 S_i를 가지고 있습니다.</t>
        </is>
      </c>
      <c r="M270" s="291" t="inlineStr">
        <is>
          <t>-</t>
        </is>
      </c>
    </row>
    <row r="271" ht="20" customHeight="1" s="209">
      <c r="A271" s="292" t="n">
        <v>270</v>
      </c>
      <c r="B271" s="288" t="inlineStr">
        <is>
          <t>D2</t>
        </is>
      </c>
      <c r="C271" s="292" t="inlineStr">
        <is>
          <t>조합</t>
        </is>
      </c>
      <c r="D271" s="293" t="inlineStr">
        <is>
          <t>이항계수_파스칼삼각형</t>
        </is>
      </c>
      <c r="E271" s="290" t="inlineStr">
        <is>
          <t>⬜ 대기</t>
        </is>
      </c>
      <c r="F271" s="292" t="inlineStr">
        <is>
          <t>-</t>
        </is>
      </c>
      <c r="G271" s="292" t="inlineStr">
        <is>
          <t>-</t>
        </is>
      </c>
      <c r="H271" s="294" t="inlineStr">
        <is>
          <t>Tier 2. 완전 탐색 &amp; 백트래킹 (A형 핵심)</t>
        </is>
      </c>
      <c r="I271" s="294" t="inlineStr">
        <is>
          <t>조합/D2_조합_이항계수_파스칼삼각형</t>
        </is>
      </c>
      <c r="J271" s="292" t="inlineStr">
        <is>
          <t>✅ 6종 완비</t>
        </is>
      </c>
      <c r="K271" s="294" t="inlineStr">
        <is>
          <t>Lv.4 경계완충/징검다리</t>
        </is>
      </c>
      <c r="L271" s="294" t="inlineStr">
        <is>
          <t>주어지는 자연수 N과 R에 대해 이항계수 nCr의 값을 1,000,000,007로 나눈 나머지를 구하는 프로그램을 작성하십시오.</t>
        </is>
      </c>
      <c r="M271" s="294" t="inlineStr">
        <is>
          <t>-</t>
        </is>
      </c>
    </row>
    <row r="272" ht="20" customHeight="1" s="209">
      <c r="A272" s="287" t="n">
        <v>271</v>
      </c>
      <c r="B272" s="288" t="inlineStr">
        <is>
          <t>D2</t>
        </is>
      </c>
      <c r="C272" s="287" t="inlineStr">
        <is>
          <t>조합</t>
        </is>
      </c>
      <c r="D272" s="289" t="inlineStr">
        <is>
          <t>조합에_대해서</t>
        </is>
      </c>
      <c r="E272" s="290" t="inlineStr">
        <is>
          <t>⬜ 대기</t>
        </is>
      </c>
      <c r="F272" s="287" t="inlineStr">
        <is>
          <t>-</t>
        </is>
      </c>
      <c r="G272" s="287" t="inlineStr">
        <is>
          <t>-</t>
        </is>
      </c>
      <c r="H272" s="291" t="inlineStr">
        <is>
          <t>Tier 2. 완전 탐색 &amp; 백트래킹 (A형 핵심)</t>
        </is>
      </c>
      <c r="I272" s="291" t="inlineStr">
        <is>
          <t>조합/D2_조합_조합에_대해서</t>
        </is>
      </c>
      <c r="J272" s="287" t="inlineStr">
        <is>
          <t>✅ 6종 완비</t>
        </is>
      </c>
      <c r="K272" s="291" t="inlineStr">
        <is>
          <t>Lv.3 개념뼈대 완결</t>
        </is>
      </c>
      <c r="L272" s="291" t="inlineStr">
        <is>
          <t>1부터 N까지의 자연수 중에서 중복 없이 R개를 고른 모든 조합을 사전 순으로 출력하는 프로그램을 작성하십시오.</t>
        </is>
      </c>
      <c r="M272" s="291" t="inlineStr">
        <is>
          <t>-</t>
        </is>
      </c>
    </row>
    <row r="273" ht="20" customHeight="1" s="209">
      <c r="A273" s="292" t="n">
        <v>272</v>
      </c>
      <c r="B273" s="288" t="inlineStr">
        <is>
          <t>D2</t>
        </is>
      </c>
      <c r="C273" s="292" t="inlineStr">
        <is>
          <t>조합</t>
        </is>
      </c>
      <c r="D273" s="293" t="inlineStr">
        <is>
          <t>팀_대표_선발</t>
        </is>
      </c>
      <c r="E273" s="290" t="inlineStr">
        <is>
          <t>⬜ 대기</t>
        </is>
      </c>
      <c r="F273" s="292" t="inlineStr">
        <is>
          <t>-</t>
        </is>
      </c>
      <c r="G273" s="292" t="inlineStr">
        <is>
          <t>-</t>
        </is>
      </c>
      <c r="H273" s="294" t="inlineStr">
        <is>
          <t>Tier 2. 완전 탐색 &amp; 백트래킹 (A형 핵심)</t>
        </is>
      </c>
      <c r="I273" s="294" t="inlineStr">
        <is>
          <t>조합/D2_조합_팀_대표_선발</t>
        </is>
      </c>
      <c r="J273" s="292" t="inlineStr">
        <is>
          <t>✅ 6종 완비</t>
        </is>
      </c>
      <c r="K273" s="294" t="inlineStr">
        <is>
          <t>Lv.4 경계완충/징검다리</t>
        </is>
      </c>
      <c r="L273" s="294" t="inlineStr">
        <is>
          <t>남학생 N명, 여학생 M명이 있는 동아리에서 학교 대표 R명을 선발합니다. 대표팀에는 최소 1명 이상의 남학생과 최소 1명 이상의 여학생이 반드시 포함되어야 합니다.</t>
        </is>
      </c>
      <c r="M273" s="294" t="inlineStr">
        <is>
          <t>-</t>
        </is>
      </c>
    </row>
    <row r="274" ht="20" customHeight="1" s="209">
      <c r="A274" s="287" t="n">
        <v>273</v>
      </c>
      <c r="B274" s="295" t="inlineStr">
        <is>
          <t>D3</t>
        </is>
      </c>
      <c r="C274" s="287" t="inlineStr">
        <is>
          <t>조합</t>
        </is>
      </c>
      <c r="D274" s="289" t="inlineStr">
        <is>
          <t>두_팀으로_나누기</t>
        </is>
      </c>
      <c r="E274" s="290" t="inlineStr">
        <is>
          <t>⬜ 대기</t>
        </is>
      </c>
      <c r="F274" s="287" t="inlineStr">
        <is>
          <t>-</t>
        </is>
      </c>
      <c r="G274" s="287" t="inlineStr">
        <is>
          <t>-</t>
        </is>
      </c>
      <c r="H274" s="291" t="inlineStr">
        <is>
          <t>Tier 2. 완전 탐색 &amp; 백트래킹 (A형 핵심)</t>
        </is>
      </c>
      <c r="I274" s="291" t="inlineStr">
        <is>
          <t>조합/D3_조합_두_팀으로_나누기</t>
        </is>
      </c>
      <c r="J274" s="287" t="inlineStr">
        <is>
          <t>✅ 6종 완비</t>
        </is>
      </c>
      <c r="K274" s="291" t="inlineStr">
        <is>
          <t>Lv.5 실전 응용 (스토리텔링)</t>
        </is>
      </c>
      <c r="L274" s="291" t="inlineStr">
        <is>
          <t>체육대회 운영위원 서윤이는 전체 인원을 두 팀으로 공평하게 나눌 때 팀 간의 능력치 차이가 최소가 되는 최적의 조합을 찾고 있다. 짝수 N명의 사람이 모여 축구 시합을 하려고 합니다. N명을 정확히 N/2명씩 스타트...</t>
        </is>
      </c>
      <c r="M274" s="291" t="inlineStr">
        <is>
          <t>-</t>
        </is>
      </c>
    </row>
    <row r="275" ht="20" customHeight="1" s="209">
      <c r="A275" s="292" t="n">
        <v>274</v>
      </c>
      <c r="B275" s="295" t="inlineStr">
        <is>
          <t>D3</t>
        </is>
      </c>
      <c r="C275" s="292" t="inlineStr">
        <is>
          <t>조합</t>
        </is>
      </c>
      <c r="D275" s="293" t="inlineStr">
        <is>
          <t>디저트_선물세트_궁합</t>
        </is>
      </c>
      <c r="E275" s="290" t="inlineStr">
        <is>
          <t>⬜ 대기</t>
        </is>
      </c>
      <c r="F275" s="292" t="inlineStr">
        <is>
          <t>-</t>
        </is>
      </c>
      <c r="G275" s="292" t="inlineStr">
        <is>
          <t>-</t>
        </is>
      </c>
      <c r="H275" s="294" t="inlineStr">
        <is>
          <t>Tier 2. 완전 탐색 &amp; 백트래킹 (A형 핵심)</t>
        </is>
      </c>
      <c r="I275" s="294" t="inlineStr">
        <is>
          <t>조합/D3_조합_디저트_선물세트_궁합</t>
        </is>
      </c>
      <c r="J275" s="292" t="inlineStr">
        <is>
          <t>✅ 6종 완비</t>
        </is>
      </c>
      <c r="K275" s="294" t="inlineStr">
        <is>
          <t>Lv.5 실전 응용 (스토리텔링)</t>
        </is>
      </c>
      <c r="L275" s="294" t="inlineStr">
        <is>
          <t>수제 디저트 카페를 운영하는 시아는 매장의 대표 디저트 메뉴 중 조화로운 조합을 선택하여 한정판 선물 세트를 구성하려 한다. 과일 명품관에서 N가지 과일(1번부터 N번) 중 서로 다른 R개를 골라 고급 선물 바구니를...</t>
        </is>
      </c>
      <c r="M275" s="294" t="inlineStr">
        <is>
          <t>-</t>
        </is>
      </c>
    </row>
    <row r="276" ht="20" customHeight="1" s="209">
      <c r="A276" s="287" t="n">
        <v>275</v>
      </c>
      <c r="B276" s="295" t="inlineStr">
        <is>
          <t>D3</t>
        </is>
      </c>
      <c r="C276" s="287" t="inlineStr">
        <is>
          <t>조합</t>
        </is>
      </c>
      <c r="D276" s="289" t="inlineStr">
        <is>
          <t>로또_행운의_조합</t>
        </is>
      </c>
      <c r="E276" s="290" t="inlineStr">
        <is>
          <t>⬜ 대기</t>
        </is>
      </c>
      <c r="F276" s="287" t="inlineStr">
        <is>
          <t>-</t>
        </is>
      </c>
      <c r="G276" s="287" t="inlineStr">
        <is>
          <t>-</t>
        </is>
      </c>
      <c r="H276" s="291" t="inlineStr">
        <is>
          <t>Tier 2. 완전 탐색 &amp; 백트래킹 (A형 핵심)</t>
        </is>
      </c>
      <c r="I276" s="291" t="inlineStr">
        <is>
          <t>조합/D3_조합_로또_행운의_조합</t>
        </is>
      </c>
      <c r="J276" s="287" t="inlineStr">
        <is>
          <t>✅ 6종 완비</t>
        </is>
      </c>
      <c r="K276" s="291" t="inlineStr">
        <is>
          <t>Lv.5 실전 응용 (스토리텔링)</t>
        </is>
      </c>
      <c r="L276" s="291" t="inlineStr">
        <is>
          <t>통계학 연구원 아린이는 추첨 번호 후보군 중에서 수학적 확률 조건에 맞는 행운의 번호 조합들을 체계적으로 추출하고 있다. 1부터 N까지의 자연수 중 서로 다른 6개의 수를 뽑아 로또 번호 조합을 만듭니다.</t>
        </is>
      </c>
      <c r="M276" s="291" t="inlineStr">
        <is>
          <t>-</t>
        </is>
      </c>
    </row>
    <row r="277" ht="20" customHeight="1" s="209">
      <c r="A277" s="292" t="n">
        <v>276</v>
      </c>
      <c r="B277" s="295" t="inlineStr">
        <is>
          <t>D3</t>
        </is>
      </c>
      <c r="C277" s="292" t="inlineStr">
        <is>
          <t>조합</t>
        </is>
      </c>
      <c r="D277" s="293" t="inlineStr">
        <is>
          <t>서아의_암호_만들기_모음_자음</t>
        </is>
      </c>
      <c r="E277" s="290" t="inlineStr">
        <is>
          <t>⬜ 대기</t>
        </is>
      </c>
      <c r="F277" s="292" t="inlineStr">
        <is>
          <t>-</t>
        </is>
      </c>
      <c r="G277" s="292" t="inlineStr">
        <is>
          <t>-</t>
        </is>
      </c>
      <c r="H277" s="294" t="inlineStr">
        <is>
          <t>Tier 2. 완전 탐색 &amp; 백트래킹 (A형 핵심)</t>
        </is>
      </c>
      <c r="I277" s="294" t="inlineStr">
        <is>
          <t>조합/D3_조합_서아의_암호_만들기_모음_자음</t>
        </is>
      </c>
      <c r="J277" s="292" t="inlineStr">
        <is>
          <t>✅ 6종 완비</t>
        </is>
      </c>
      <c r="K277" s="294" t="inlineStr">
        <is>
          <t>Lv.5 실전 응용 (스토리텔링)</t>
        </is>
      </c>
      <c r="L277" s="294" t="inlineStr">
        <is>
          <t>보안 동아리에서 활동하는 서아는 동아리실 금고의 보안 비밀번호를 설정하고 있습니다. 암호는 서로 다른 L개의 알파벳 소문자들로 구성되며, 알파벳이 항상 오름차순으로 정렬되어 있어야 한다는 규칙이 있습니다.</t>
        </is>
      </c>
      <c r="M277" s="294" t="inlineStr">
        <is>
          <t>-</t>
        </is>
      </c>
    </row>
    <row r="278" ht="20" customHeight="1" s="209">
      <c r="A278" s="287" t="n">
        <v>277</v>
      </c>
      <c r="B278" s="295" t="inlineStr">
        <is>
          <t>D3</t>
        </is>
      </c>
      <c r="C278" s="287" t="inlineStr">
        <is>
          <t>조합</t>
        </is>
      </c>
      <c r="D278" s="289" t="inlineStr">
        <is>
          <t>하준이의_로또_행운의_조합</t>
        </is>
      </c>
      <c r="E278" s="290" t="inlineStr">
        <is>
          <t>⬜ 대기</t>
        </is>
      </c>
      <c r="F278" s="287" t="inlineStr">
        <is>
          <t>-</t>
        </is>
      </c>
      <c r="G278" s="287" t="inlineStr">
        <is>
          <t>-</t>
        </is>
      </c>
      <c r="H278" s="291" t="inlineStr">
        <is>
          <t>Tier 2. 완전 탐색 &amp; 백트래킹 (A형 핵심)</t>
        </is>
      </c>
      <c r="I278" s="291" t="inlineStr">
        <is>
          <t>조합/D3_조합_하준이의_로또_행운의_조합</t>
        </is>
      </c>
      <c r="J278" s="287" t="inlineStr">
        <is>
          <t>✅ 6종 완비</t>
        </is>
      </c>
      <c r="K278" s="291" t="inlineStr">
        <is>
          <t>Lv.5 실전 응용 (스토리텔링)</t>
        </is>
      </c>
      <c r="L278" s="291" t="inlineStr">
        <is>
          <t>수학 동아리에서 확률과 통계를 연구하는 하준이는 로또 6/45 복권 시스템의 조합론적 특성을 분석하고 있습니다. 하준이는 자신만의 행운의 숫자 집합 S (크기 K)를 선별하였습니다.</t>
        </is>
      </c>
      <c r="M278" s="291" t="inlineStr">
        <is>
          <t>-</t>
        </is>
      </c>
    </row>
    <row r="279" ht="20" customHeight="1" s="209">
      <c r="A279" s="292" t="n">
        <v>278</v>
      </c>
      <c r="B279" s="296" t="inlineStr">
        <is>
          <t>D4</t>
        </is>
      </c>
      <c r="C279" s="292" t="inlineStr">
        <is>
          <t>조합</t>
        </is>
      </c>
      <c r="D279" s="293" t="inlineStr">
        <is>
          <t>감시카메라_배치</t>
        </is>
      </c>
      <c r="E279" s="290" t="inlineStr">
        <is>
          <t>⬜ 대기</t>
        </is>
      </c>
      <c r="F279" s="292" t="inlineStr">
        <is>
          <t>-</t>
        </is>
      </c>
      <c r="G279" s="292" t="inlineStr">
        <is>
          <t>-</t>
        </is>
      </c>
      <c r="H279" s="294" t="inlineStr">
        <is>
          <t>Tier 2. 완전 탐색 &amp; 백트래킹 (A형 핵심)</t>
        </is>
      </c>
      <c r="I279" s="294" t="inlineStr">
        <is>
          <t>조합/D4_조합_감시카메라_배치</t>
        </is>
      </c>
      <c r="J279" s="292" t="inlineStr">
        <is>
          <t>✅ 6종 완비</t>
        </is>
      </c>
      <c r="K279" s="294" t="inlineStr">
        <is>
          <t>Lv.6 복합 제약 &amp; 시공간 최적화</t>
        </is>
      </c>
      <c r="L279" s="294" t="inlineStr">
        <is>
          <t>N x M 크기의 연구실에서 중요한 데이터 서버(1)들이 위치해 있습니다. 빈 칸(0) 중 K곳을 선택하여 360도 전방위 감시 카메라를 설치하려 합니다.</t>
        </is>
      </c>
      <c r="M279" s="294" t="inlineStr">
        <is>
          <t>-</t>
        </is>
      </c>
    </row>
    <row r="280" ht="20" customHeight="1" s="209">
      <c r="A280" s="287" t="n">
        <v>279</v>
      </c>
      <c r="B280" s="296" t="inlineStr">
        <is>
          <t>D4</t>
        </is>
      </c>
      <c r="C280" s="287" t="inlineStr">
        <is>
          <t>조합</t>
        </is>
      </c>
      <c r="D280" s="289" t="inlineStr">
        <is>
          <t>과수원_스프링클러_설치</t>
        </is>
      </c>
      <c r="E280" s="290" t="inlineStr">
        <is>
          <t>⬜ 대기</t>
        </is>
      </c>
      <c r="F280" s="287" t="inlineStr">
        <is>
          <t>-</t>
        </is>
      </c>
      <c r="G280" s="287" t="inlineStr">
        <is>
          <t>-</t>
        </is>
      </c>
      <c r="H280" s="291" t="inlineStr">
        <is>
          <t>Tier 2. 완전 탐색 &amp; 백트래킹 (A형 핵심)</t>
        </is>
      </c>
      <c r="I280" s="291" t="inlineStr">
        <is>
          <t>조합/D4_조합_과수원_스프링클러_설치</t>
        </is>
      </c>
      <c r="J280" s="287" t="inlineStr">
        <is>
          <t>✅ 6종 완비</t>
        </is>
      </c>
      <c r="K280" s="291" t="inlineStr">
        <is>
          <t>Lv.6 복합 제약 &amp; 시공간 최적화</t>
        </is>
      </c>
      <c r="L280" s="291" t="inlineStr">
        <is>
          <t>R x C 크기의 격자 형태 과수원이 있습니다. 각 칸 (r, c)에는 오늘 즉시 수확할 수 있는 과일의 무게 W[r][c]가 주어져 있습니다. 농장주는 과수원의 임의의 서로 다른 K개 칸에 자동 수확 스프링클러를 ...</t>
        </is>
      </c>
      <c r="M280" s="291" t="inlineStr">
        <is>
          <t>-</t>
        </is>
      </c>
    </row>
    <row r="281" ht="20" customHeight="1" s="209">
      <c r="A281" s="292" t="n">
        <v>280</v>
      </c>
      <c r="B281" s="296" t="inlineStr">
        <is>
          <t>D4</t>
        </is>
      </c>
      <c r="C281" s="292" t="inlineStr">
        <is>
          <t>조합</t>
        </is>
      </c>
      <c r="D281" s="293" t="inlineStr">
        <is>
          <t>도심_스프링클러_최적_감시_배치</t>
        </is>
      </c>
      <c r="E281" s="290" t="inlineStr">
        <is>
          <t>⬜ 대기</t>
        </is>
      </c>
      <c r="F281" s="292" t="inlineStr">
        <is>
          <t>-</t>
        </is>
      </c>
      <c r="G281" s="292" t="inlineStr">
        <is>
          <t>-</t>
        </is>
      </c>
      <c r="H281" s="294" t="inlineStr">
        <is>
          <t>Tier 2. 완전 탐색 &amp; 백트래킹 (A형 핵심)</t>
        </is>
      </c>
      <c r="I281" s="294" t="inlineStr">
        <is>
          <t>조합/D4_조합_도심_스프링클러_최적_감시_배치</t>
        </is>
      </c>
      <c r="J281" s="292" t="inlineStr">
        <is>
          <t>✅ 6종 완비</t>
        </is>
      </c>
      <c r="K281" s="294" t="inlineStr">
        <is>
          <t>Lv.6 복합 제약 &amp; 시공간 최적화</t>
        </is>
      </c>
      <c r="L281" s="294" t="inlineStr">
        <is>
          <t>도시 방재 본부에서는 N x N 크기의 도심 구역에서 화재 위험이 있는 잔디/건물 구역 H곳을 보호하기 위해, K개의 후보 위치 중 정확히 M개의 자동 스프링클러를 설치하려고 합니다. 각 보호 구역 h와 스프링클러 ...</t>
        </is>
      </c>
      <c r="M281" s="294" t="inlineStr">
        <is>
          <t>-</t>
        </is>
      </c>
    </row>
    <row r="282" ht="20" customHeight="1" s="209">
      <c r="A282" s="287" t="n">
        <v>281</v>
      </c>
      <c r="B282" s="296" t="inlineStr">
        <is>
          <t>D4</t>
        </is>
      </c>
      <c r="C282" s="287" t="inlineStr">
        <is>
          <t>조합</t>
        </is>
      </c>
      <c r="D282" s="289" t="inlineStr">
        <is>
          <t>스타트와_링크_팀_밸런스_최적화</t>
        </is>
      </c>
      <c r="E282" s="290" t="inlineStr">
        <is>
          <t>⬜ 대기</t>
        </is>
      </c>
      <c r="F282" s="287" t="inlineStr">
        <is>
          <t>-</t>
        </is>
      </c>
      <c r="G282" s="287" t="inlineStr">
        <is>
          <t>-</t>
        </is>
      </c>
      <c r="H282" s="291" t="inlineStr">
        <is>
          <t>Tier 2. 완전 탐색 &amp; 백트래킹 (A형 핵심)</t>
        </is>
      </c>
      <c r="I282" s="291" t="inlineStr">
        <is>
          <t>조합/D4_조합_스타트와_링크_팀_밸런스_최적화</t>
        </is>
      </c>
      <c r="J282" s="287" t="inlineStr">
        <is>
          <t>✅ 6종 완비</t>
        </is>
      </c>
      <c r="K282" s="291" t="inlineStr">
        <is>
          <t>Lv.6 복합 제약 &amp; 시공간 최적화</t>
        </is>
      </c>
      <c r="L282" s="291" t="inlineStr">
        <is>
          <t>주어진 능력치 행렬 S에 대해 스타트 팀과 링크 팀의 능력치 차이의 최솟값을 구하십시오.</t>
        </is>
      </c>
      <c r="M282" s="291" t="inlineStr">
        <is>
          <t>-</t>
        </is>
      </c>
    </row>
    <row r="283" ht="20" customHeight="1" s="209">
      <c r="A283" s="292" t="n">
        <v>282</v>
      </c>
      <c r="B283" s="296" t="inlineStr">
        <is>
          <t>D4</t>
        </is>
      </c>
      <c r="C283" s="292" t="inlineStr">
        <is>
          <t>조합</t>
        </is>
      </c>
      <c r="D283" s="293" t="inlineStr">
        <is>
          <t>치킨_배달_거리_최적화</t>
        </is>
      </c>
      <c r="E283" s="290" t="inlineStr">
        <is>
          <t>⬜ 대기</t>
        </is>
      </c>
      <c r="F283" s="292" t="inlineStr">
        <is>
          <t>-</t>
        </is>
      </c>
      <c r="G283" s="292" t="inlineStr">
        <is>
          <t>-</t>
        </is>
      </c>
      <c r="H283" s="294" t="inlineStr">
        <is>
          <t>Tier 2. 완전 탐색 &amp; 백트래킹 (A형 핵심)</t>
        </is>
      </c>
      <c r="I283" s="294" t="inlineStr">
        <is>
          <t>조합/D4_조합_치킨_배달_거리_최적화</t>
        </is>
      </c>
      <c r="J283" s="292" t="inlineStr">
        <is>
          <t>✅ 6종 완비</t>
        </is>
      </c>
      <c r="K283" s="294" t="inlineStr">
        <is>
          <t>Lv.6 복합 제약 &amp; 시공간 최적화</t>
        </is>
      </c>
      <c r="L283" s="294" t="inlineStr">
        <is>
          <t>주어진 도시 지도에서 치킨집 최대 M개를 남겼을 때 얻을 수 있는 도시의 최소 치킨 거리를 구하십시오.</t>
        </is>
      </c>
      <c r="M283" s="294" t="inlineStr">
        <is>
          <t>-</t>
        </is>
      </c>
    </row>
    <row r="284" ht="20" customHeight="1" s="209">
      <c r="A284" s="287" t="n">
        <v>283</v>
      </c>
      <c r="B284" s="288" t="inlineStr">
        <is>
          <t>D2</t>
        </is>
      </c>
      <c r="C284" s="287" t="inlineStr">
        <is>
          <t>중복순열</t>
        </is>
      </c>
      <c r="D284" s="289" t="inlineStr">
        <is>
          <t>2진수_모든_비트열_생성</t>
        </is>
      </c>
      <c r="E284" s="290" t="inlineStr">
        <is>
          <t>⬜ 대기</t>
        </is>
      </c>
      <c r="F284" s="287" t="inlineStr">
        <is>
          <t>-</t>
        </is>
      </c>
      <c r="G284" s="287" t="inlineStr">
        <is>
          <t>-</t>
        </is>
      </c>
      <c r="H284" s="291" t="inlineStr">
        <is>
          <t>Tier 2. 완전 탐색 &amp; 백트래킹 (A형 핵심)</t>
        </is>
      </c>
      <c r="I284" s="291" t="inlineStr">
        <is>
          <t>중복순열/D2_중복순열_2진수_모든_비트열_생성</t>
        </is>
      </c>
      <c r="J284" s="287" t="inlineStr">
        <is>
          <t>✅ 6종 완비</t>
        </is>
      </c>
      <c r="K284" s="291" t="inlineStr">
        <is>
          <t>Lv.4 경계완충/징검다리</t>
        </is>
      </c>
      <c r="L284" s="291" t="inlineStr">
        <is>
          <t>길이 N이 주어질 때 만들 수 있는 모든 N자리 2진 비트열을 사전 순으로 한 줄에 하나씩 출력하십시오.</t>
        </is>
      </c>
      <c r="M284" s="291" t="inlineStr">
        <is>
          <t>-</t>
        </is>
      </c>
    </row>
    <row r="285" ht="20" customHeight="1" s="209">
      <c r="A285" s="292" t="n">
        <v>284</v>
      </c>
      <c r="B285" s="288" t="inlineStr">
        <is>
          <t>D2</t>
        </is>
      </c>
      <c r="C285" s="292" t="inlineStr">
        <is>
          <t>중복순열</t>
        </is>
      </c>
      <c r="D285" s="293" t="inlineStr">
        <is>
          <t>가위바위보_대진표</t>
        </is>
      </c>
      <c r="E285" s="290" t="inlineStr">
        <is>
          <t>⬜ 대기</t>
        </is>
      </c>
      <c r="F285" s="292" t="inlineStr">
        <is>
          <t>-</t>
        </is>
      </c>
      <c r="G285" s="292" t="inlineStr">
        <is>
          <t>-</t>
        </is>
      </c>
      <c r="H285" s="294" t="inlineStr">
        <is>
          <t>Tier 2. 완전 탐색 &amp; 백트래킹 (A형 핵심)</t>
        </is>
      </c>
      <c r="I285" s="294" t="inlineStr">
        <is>
          <t>중복순열/D2_중복순열_가위바위보_대진표</t>
        </is>
      </c>
      <c r="J285" s="292" t="inlineStr">
        <is>
          <t>✅ 6종 완비</t>
        </is>
      </c>
      <c r="K285" s="294" t="inlineStr">
        <is>
          <t>Lv.4 경계완충/징검다리</t>
        </is>
      </c>
      <c r="L285" s="294" t="inlineStr">
        <is>
          <t>N명의 참가자가 동시에 가위, 바위, 보(3가지 선택지) 중 하나를 냅니다. 누군가가 승리하여 승부가 결정되려면, 참가자들이 낸 손 모양의 종류가 정확히 2종류이어야 합니다 (1종류이거나 3종류 모두 나오면 무승부)...</t>
        </is>
      </c>
      <c r="M285" s="294" t="inlineStr">
        <is>
          <t>-</t>
        </is>
      </c>
    </row>
    <row r="286" ht="20" customHeight="1" s="209">
      <c r="A286" s="287" t="n">
        <v>285</v>
      </c>
      <c r="B286" s="288" t="inlineStr">
        <is>
          <t>D2</t>
        </is>
      </c>
      <c r="C286" s="287" t="inlineStr">
        <is>
          <t>중복순열</t>
        </is>
      </c>
      <c r="D286" s="289" t="inlineStr">
        <is>
          <t>디지털_도어락_비밀번호</t>
        </is>
      </c>
      <c r="E286" s="290" t="inlineStr">
        <is>
          <t>⬜ 대기</t>
        </is>
      </c>
      <c r="F286" s="287" t="inlineStr">
        <is>
          <t>-</t>
        </is>
      </c>
      <c r="G286" s="287" t="inlineStr">
        <is>
          <t>-</t>
        </is>
      </c>
      <c r="H286" s="291" t="inlineStr">
        <is>
          <t>Tier 2. 완전 탐색 &amp; 백트래킹 (A형 핵심)</t>
        </is>
      </c>
      <c r="I286" s="291" t="inlineStr">
        <is>
          <t>중복순열/D2_중복순열_디지털_도어락_비밀번호</t>
        </is>
      </c>
      <c r="J286" s="287" t="inlineStr">
        <is>
          <t>✅ 6종 완비</t>
        </is>
      </c>
      <c r="K286" s="291" t="inlineStr">
        <is>
          <t>Lv.4 경계완충/징검다리</t>
        </is>
      </c>
      <c r="L286" s="291" t="inlineStr">
        <is>
          <t>디지털 도어락의 비밀번호는 1부터 N까지의 숫자를 중복을 허용하여 K자리를 만듭니다. 단, 보안 규칙상 첫 번째 자리에는 홀수만 올 수 있습니다.</t>
        </is>
      </c>
      <c r="M286" s="291" t="inlineStr">
        <is>
          <t>-</t>
        </is>
      </c>
    </row>
    <row r="287" ht="20" customHeight="1" s="209">
      <c r="A287" s="292" t="n">
        <v>286</v>
      </c>
      <c r="B287" s="288" t="inlineStr">
        <is>
          <t>D2</t>
        </is>
      </c>
      <c r="C287" s="292" t="inlineStr">
        <is>
          <t>중복순열</t>
        </is>
      </c>
      <c r="D287" s="293" t="inlineStr">
        <is>
          <t>주사위_N번_던지기_눈금_합</t>
        </is>
      </c>
      <c r="E287" s="290" t="inlineStr">
        <is>
          <t>⬜ 대기</t>
        </is>
      </c>
      <c r="F287" s="292" t="inlineStr">
        <is>
          <t>-</t>
        </is>
      </c>
      <c r="G287" s="292" t="inlineStr">
        <is>
          <t>-</t>
        </is>
      </c>
      <c r="H287" s="294" t="inlineStr">
        <is>
          <t>Tier 2. 완전 탐색 &amp; 백트래킹 (A형 핵심)</t>
        </is>
      </c>
      <c r="I287" s="294" t="inlineStr">
        <is>
          <t>중복순열/D2_중복순열_주사위_N번_던지기_눈금_합</t>
        </is>
      </c>
      <c r="J287" s="292" t="inlineStr">
        <is>
          <t>✅ 6종 완비</t>
        </is>
      </c>
      <c r="K287" s="294" t="inlineStr">
        <is>
          <t>Lv.4 경계완충/징검다리</t>
        </is>
      </c>
      <c r="L287" s="294" t="inlineStr">
        <is>
          <t>주사위를 던지는 횟수 N과 목표 합 S가 주어질 때 눈금 합이 S가 되는 경우의 수를 구하십시오.</t>
        </is>
      </c>
      <c r="M287" s="294" t="inlineStr">
        <is>
          <t>-</t>
        </is>
      </c>
    </row>
    <row r="288" ht="20" customHeight="1" s="209">
      <c r="A288" s="287" t="n">
        <v>287</v>
      </c>
      <c r="B288" s="288" t="inlineStr">
        <is>
          <t>D2</t>
        </is>
      </c>
      <c r="C288" s="287" t="inlineStr">
        <is>
          <t>중복순열</t>
        </is>
      </c>
      <c r="D288" s="289" t="inlineStr">
        <is>
          <t>중복순열에_대해서</t>
        </is>
      </c>
      <c r="E288" s="290" t="inlineStr">
        <is>
          <t>⬜ 대기</t>
        </is>
      </c>
      <c r="F288" s="287" t="inlineStr">
        <is>
          <t>-</t>
        </is>
      </c>
      <c r="G288" s="287" t="inlineStr">
        <is>
          <t>-</t>
        </is>
      </c>
      <c r="H288" s="291" t="inlineStr">
        <is>
          <t>Tier 2. 완전 탐색 &amp; 백트래킹 (A형 핵심)</t>
        </is>
      </c>
      <c r="I288" s="291" t="inlineStr">
        <is>
          <t>중복순열/D2_중복순열_중복순열에_대해서</t>
        </is>
      </c>
      <c r="J288" s="287" t="inlineStr">
        <is>
          <t>✅ 6종 완비</t>
        </is>
      </c>
      <c r="K288" s="291" t="inlineStr">
        <is>
          <t>Lv.3 개념뼈대 완결</t>
        </is>
      </c>
      <c r="L288" s="291" t="inlineStr">
        <is>
          <t>1부터 N까지의 자연수 중에서 중복을 허용하여 R개를 고른 모든 중복순열을 사전 순으로 출력하는 프로그램을 작성하십시오.</t>
        </is>
      </c>
      <c r="M288" s="291" t="inlineStr">
        <is>
          <t>-</t>
        </is>
      </c>
    </row>
    <row r="289" ht="20" customHeight="1" s="209">
      <c r="A289" s="292" t="n">
        <v>288</v>
      </c>
      <c r="B289" s="295" t="inlineStr">
        <is>
          <t>D3</t>
        </is>
      </c>
      <c r="C289" s="292" t="inlineStr">
        <is>
          <t>중복순열</t>
        </is>
      </c>
      <c r="D289" s="293" t="inlineStr">
        <is>
          <t>과일_탕후루_제작</t>
        </is>
      </c>
      <c r="E289" s="290" t="inlineStr">
        <is>
          <t>⬜ 대기</t>
        </is>
      </c>
      <c r="F289" s="292" t="inlineStr">
        <is>
          <t>-</t>
        </is>
      </c>
      <c r="G289" s="292" t="inlineStr">
        <is>
          <t>-</t>
        </is>
      </c>
      <c r="H289" s="294" t="inlineStr">
        <is>
          <t>Tier 2. 완전 탐색 &amp; 백트래킹 (A형 핵심)</t>
        </is>
      </c>
      <c r="I289" s="294" t="inlineStr">
        <is>
          <t>중복순열/D3_중복순열_과일_탕후루_제작</t>
        </is>
      </c>
      <c r="J289" s="292" t="inlineStr">
        <is>
          <t>✅ 6종 완비</t>
        </is>
      </c>
      <c r="K289" s="294" t="inlineStr">
        <is>
          <t>Lv.5 실전 응용 (스토리텔링)</t>
        </is>
      </c>
      <c r="L289" s="294" t="inlineStr">
        <is>
          <t>축제 부스를 맡은 나은이는 여러 종류의 과일을 중복을 허용하여 꼬치에 꽂아 다채로운 맛의 탕후루 순서를 만들고 있다. 탕후루 가게에서 N가지 과일(1번부터 N번)을 중복을 허용하여 꼬치에 아래에서부터 차례로 K개를 ...</t>
        </is>
      </c>
      <c r="M289" s="294" t="inlineStr">
        <is>
          <t>-</t>
        </is>
      </c>
    </row>
    <row r="290" ht="20" customHeight="1" s="209">
      <c r="A290" s="287" t="n">
        <v>289</v>
      </c>
      <c r="B290" s="295" t="inlineStr">
        <is>
          <t>D3</t>
        </is>
      </c>
      <c r="C290" s="287" t="inlineStr">
        <is>
          <t>중복순열</t>
        </is>
      </c>
      <c r="D290" s="289" t="inlineStr">
        <is>
          <t>선우의_연산자_끼워넣기_중복_순열</t>
        </is>
      </c>
      <c r="E290" s="290" t="inlineStr">
        <is>
          <t>⬜ 대기</t>
        </is>
      </c>
      <c r="F290" s="287" t="inlineStr">
        <is>
          <t>-</t>
        </is>
      </c>
      <c r="G290" s="287" t="inlineStr">
        <is>
          <t>-</t>
        </is>
      </c>
      <c r="H290" s="291" t="inlineStr">
        <is>
          <t>Tier 2. 완전 탐색 &amp; 백트래킹 (A형 핵심)</t>
        </is>
      </c>
      <c r="I290" s="291" t="inlineStr">
        <is>
          <t>중복순열/D3_중복순열_선우의_연산자_끼워넣기_중복_순열</t>
        </is>
      </c>
      <c r="J290" s="287" t="inlineStr">
        <is>
          <t>✅ 6종 완비</t>
        </is>
      </c>
      <c r="K290" s="291" t="inlineStr">
        <is>
          <t>Lv.5 실전 응용 (스토리텔링)</t>
        </is>
      </c>
      <c r="L290" s="291" t="inlineStr">
        <is>
          <t>수학 퍼즐을 만드는 선우는 N개의 양의 정수로 이루어진 수열 A = [A_1, A_2, ..., A_N]을 가지고 있습니다. 수 사이의 N-1개의 빈칸에 덧셈('+') 또는 곱셈('*') 연산자를 중복을 허용하여 끼...</t>
        </is>
      </c>
      <c r="M290" s="291" t="inlineStr">
        <is>
          <t>-</t>
        </is>
      </c>
    </row>
    <row r="291" ht="20" customHeight="1" s="209">
      <c r="A291" s="292" t="n">
        <v>290</v>
      </c>
      <c r="B291" s="295" t="inlineStr">
        <is>
          <t>D3</t>
        </is>
      </c>
      <c r="C291" s="292" t="inlineStr">
        <is>
          <t>중복순열</t>
        </is>
      </c>
      <c r="D291" s="293" t="inlineStr">
        <is>
          <t>신호등_점등_패턴</t>
        </is>
      </c>
      <c r="E291" s="290" t="inlineStr">
        <is>
          <t>⬜ 대기</t>
        </is>
      </c>
      <c r="F291" s="292" t="inlineStr">
        <is>
          <t>-</t>
        </is>
      </c>
      <c r="G291" s="292" t="inlineStr">
        <is>
          <t>-</t>
        </is>
      </c>
      <c r="H291" s="294" t="inlineStr">
        <is>
          <t>Tier 2. 완전 탐색 &amp; 백트래킹 (A형 핵심)</t>
        </is>
      </c>
      <c r="I291" s="294" t="inlineStr">
        <is>
          <t>중복순열/D3_중복순열_신호등_점등_패턴</t>
        </is>
      </c>
      <c r="J291" s="292" t="inlineStr">
        <is>
          <t>✅ 6종 완비</t>
        </is>
      </c>
      <c r="K291" s="294" t="inlineStr">
        <is>
          <t>Lv.5 실전 응용 (스토리텔링)</t>
        </is>
      </c>
      <c r="L291" s="294" t="inlineStr">
        <is>
          <t>교통 안전 모니터링을 담당하는 유주는 교차로 신호등의 불빛 점등 신호 패턴을 중복순열 조합으로 분석하고 있다. 신호등에는 R(빨강), G(초록), B(파랑) 3가지 색이 있습니다.</t>
        </is>
      </c>
      <c r="M291" s="294" t="inlineStr">
        <is>
          <t>-</t>
        </is>
      </c>
    </row>
    <row r="292" ht="20" customHeight="1" s="209">
      <c r="A292" s="287" t="n">
        <v>291</v>
      </c>
      <c r="B292" s="295" t="inlineStr">
        <is>
          <t>D3</t>
        </is>
      </c>
      <c r="C292" s="287" t="inlineStr">
        <is>
          <t>중복순열</t>
        </is>
      </c>
      <c r="D292" s="289" t="inlineStr">
        <is>
          <t>은우의_비밀번호_모든_조합_시도</t>
        </is>
      </c>
      <c r="E292" s="290" t="inlineStr">
        <is>
          <t>⬜ 대기</t>
        </is>
      </c>
      <c r="F292" s="287" t="inlineStr">
        <is>
          <t>-</t>
        </is>
      </c>
      <c r="G292" s="287" t="inlineStr">
        <is>
          <t>-</t>
        </is>
      </c>
      <c r="H292" s="291" t="inlineStr">
        <is>
          <t>Tier 2. 완전 탐색 &amp; 백트래킹 (A형 핵심)</t>
        </is>
      </c>
      <c r="I292" s="291" t="inlineStr">
        <is>
          <t>중복순열/D3_중복순열_은우의_비밀번호_모든_조합_시도</t>
        </is>
      </c>
      <c r="J292" s="287" t="inlineStr">
        <is>
          <t>✅ 6종 완비</t>
        </is>
      </c>
      <c r="K292" s="291" t="inlineStr">
        <is>
          <t>Lv.5 실전 응용 (스토리텔링)</t>
        </is>
      </c>
      <c r="L292" s="291" t="inlineStr">
        <is>
          <t>보안 시스템을 테스트하는 연구원 은우는 N자리로 구성된 디지털 자물쇠의 마스터 패스워드를 분석하고 있습니다. 자물쇠의 각 자리에는 1부터 M까지의 숫자를 중복해서 사용할 수 있습니다.</t>
        </is>
      </c>
      <c r="M292" s="291" t="inlineStr">
        <is>
          <t>-</t>
        </is>
      </c>
    </row>
    <row r="293" ht="20" customHeight="1" s="209">
      <c r="A293" s="292" t="n">
        <v>292</v>
      </c>
      <c r="B293" s="295" t="inlineStr">
        <is>
          <t>D3</t>
        </is>
      </c>
      <c r="C293" s="292" t="inlineStr">
        <is>
          <t>중복순열</t>
        </is>
      </c>
      <c r="D293" s="293" t="inlineStr">
        <is>
          <t>주사위_눈금_합</t>
        </is>
      </c>
      <c r="E293" s="290" t="inlineStr">
        <is>
          <t>⬜ 대기</t>
        </is>
      </c>
      <c r="F293" s="292" t="inlineStr">
        <is>
          <t>-</t>
        </is>
      </c>
      <c r="G293" s="292" t="inlineStr">
        <is>
          <t>-</t>
        </is>
      </c>
      <c r="H293" s="294" t="inlineStr">
        <is>
          <t>Tier 2. 완전 탐색 &amp; 백트래킹 (A형 핵심)</t>
        </is>
      </c>
      <c r="I293" s="294" t="inlineStr">
        <is>
          <t>중복순열/D3_중복순열_주사위_눈금_합</t>
        </is>
      </c>
      <c r="J293" s="292" t="inlineStr">
        <is>
          <t>✅ 6종 완비</t>
        </is>
      </c>
      <c r="K293" s="294" t="inlineStr">
        <is>
          <t>Lv.5 실전 응용 (스토리텔링)</t>
        </is>
      </c>
      <c r="L293" s="294" t="inlineStr">
        <is>
          <t>보드게임 제작자 이준이는 N개의 주사위를 굴렸을 때 나올 수 있는 모든 눈금의 순서쌍 중 특정 합을 만족하는 경우의 수를 집계하고 있다. 1부터 M까지의 눈금이 있는 M면체 주사위를 K번 던집니다 (중복 허용, 던지...</t>
        </is>
      </c>
      <c r="M293" s="294" t="inlineStr">
        <is>
          <t>-</t>
        </is>
      </c>
    </row>
    <row r="294" ht="20" customHeight="1" s="209">
      <c r="A294" s="287" t="n">
        <v>293</v>
      </c>
      <c r="B294" s="296" t="inlineStr">
        <is>
          <t>D4</t>
        </is>
      </c>
      <c r="C294" s="287" t="inlineStr">
        <is>
          <t>중복순열</t>
        </is>
      </c>
      <c r="D294" s="289" t="inlineStr">
        <is>
          <t>N_Queen_배치_최적화</t>
        </is>
      </c>
      <c r="E294" s="290" t="inlineStr">
        <is>
          <t>⬜ 대기</t>
        </is>
      </c>
      <c r="F294" s="287" t="inlineStr">
        <is>
          <t>-</t>
        </is>
      </c>
      <c r="G294" s="287" t="inlineStr">
        <is>
          <t>-</t>
        </is>
      </c>
      <c r="H294" s="291" t="inlineStr">
        <is>
          <t>Tier 2. 완전 탐색 &amp; 백트래킹 (A형 핵심)</t>
        </is>
      </c>
      <c r="I294" s="291" t="inlineStr">
        <is>
          <t>중복순열/D4_중복순열_N_Queen_배치_최적화</t>
        </is>
      </c>
      <c r="J294" s="287" t="inlineStr">
        <is>
          <t>✅ 6종 완비</t>
        </is>
      </c>
      <c r="K294" s="291" t="inlineStr">
        <is>
          <t>Lv.6 복합 제약 &amp; 시공간 최적화</t>
        </is>
      </c>
      <c r="L294" s="291" t="inlineStr">
        <is>
          <t>체스판의 크기 N이 주어질 때 N개의 퀸을 서로 공격할 수 없게 배치하는 총 경우의 수를 구하십시오.</t>
        </is>
      </c>
      <c r="M294" s="291" t="inlineStr">
        <is>
          <t>-</t>
        </is>
      </c>
    </row>
    <row r="295" ht="20" customHeight="1" s="209">
      <c r="A295" s="292" t="n">
        <v>294</v>
      </c>
      <c r="B295" s="296" t="inlineStr">
        <is>
          <t>D4</t>
        </is>
      </c>
      <c r="C295" s="292" t="inlineStr">
        <is>
          <t>중복순열</t>
        </is>
      </c>
      <c r="D295" s="293" t="inlineStr">
        <is>
          <t>괄호_문자열_유효_생성_카탈란</t>
        </is>
      </c>
      <c r="E295" s="290" t="inlineStr">
        <is>
          <t>⬜ 대기</t>
        </is>
      </c>
      <c r="F295" s="292" t="inlineStr">
        <is>
          <t>-</t>
        </is>
      </c>
      <c r="G295" s="292" t="inlineStr">
        <is>
          <t>-</t>
        </is>
      </c>
      <c r="H295" s="294" t="inlineStr">
        <is>
          <t>Tier 2. 완전 탐색 &amp; 백트래킹 (A형 핵심)</t>
        </is>
      </c>
      <c r="I295" s="294" t="inlineStr">
        <is>
          <t>중복순열/D4_중복순열_괄호_문자열_유효_생성_카탈란</t>
        </is>
      </c>
      <c r="J295" s="292" t="inlineStr">
        <is>
          <t>✅ 6종 완비</t>
        </is>
      </c>
      <c r="K295" s="294" t="inlineStr">
        <is>
          <t>Lv.6 복합 제약 &amp; 시공간 최적화</t>
        </is>
      </c>
      <c r="L295" s="294" t="inlineStr">
        <is>
          <t>자연수 N이 주어질 때 N쌍의 괄호로 만들 수 있는 모든 올바른 괄호 문자열을 사전 순으로 출력하십시오.</t>
        </is>
      </c>
      <c r="M295" s="294" t="inlineStr">
        <is>
          <t>-</t>
        </is>
      </c>
    </row>
    <row r="296" ht="20" customHeight="1" s="209">
      <c r="A296" s="287" t="n">
        <v>295</v>
      </c>
      <c r="B296" s="296" t="inlineStr">
        <is>
          <t>D4</t>
        </is>
      </c>
      <c r="C296" s="287" t="inlineStr">
        <is>
          <t>중복순열</t>
        </is>
      </c>
      <c r="D296" s="289" t="inlineStr">
        <is>
          <t>로봇_이동_명령어_조합</t>
        </is>
      </c>
      <c r="E296" s="290" t="inlineStr">
        <is>
          <t>⬜ 대기</t>
        </is>
      </c>
      <c r="F296" s="287" t="inlineStr">
        <is>
          <t>-</t>
        </is>
      </c>
      <c r="G296" s="287" t="inlineStr">
        <is>
          <t>-</t>
        </is>
      </c>
      <c r="H296" s="291" t="inlineStr">
        <is>
          <t>Tier 2. 완전 탐색 &amp; 백트래킹 (A형 핵심)</t>
        </is>
      </c>
      <c r="I296" s="291" t="inlineStr">
        <is>
          <t>중복순열/D4_중복순열_로봇_이동_명령어_조합</t>
        </is>
      </c>
      <c r="J296" s="287" t="inlineStr">
        <is>
          <t>✅ 6종 완비</t>
        </is>
      </c>
      <c r="K296" s="291" t="inlineStr">
        <is>
          <t>Lv.6 복합 제약 &amp; 시공간 최적화</t>
        </is>
      </c>
      <c r="L296" s="291" t="inlineStr">
        <is>
          <t>N x N 크기의 격자판이 있습니다. (0,0)에 있는 로봇에게 상(0), 하(1), 좌(2), 우(3) 4개 이동 명령 중 중복을 허용하여 총 K개의 명령어를 차례대로 전송합니다. 격자에는 이동할 수 없는 장애물(...</t>
        </is>
      </c>
      <c r="M296" s="291" t="inlineStr">
        <is>
          <t>-</t>
        </is>
      </c>
    </row>
    <row r="297" ht="20" customHeight="1" s="209">
      <c r="A297" s="292" t="n">
        <v>296</v>
      </c>
      <c r="B297" s="296" t="inlineStr">
        <is>
          <t>D4</t>
        </is>
      </c>
      <c r="C297" s="292" t="inlineStr">
        <is>
          <t>중복순열</t>
        </is>
      </c>
      <c r="D297" s="293" t="inlineStr">
        <is>
          <t>모스부호_문자열_복원</t>
        </is>
      </c>
      <c r="E297" s="290" t="inlineStr">
        <is>
          <t>⬜ 대기</t>
        </is>
      </c>
      <c r="F297" s="292" t="inlineStr">
        <is>
          <t>-</t>
        </is>
      </c>
      <c r="G297" s="292" t="inlineStr">
        <is>
          <t>-</t>
        </is>
      </c>
      <c r="H297" s="294" t="inlineStr">
        <is>
          <t>Tier 2. 완전 탐색 &amp; 백트래킹 (A형 핵심)</t>
        </is>
      </c>
      <c r="I297" s="294" t="inlineStr">
        <is>
          <t>중복순열/D4_중복순열_모스부호_문자열_복원</t>
        </is>
      </c>
      <c r="J297" s="292" t="inlineStr">
        <is>
          <t>✅ 6종 완비</t>
        </is>
      </c>
      <c r="K297" s="294" t="inlineStr">
        <is>
          <t>Lv.6 복합 제약 &amp; 시공간 최적화</t>
        </is>
      </c>
      <c r="L297" s="294" t="inlineStr">
        <is>
          <t>단파 무전기에서 점('.')과 선('-')으로 이루어진 길이 L의 암호 신호가 수신되었습니다. 알파벳 4개(A: .-, B: -..., C: -.-., D: -..)의 모스 부호가 주어져 있습니다.</t>
        </is>
      </c>
      <c r="M297" s="294" t="inlineStr">
        <is>
          <t>-</t>
        </is>
      </c>
    </row>
    <row r="298" ht="20" customHeight="1" s="209">
      <c r="A298" s="287" t="n">
        <v>297</v>
      </c>
      <c r="B298" s="296" t="inlineStr">
        <is>
          <t>D4</t>
        </is>
      </c>
      <c r="C298" s="287" t="inlineStr">
        <is>
          <t>중복순열</t>
        </is>
      </c>
      <c r="D298" s="289" t="inlineStr">
        <is>
          <t>스도쿠_퍼즐_백트래킹_완성</t>
        </is>
      </c>
      <c r="E298" s="290" t="inlineStr">
        <is>
          <t>⬜ 대기</t>
        </is>
      </c>
      <c r="F298" s="287" t="inlineStr">
        <is>
          <t>-</t>
        </is>
      </c>
      <c r="G298" s="287" t="inlineStr">
        <is>
          <t>-</t>
        </is>
      </c>
      <c r="H298" s="291" t="inlineStr">
        <is>
          <t>Tier 2. 완전 탐색 &amp; 백트래킹 (A형 핵심)</t>
        </is>
      </c>
      <c r="I298" s="291" t="inlineStr">
        <is>
          <t>중복순열/D4_중복순열_스도쿠_퍼즐_백트래킹_완성</t>
        </is>
      </c>
      <c r="J298" s="287" t="inlineStr">
        <is>
          <t>✅ 6종 완비</t>
        </is>
      </c>
      <c r="K298" s="291" t="inlineStr">
        <is>
          <t>Lv.6 복합 제약 &amp; 시공간 최적화</t>
        </is>
      </c>
      <c r="L298" s="291" t="inlineStr">
        <is>
          <t>빈칸이 0으로 표시된 9 x 9 스도쿠 판이 주어질 때 완성된 스도쿠 퍼즐의 판을 출력하십시오.</t>
        </is>
      </c>
      <c r="M298" s="291" t="inlineStr">
        <is>
          <t>-</t>
        </is>
      </c>
    </row>
    <row r="299" ht="20" customHeight="1" s="209">
      <c r="A299" s="292" t="n">
        <v>298</v>
      </c>
      <c r="B299" s="288" t="inlineStr">
        <is>
          <t>D2</t>
        </is>
      </c>
      <c r="C299" s="292" t="inlineStr">
        <is>
          <t>중복조합</t>
        </is>
      </c>
      <c r="D299" s="293" t="inlineStr">
        <is>
          <t>무기명_투표_개표</t>
        </is>
      </c>
      <c r="E299" s="290" t="inlineStr">
        <is>
          <t>⬜ 대기</t>
        </is>
      </c>
      <c r="F299" s="292" t="inlineStr">
        <is>
          <t>-</t>
        </is>
      </c>
      <c r="G299" s="292" t="inlineStr">
        <is>
          <t>-</t>
        </is>
      </c>
      <c r="H299" s="294" t="inlineStr">
        <is>
          <t>Tier 2. 완전 탐색 &amp; 백트래킹 (A형 핵심)</t>
        </is>
      </c>
      <c r="I299" s="294" t="inlineStr">
        <is>
          <t>중복조합/D2_중복조합_무기명_투표_개표</t>
        </is>
      </c>
      <c r="J299" s="292" t="inlineStr">
        <is>
          <t>✅ 6종 완비</t>
        </is>
      </c>
      <c r="K299" s="294" t="inlineStr">
        <is>
          <t>Lv.4 경계완충/징검다리</t>
        </is>
      </c>
      <c r="L299" s="294" t="inlineStr">
        <is>
          <t>K명의 유권자가 N명의 후보(1번부터 N번)에게 각각 1표씩 무기명으로 투표합니다. 무기명 투표이므로 누가 누구에게 투표했는지는 알 수 없고, 각 후보가 받은 득표수의 결과만 구분됩니다.</t>
        </is>
      </c>
      <c r="M299" s="294" t="inlineStr">
        <is>
          <t>-</t>
        </is>
      </c>
    </row>
    <row r="300" ht="20" customHeight="1" s="209">
      <c r="A300" s="287" t="n">
        <v>299</v>
      </c>
      <c r="B300" s="288" t="inlineStr">
        <is>
          <t>D2</t>
        </is>
      </c>
      <c r="C300" s="287" t="inlineStr">
        <is>
          <t>중복조합</t>
        </is>
      </c>
      <c r="D300" s="289" t="inlineStr">
        <is>
          <t>사탕_바구니_나누기</t>
        </is>
      </c>
      <c r="E300" s="290" t="inlineStr">
        <is>
          <t>⬜ 대기</t>
        </is>
      </c>
      <c r="F300" s="287" t="inlineStr">
        <is>
          <t>-</t>
        </is>
      </c>
      <c r="G300" s="287" t="inlineStr">
        <is>
          <t>-</t>
        </is>
      </c>
      <c r="H300" s="291" t="inlineStr">
        <is>
          <t>Tier 2. 완전 탐색 &amp; 백트래킹 (A형 핵심)</t>
        </is>
      </c>
      <c r="I300" s="291" t="inlineStr">
        <is>
          <t>중복조합/D2_중복조합_사탕_바구니_나누기</t>
        </is>
      </c>
      <c r="J300" s="287" t="inlineStr">
        <is>
          <t>✅ 6종 완비</t>
        </is>
      </c>
      <c r="K300" s="291" t="inlineStr">
        <is>
          <t>Lv.4 경계완충/징검다리</t>
        </is>
      </c>
      <c r="L300" s="291" t="inlineStr">
        <is>
          <t>N종류의 서로 다른 맛 사탕이 있습니다. 사탕 바구니에 중복을 허용하여 총 K개의 사탕을 담으려 합니다 (순서 무관). 바구니를 채울 수 있는 서로 다른 사탕 맛의 구성 가짓수를 구하시오.</t>
        </is>
      </c>
      <c r="M300" s="291" t="inlineStr">
        <is>
          <t>-</t>
        </is>
      </c>
    </row>
    <row r="301" ht="20" customHeight="1" s="209">
      <c r="A301" s="292" t="n">
        <v>300</v>
      </c>
      <c r="B301" s="288" t="inlineStr">
        <is>
          <t>D2</t>
        </is>
      </c>
      <c r="C301" s="292" t="inlineStr">
        <is>
          <t>중복조합</t>
        </is>
      </c>
      <c r="D301" s="293" t="inlineStr">
        <is>
          <t>사탕_분배_경우의수</t>
        </is>
      </c>
      <c r="E301" s="290" t="inlineStr">
        <is>
          <t>⬜ 대기</t>
        </is>
      </c>
      <c r="F301" s="292" t="inlineStr">
        <is>
          <t>-</t>
        </is>
      </c>
      <c r="G301" s="292" t="inlineStr">
        <is>
          <t>-</t>
        </is>
      </c>
      <c r="H301" s="294" t="inlineStr">
        <is>
          <t>Tier 2. 완전 탐색 &amp; 백트래킹 (A형 핵심)</t>
        </is>
      </c>
      <c r="I301" s="294" t="inlineStr">
        <is>
          <t>중복조합/D2_중복조합_사탕_분배_경우의수</t>
        </is>
      </c>
      <c r="J301" s="292" t="inlineStr">
        <is>
          <t>✅ 6종 완비</t>
        </is>
      </c>
      <c r="K301" s="294" t="inlineStr">
        <is>
          <t>Lv.4 경계완충/징검다리</t>
        </is>
      </c>
      <c r="L301" s="294" t="inlineStr">
        <is>
          <t>N과 R이 주어질 때 중복조합 nHr의 값을 1,000,000,007로 나눈 나머지를 구하십시오.</t>
        </is>
      </c>
      <c r="M301" s="294" t="inlineStr">
        <is>
          <t>-</t>
        </is>
      </c>
    </row>
    <row r="302" ht="20" customHeight="1" s="209">
      <c r="A302" s="287" t="n">
        <v>301</v>
      </c>
      <c r="B302" s="288" t="inlineStr">
        <is>
          <t>D2</t>
        </is>
      </c>
      <c r="C302" s="287" t="inlineStr">
        <is>
          <t>중복조합</t>
        </is>
      </c>
      <c r="D302" s="289" t="inlineStr">
        <is>
          <t>음이아닌_정수해_순서쌍</t>
        </is>
      </c>
      <c r="E302" s="290" t="inlineStr">
        <is>
          <t>⬜ 대기</t>
        </is>
      </c>
      <c r="F302" s="287" t="inlineStr">
        <is>
          <t>-</t>
        </is>
      </c>
      <c r="G302" s="287" t="inlineStr">
        <is>
          <t>-</t>
        </is>
      </c>
      <c r="H302" s="291" t="inlineStr">
        <is>
          <t>Tier 2. 완전 탐색 &amp; 백트래킹 (A형 핵심)</t>
        </is>
      </c>
      <c r="I302" s="291" t="inlineStr">
        <is>
          <t>중복조합/D2_중복조합_음이아닌_정수해_순서쌍</t>
        </is>
      </c>
      <c r="J302" s="287" t="inlineStr">
        <is>
          <t>✅ 6종 완비</t>
        </is>
      </c>
      <c r="K302" s="291" t="inlineStr">
        <is>
          <t>Lv.4 경계완충/징검다리</t>
        </is>
      </c>
      <c r="L302" s="291" t="inlineStr">
        <is>
          <t>변수의 개수 N과 합 S가 주어질 때 음이 아닌 정수해 순서쌍의 개수를 1,000,000,007로 나눈 나머지를 구하십시오.</t>
        </is>
      </c>
      <c r="M302" s="291" t="inlineStr">
        <is>
          <t>-</t>
        </is>
      </c>
    </row>
    <row r="303" ht="20" customHeight="1" s="209">
      <c r="A303" s="292" t="n">
        <v>302</v>
      </c>
      <c r="B303" s="288" t="inlineStr">
        <is>
          <t>D2</t>
        </is>
      </c>
      <c r="C303" s="292" t="inlineStr">
        <is>
          <t>중복조합</t>
        </is>
      </c>
      <c r="D303" s="293" t="inlineStr">
        <is>
          <t>중복조합에_대해서</t>
        </is>
      </c>
      <c r="E303" s="290" t="inlineStr">
        <is>
          <t>⬜ 대기</t>
        </is>
      </c>
      <c r="F303" s="292" t="inlineStr">
        <is>
          <t>-</t>
        </is>
      </c>
      <c r="G303" s="292" t="inlineStr">
        <is>
          <t>-</t>
        </is>
      </c>
      <c r="H303" s="294" t="inlineStr">
        <is>
          <t>Tier 2. 완전 탐색 &amp; 백트래킹 (A형 핵심)</t>
        </is>
      </c>
      <c r="I303" s="294" t="inlineStr">
        <is>
          <t>중복조합/D2_중복조합_중복조합에_대해서</t>
        </is>
      </c>
      <c r="J303" s="292" t="inlineStr">
        <is>
          <t>✅ 6종 완비</t>
        </is>
      </c>
      <c r="K303" s="294" t="inlineStr">
        <is>
          <t>Lv.3 개념뼈대 완결</t>
        </is>
      </c>
      <c r="L303" s="294" t="inlineStr">
        <is>
          <t>1부터 N까지의 자연수 중에서 중복을 허용하여 R개를 고른 모든 중복조합을 사전 순으로 출력하는 프로그램을 작성하십시오.</t>
        </is>
      </c>
      <c r="M303" s="294" t="inlineStr">
        <is>
          <t>-</t>
        </is>
      </c>
    </row>
    <row r="304" ht="20" customHeight="1" s="209">
      <c r="A304" s="287" t="n">
        <v>303</v>
      </c>
      <c r="B304" s="295" t="inlineStr">
        <is>
          <t>D3</t>
        </is>
      </c>
      <c r="C304" s="287" t="inlineStr">
        <is>
          <t>중복조합</t>
        </is>
      </c>
      <c r="D304" s="289" t="inlineStr">
        <is>
          <t>과일빙수_스쿱</t>
        </is>
      </c>
      <c r="E304" s="290" t="inlineStr">
        <is>
          <t>⬜ 대기</t>
        </is>
      </c>
      <c r="F304" s="287" t="inlineStr">
        <is>
          <t>-</t>
        </is>
      </c>
      <c r="G304" s="287" t="inlineStr">
        <is>
          <t>-</t>
        </is>
      </c>
      <c r="H304" s="291" t="inlineStr">
        <is>
          <t>Tier 2. 완전 탐색 &amp; 백트래킹 (A형 핵심)</t>
        </is>
      </c>
      <c r="I304" s="291" t="inlineStr">
        <is>
          <t>중복조합/D3_중복조합_과일빙수_스쿱</t>
        </is>
      </c>
      <c r="J304" s="287" t="inlineStr">
        <is>
          <t>✅ 6종 완비</t>
        </is>
      </c>
      <c r="K304" s="291" t="inlineStr">
        <is>
          <t>Lv.5 실전 응용 (스토리텔링)</t>
        </is>
      </c>
      <c r="L304" s="291" t="inlineStr">
        <is>
          <t>빙수 전문점에서 N가지 과일(1번부터 N번) 중 중복을 허용하여 총 K스쿱을 큰 그릇에 담아 과일빙수를 만듭니다. 한 그릇에 모두 비벼 먹으므로 담는 순서는 상관없습니다.</t>
        </is>
      </c>
      <c r="M304" s="291" t="inlineStr">
        <is>
          <t>-</t>
        </is>
      </c>
    </row>
    <row r="305" ht="20" customHeight="1" s="209">
      <c r="A305" s="292" t="n">
        <v>304</v>
      </c>
      <c r="B305" s="295" t="inlineStr">
        <is>
          <t>D3</t>
        </is>
      </c>
      <c r="C305" s="292" t="inlineStr">
        <is>
          <t>중복조합</t>
        </is>
      </c>
      <c r="D305" s="293" t="inlineStr">
        <is>
          <t>로운이의_아이스크림_맛_고르기</t>
        </is>
      </c>
      <c r="E305" s="290" t="inlineStr">
        <is>
          <t>⬜ 대기</t>
        </is>
      </c>
      <c r="F305" s="292" t="inlineStr">
        <is>
          <t>-</t>
        </is>
      </c>
      <c r="G305" s="292" t="inlineStr">
        <is>
          <t>-</t>
        </is>
      </c>
      <c r="H305" s="294" t="inlineStr">
        <is>
          <t>Tier 2. 완전 탐색 &amp; 백트래킹 (A형 핵심)</t>
        </is>
      </c>
      <c r="I305" s="294" t="inlineStr">
        <is>
          <t>중복조합/D3_중복조합_로운이의_아이스크림_맛_고르기</t>
        </is>
      </c>
      <c r="J305" s="292" t="inlineStr">
        <is>
          <t>✅ 6종 완비</t>
        </is>
      </c>
      <c r="K305" s="294" t="inlineStr">
        <is>
          <t>Lv.5 실전 응용 (스토리텔링)</t>
        </is>
      </c>
      <c r="L305" s="294" t="inlineStr">
        <is>
          <t>디저트 카페 매니저 로운이는 손님들에게 제공할 R스쿱짜리 아이스크림 세트를 구성하고 있습니다. 매장에는 1번부터 N번까지 N가지 서로 다른 맛의 아이스크림이 준비되어 있습니다.</t>
        </is>
      </c>
      <c r="M305" s="294" t="inlineStr">
        <is>
          <t>-</t>
        </is>
      </c>
    </row>
    <row r="306" ht="20" customHeight="1" s="209">
      <c r="A306" s="287" t="n">
        <v>305</v>
      </c>
      <c r="B306" s="295" t="inlineStr">
        <is>
          <t>D3</t>
        </is>
      </c>
      <c r="C306" s="287" t="inlineStr">
        <is>
          <t>중복조합</t>
        </is>
      </c>
      <c r="D306" s="289" t="inlineStr">
        <is>
          <t>방정식_정수해_개수</t>
        </is>
      </c>
      <c r="E306" s="290" t="inlineStr">
        <is>
          <t>⬜ 대기</t>
        </is>
      </c>
      <c r="F306" s="287" t="inlineStr">
        <is>
          <t>-</t>
        </is>
      </c>
      <c r="G306" s="287" t="inlineStr">
        <is>
          <t>-</t>
        </is>
      </c>
      <c r="H306" s="291" t="inlineStr">
        <is>
          <t>Tier 2. 완전 탐색 &amp; 백트래킹 (A형 핵심)</t>
        </is>
      </c>
      <c r="I306" s="291" t="inlineStr">
        <is>
          <t>중복조합/D3_중복조합_방정식_정수해_개수</t>
        </is>
      </c>
      <c r="J306" s="287" t="inlineStr">
        <is>
          <t>✅ 6종 완비</t>
        </is>
      </c>
      <c r="K306" s="291" t="inlineStr">
        <is>
          <t>Lv.5 실전 응용 (스토리텔링)</t>
        </is>
      </c>
      <c r="L306" s="291" t="inlineStr">
        <is>
          <t>수학 퀴즈 동아리의 도하는 음이 아닌 정수해를 구하는 연립 방정식 문제를 중복조합 원리로 풀어내는 프로그램을 작성하고 있다. 방정식 x_1 + x_2 + ... + x_N = K 를 만족하는 정수해의 개수를 구합니다...</t>
        </is>
      </c>
      <c r="M306" s="291" t="inlineStr">
        <is>
          <t>-</t>
        </is>
      </c>
    </row>
    <row r="307" ht="20" customHeight="1" s="209">
      <c r="A307" s="292" t="n">
        <v>306</v>
      </c>
      <c r="B307" s="295" t="inlineStr">
        <is>
          <t>D3</t>
        </is>
      </c>
      <c r="C307" s="292" t="inlineStr">
        <is>
          <t>중복조합</t>
        </is>
      </c>
      <c r="D307" s="293" t="inlineStr">
        <is>
          <t>비내림차순_수열_생성</t>
        </is>
      </c>
      <c r="E307" s="290" t="inlineStr">
        <is>
          <t>⬜ 대기</t>
        </is>
      </c>
      <c r="F307" s="292" t="inlineStr">
        <is>
          <t>-</t>
        </is>
      </c>
      <c r="G307" s="292" t="inlineStr">
        <is>
          <t>-</t>
        </is>
      </c>
      <c r="H307" s="294" t="inlineStr">
        <is>
          <t>Tier 2. 완전 탐색 &amp; 백트래킹 (A형 핵심)</t>
        </is>
      </c>
      <c r="I307" s="294" t="inlineStr">
        <is>
          <t>중복조합/D3_중복조합_비내림차순_수열_생성</t>
        </is>
      </c>
      <c r="J307" s="292" t="inlineStr">
        <is>
          <t>✅ 6종 완비</t>
        </is>
      </c>
      <c r="K307" s="294" t="inlineStr">
        <is>
          <t>Lv.5 실전 응용 (스토리텔링)</t>
        </is>
      </c>
      <c r="L307" s="294" t="inlineStr">
        <is>
          <t>음악 작곡가 이서는 피아노 건반의 음높이가 점점 낮아지지 않는 아름다운 멜로디 수열을 중복조합 원리로 생성하고 있다. 1부터 N까지의 자연수 중 중복을 허용하여 K개를 골라 비내림차순(a_1 &lt;= a_2 &lt;= ......</t>
        </is>
      </c>
      <c r="M307" s="294" t="inlineStr">
        <is>
          <t>-</t>
        </is>
      </c>
    </row>
    <row r="308" ht="20" customHeight="1" s="209">
      <c r="A308" s="287" t="n">
        <v>307</v>
      </c>
      <c r="B308" s="295" t="inlineStr">
        <is>
          <t>D3</t>
        </is>
      </c>
      <c r="C308" s="287" t="inlineStr">
        <is>
          <t>중복조합</t>
        </is>
      </c>
      <c r="D308" s="289" t="inlineStr">
        <is>
          <t>유주의_구슬_바구니_나누기</t>
        </is>
      </c>
      <c r="E308" s="290" t="inlineStr">
        <is>
          <t>⬜ 대기</t>
        </is>
      </c>
      <c r="F308" s="287" t="inlineStr">
        <is>
          <t>-</t>
        </is>
      </c>
      <c r="G308" s="287" t="inlineStr">
        <is>
          <t>-</t>
        </is>
      </c>
      <c r="H308" s="291" t="inlineStr">
        <is>
          <t>Tier 2. 완전 탐색 &amp; 백트래킹 (A형 핵심)</t>
        </is>
      </c>
      <c r="I308" s="291" t="inlineStr">
        <is>
          <t>중복조합/D3_중복조합_유주의_구슬_바구니_나누기</t>
        </is>
      </c>
      <c r="J308" s="287" t="inlineStr">
        <is>
          <t>✅ 6종 완비</t>
        </is>
      </c>
      <c r="K308" s="291" t="inlineStr">
        <is>
          <t>Lv.5 실전 응용 (스토리텔링)</t>
        </is>
      </c>
      <c r="L308" s="291" t="inlineStr">
        <is>
          <t>어린이집 교사 유주는 K개의 똑같은 유리구슬을 1번부터 N번까지 번호가 붙은 서로 다른 N개의 바구니에 나누어 담는 놀이를 준비하고 있습니다. 유주는 공평하고 질서 있는 놀이를 위해 바구니에 담기는 구슬의 개수가 '...</t>
        </is>
      </c>
      <c r="M308" s="291" t="inlineStr">
        <is>
          <t>-</t>
        </is>
      </c>
    </row>
    <row r="309" ht="20" customHeight="1" s="209">
      <c r="A309" s="292" t="n">
        <v>308</v>
      </c>
      <c r="B309" s="296" t="inlineStr">
        <is>
          <t>D4</t>
        </is>
      </c>
      <c r="C309" s="292" t="inlineStr">
        <is>
          <t>중복조합</t>
        </is>
      </c>
      <c r="D309" s="293" t="inlineStr">
        <is>
          <t>다항식_항_생성</t>
        </is>
      </c>
      <c r="E309" s="290" t="inlineStr">
        <is>
          <t>⬜ 대기</t>
        </is>
      </c>
      <c r="F309" s="292" t="inlineStr">
        <is>
          <t>-</t>
        </is>
      </c>
      <c r="G309" s="292" t="inlineStr">
        <is>
          <t>-</t>
        </is>
      </c>
      <c r="H309" s="294" t="inlineStr">
        <is>
          <t>Tier 2. 완전 탐색 &amp; 백트래킹 (A형 핵심)</t>
        </is>
      </c>
      <c r="I309" s="294" t="inlineStr">
        <is>
          <t>중복조합/D4_중복조합_다항식_항_생성</t>
        </is>
      </c>
      <c r="J309" s="292" t="inlineStr">
        <is>
          <t>✅ 6종 완비</t>
        </is>
      </c>
      <c r="K309" s="294" t="inlineStr">
        <is>
          <t>Lv.6 복합 제약 &amp; 시공간 최적화</t>
        </is>
      </c>
      <c r="L309" s="294" t="inlineStr">
        <is>
          <t>다항식 (x_1 + x_2 + ... + x_N)^K 를 전개했을 때 나타나는 서로 다른 단항식은 중복조합 nHk 개가 존재합니다. 각 단항식의 형태는 x_1^(e_1) * x_2^(e_2) * ... * x_N^(...</t>
        </is>
      </c>
      <c r="M309" s="294" t="inlineStr">
        <is>
          <t>-</t>
        </is>
      </c>
    </row>
    <row r="310" ht="20" customHeight="1" s="209">
      <c r="A310" s="287" t="n">
        <v>309</v>
      </c>
      <c r="B310" s="296" t="inlineStr">
        <is>
          <t>D4</t>
        </is>
      </c>
      <c r="C310" s="287" t="inlineStr">
        <is>
          <t>중복조합</t>
        </is>
      </c>
      <c r="D310" s="289" t="inlineStr">
        <is>
          <t>동전_교환_경우의수_무제한_배낭</t>
        </is>
      </c>
      <c r="E310" s="290" t="inlineStr">
        <is>
          <t>⬜ 대기</t>
        </is>
      </c>
      <c r="F310" s="287" t="inlineStr">
        <is>
          <t>-</t>
        </is>
      </c>
      <c r="G310" s="287" t="inlineStr">
        <is>
          <t>-</t>
        </is>
      </c>
      <c r="H310" s="291" t="inlineStr">
        <is>
          <t>Tier 2. 완전 탐색 &amp; 백트래킹 (A형 핵심)</t>
        </is>
      </c>
      <c r="I310" s="291" t="inlineStr">
        <is>
          <t>중복조합/D4_중복조합_동전_교환_경우의수_무제한_배낭</t>
        </is>
      </c>
      <c r="J310" s="287" t="inlineStr">
        <is>
          <t>✅ 6종 완비</t>
        </is>
      </c>
      <c r="K310" s="291" t="inlineStr">
        <is>
          <t>Lv.6 복합 제약 &amp; 시공간 최적화</t>
        </is>
      </c>
      <c r="L310" s="291" t="inlineStr">
        <is>
          <t>N가지 동전 종류와 목표 금액 K가 주어질 때 K원을 만드는 조합의 경우의 수를 구하십시오.</t>
        </is>
      </c>
      <c r="M310" s="291" t="inlineStr">
        <is>
          <t>-</t>
        </is>
      </c>
    </row>
    <row r="311" ht="20" customHeight="1" s="209">
      <c r="A311" s="292" t="n">
        <v>310</v>
      </c>
      <c r="B311" s="296" t="inlineStr">
        <is>
          <t>D4</t>
        </is>
      </c>
      <c r="C311" s="292" t="inlineStr">
        <is>
          <t>중복조합</t>
        </is>
      </c>
      <c r="D311" s="293" t="inlineStr">
        <is>
          <t>자연수_분할_분할수_DP</t>
        </is>
      </c>
      <c r="E311" s="290" t="inlineStr">
        <is>
          <t>⬜ 대기</t>
        </is>
      </c>
      <c r="F311" s="292" t="inlineStr">
        <is>
          <t>-</t>
        </is>
      </c>
      <c r="G311" s="292" t="inlineStr">
        <is>
          <t>-</t>
        </is>
      </c>
      <c r="H311" s="294" t="inlineStr">
        <is>
          <t>Tier 2. 완전 탐색 &amp; 백트래킹 (A형 핵심)</t>
        </is>
      </c>
      <c r="I311" s="294" t="inlineStr">
        <is>
          <t>중복조합/D4_중복조합_자연수_분할_분할수_DP</t>
        </is>
      </c>
      <c r="J311" s="292" t="inlineStr">
        <is>
          <t>✅ 6종 완비</t>
        </is>
      </c>
      <c r="K311" s="294" t="inlineStr">
        <is>
          <t>Lv.6 복합 제약 &amp; 시공간 최적화</t>
        </is>
      </c>
      <c r="L311" s="294" t="inlineStr">
        <is>
          <t>자연수 N이 주어질 때 분할수 P(N)을 1,000,000,007로 나눈 나머지를 구하십시오.</t>
        </is>
      </c>
      <c r="M311" s="294" t="inlineStr">
        <is>
          <t>-</t>
        </is>
      </c>
    </row>
    <row r="312" ht="20" customHeight="1" s="209">
      <c r="A312" s="287" t="n">
        <v>311</v>
      </c>
      <c r="B312" s="296" t="inlineStr">
        <is>
          <t>D4</t>
        </is>
      </c>
      <c r="C312" s="287" t="inlineStr">
        <is>
          <t>중복조합</t>
        </is>
      </c>
      <c r="D312" s="289" t="inlineStr">
        <is>
          <t>포션_제조_배합비</t>
        </is>
      </c>
      <c r="E312" s="290" t="inlineStr">
        <is>
          <t>⬜ 대기</t>
        </is>
      </c>
      <c r="F312" s="287" t="inlineStr">
        <is>
          <t>-</t>
        </is>
      </c>
      <c r="G312" s="287" t="inlineStr">
        <is>
          <t>-</t>
        </is>
      </c>
      <c r="H312" s="291" t="inlineStr">
        <is>
          <t>Tier 2. 완전 탐색 &amp; 백트래킹 (A형 핵심)</t>
        </is>
      </c>
      <c r="I312" s="291" t="inlineStr">
        <is>
          <t>중복조합/D4_중복조합_포션_제조_배합비</t>
        </is>
      </c>
      <c r="J312" s="287" t="inlineStr">
        <is>
          <t>✅ 6종 완비</t>
        </is>
      </c>
      <c r="K312" s="291" t="inlineStr">
        <is>
          <t>Lv.6 복합 제약 &amp; 시공간 최적화</t>
        </is>
      </c>
      <c r="L312" s="291" t="inlineStr">
        <is>
          <t>마법 연금술사가 N가지 시약(1번부터 N번)을 중복을 허용하여 총 K단위 배합하여 포션을 제조합니다. 시약 i를 x_i 단위 사용했을 때(x_1 + ... + x_N = K, x_i &gt;= 0), 해당 시약으로부터 얻...</t>
        </is>
      </c>
      <c r="M312" s="291" t="inlineStr">
        <is>
          <t>-</t>
        </is>
      </c>
    </row>
    <row r="313" ht="20" customHeight="1" s="209">
      <c r="A313" s="292" t="n">
        <v>312</v>
      </c>
      <c r="B313" s="296" t="inlineStr">
        <is>
          <t>D4</t>
        </is>
      </c>
      <c r="C313" s="292" t="inlineStr">
        <is>
          <t>중복조합</t>
        </is>
      </c>
      <c r="D313" s="293" t="inlineStr">
        <is>
          <t>포함배제의_원리_상한_제한_중복조합</t>
        </is>
      </c>
      <c r="E313" s="290" t="inlineStr">
        <is>
          <t>⬜ 대기</t>
        </is>
      </c>
      <c r="F313" s="292" t="inlineStr">
        <is>
          <t>-</t>
        </is>
      </c>
      <c r="G313" s="292" t="inlineStr">
        <is>
          <t>-</t>
        </is>
      </c>
      <c r="H313" s="294" t="inlineStr">
        <is>
          <t>Tier 2. 완전 탐색 &amp; 백트래킹 (A형 핵심)</t>
        </is>
      </c>
      <c r="I313" s="294" t="inlineStr">
        <is>
          <t>중복조합/D4_중복조합_포함배제의_원리_상한_제한_중복조합</t>
        </is>
      </c>
      <c r="J313" s="292" t="inlineStr">
        <is>
          <t>✅ 6종 완비</t>
        </is>
      </c>
      <c r="K313" s="294" t="inlineStr">
        <is>
          <t>Lv.6 복합 제약 &amp; 시공간 최적화</t>
        </is>
      </c>
      <c r="L313" s="294" t="inlineStr">
        <is>
          <t>N, S, M이 주어질 때 0 &lt;= x_i &lt;= M 을 만족하는 정수해 x_1 + ... + x_N = S의 개수를 1,000,000,007로 나눈 나머지를 구하십시오.</t>
        </is>
      </c>
      <c r="M313" s="294" t="inlineStr">
        <is>
          <t>-</t>
        </is>
      </c>
    </row>
    <row r="314" ht="20" customHeight="1" s="209">
      <c r="A314" s="287" t="n">
        <v>313</v>
      </c>
      <c r="B314" s="288" t="inlineStr">
        <is>
          <t>D2</t>
        </is>
      </c>
      <c r="C314" s="287" t="inlineStr">
        <is>
          <t>최단경로</t>
        </is>
      </c>
      <c r="D314" s="289" t="inlineStr">
        <is>
          <t>격자판_최소_비용_이동</t>
        </is>
      </c>
      <c r="E314" s="290" t="inlineStr">
        <is>
          <t>⬜ 대기</t>
        </is>
      </c>
      <c r="F314" s="287" t="inlineStr">
        <is>
          <t>-</t>
        </is>
      </c>
      <c r="G314" s="287" t="inlineStr">
        <is>
          <t>-</t>
        </is>
      </c>
      <c r="H314" s="291" t="inlineStr">
        <is>
          <t>Tier 3. 격자 시뮬레이션 &amp; 최단 경로 (골드 상위)</t>
        </is>
      </c>
      <c r="I314" s="291" t="inlineStr">
        <is>
          <t>최단경로/D2_최단경로_격자판_최소_비용_이동</t>
        </is>
      </c>
      <c r="J314" s="287" t="inlineStr">
        <is>
          <t>✅ 6종 완비</t>
        </is>
      </c>
      <c r="K314" s="291" t="inlineStr">
        <is>
          <t>Lv.4 경계완충/징검다리</t>
        </is>
      </c>
      <c r="L314" s="291" t="inlineStr">
        <is>
          <t>N x N 격자에서 (0,0)에서 (N-1, N-1)까지 이동하는 최소 소모 비용을 구하십시오.</t>
        </is>
      </c>
      <c r="M314" s="291" t="inlineStr">
        <is>
          <t>-</t>
        </is>
      </c>
    </row>
    <row r="315" ht="20" customHeight="1" s="209">
      <c r="A315" s="292" t="n">
        <v>314</v>
      </c>
      <c r="B315" s="288" t="inlineStr">
        <is>
          <t>D2</t>
        </is>
      </c>
      <c r="C315" s="292" t="inlineStr">
        <is>
          <t>최단경로</t>
        </is>
      </c>
      <c r="D315" s="293" t="inlineStr">
        <is>
          <t>다익스트라_기초</t>
        </is>
      </c>
      <c r="E315" s="290" t="inlineStr">
        <is>
          <t>⬜ 대기</t>
        </is>
      </c>
      <c r="F315" s="292" t="inlineStr">
        <is>
          <t>-</t>
        </is>
      </c>
      <c r="G315" s="292" t="inlineStr">
        <is>
          <t>-</t>
        </is>
      </c>
      <c r="H315" s="294" t="inlineStr">
        <is>
          <t>Tier 3. 격자 시뮬레이션 &amp; 최단 경로 (골드 상위)</t>
        </is>
      </c>
      <c r="I315" s="294" t="inlineStr">
        <is>
          <t>최단경로/D2_최단경로_다익스트라_기초</t>
        </is>
      </c>
      <c r="J315" s="292" t="inlineStr">
        <is>
          <t>✅ 6종 완비</t>
        </is>
      </c>
      <c r="K315" s="294" t="inlineStr">
        <is>
          <t>Lv.4 경계완충/징검다리</t>
        </is>
      </c>
      <c r="L315" s="294" t="inlineStr">
        <is>
          <t>정점의 개수 V, 간선의 개수 E, 그리고 시작 정점 S가 주어집니다. S번 정점에서 출발하여 1번부터 V번까지의 각 정점까지 가는 최단 거리를 구하는 프로그램을 작성하십시오. (도달할 수 없는 정점은 -1 출력)</t>
        </is>
      </c>
      <c r="M315" s="294" t="inlineStr">
        <is>
          <t>-</t>
        </is>
      </c>
    </row>
    <row r="316" ht="20" customHeight="1" s="209">
      <c r="A316" s="287" t="n">
        <v>315</v>
      </c>
      <c r="B316" s="288" t="inlineStr">
        <is>
          <t>D2</t>
        </is>
      </c>
      <c r="C316" s="287" t="inlineStr">
        <is>
          <t>최단경로</t>
        </is>
      </c>
      <c r="D316" s="289" t="inlineStr">
        <is>
          <t>최단경로에_대해서</t>
        </is>
      </c>
      <c r="E316" s="290" t="inlineStr">
        <is>
          <t>⬜ 대기</t>
        </is>
      </c>
      <c r="F316" s="287" t="inlineStr">
        <is>
          <t>-</t>
        </is>
      </c>
      <c r="G316" s="287" t="inlineStr">
        <is>
          <t>-</t>
        </is>
      </c>
      <c r="H316" s="291" t="inlineStr">
        <is>
          <t>Tier 3. 격자 시뮬레이션 &amp; 최단 경로 (골드 상위)</t>
        </is>
      </c>
      <c r="I316" s="291" t="inlineStr">
        <is>
          <t>최단경로/D2_최단경로_최단경로에_대해서</t>
        </is>
      </c>
      <c r="J316" s="287" t="inlineStr">
        <is>
          <t>✅ 6종 완비</t>
        </is>
      </c>
      <c r="K316" s="291" t="inlineStr">
        <is>
          <t>Lv.3 개념뼈대 완결</t>
        </is>
      </c>
      <c r="L316" s="291" t="inlineStr">
        <is>
          <t>방향 그래프와 시작 정점 K가 주어질 때, K번 정점에서 출발하여 1번부터 V번까지 각 정점으로 가는 최단 거리를 출력하십시오 (도달할 수 없는 경우 "INF"를 출력).</t>
        </is>
      </c>
      <c r="M316" s="291" t="inlineStr">
        <is>
          <t>-</t>
        </is>
      </c>
    </row>
    <row r="317" ht="20" customHeight="1" s="209">
      <c r="A317" s="292" t="n">
        <v>316</v>
      </c>
      <c r="B317" s="288" t="inlineStr">
        <is>
          <t>D2</t>
        </is>
      </c>
      <c r="C317" s="292" t="inlineStr">
        <is>
          <t>최단경로</t>
        </is>
      </c>
      <c r="D317" s="293" t="inlineStr">
        <is>
          <t>특정_목적지_최단비용_조회</t>
        </is>
      </c>
      <c r="E317" s="290" t="inlineStr">
        <is>
          <t>⬜ 대기</t>
        </is>
      </c>
      <c r="F317" s="292" t="inlineStr">
        <is>
          <t>-</t>
        </is>
      </c>
      <c r="G317" s="292" t="inlineStr">
        <is>
          <t>-</t>
        </is>
      </c>
      <c r="H317" s="294" t="inlineStr">
        <is>
          <t>Tier 3. 격자 시뮬레이션 &amp; 최단 경로 (골드 상위)</t>
        </is>
      </c>
      <c r="I317" s="294" t="inlineStr">
        <is>
          <t>최단경로/D2_최단경로_특정_목적지_최단비용_조회</t>
        </is>
      </c>
      <c r="J317" s="292" t="inlineStr">
        <is>
          <t>✅ 6종 완비</t>
        </is>
      </c>
      <c r="K317" s="294" t="inlineStr">
        <is>
          <t>Lv.4 경계완충/징검다리</t>
        </is>
      </c>
      <c r="L317" s="294" t="inlineStr">
        <is>
          <t>출발 도시 A에서 도착 도시 B까지 가는데 드는 최소 비용을 출력하십시오.</t>
        </is>
      </c>
      <c r="M317" s="294" t="inlineStr">
        <is>
          <t>-</t>
        </is>
      </c>
    </row>
    <row r="318" ht="20" customHeight="1" s="209">
      <c r="A318" s="287" t="n">
        <v>317</v>
      </c>
      <c r="B318" s="288" t="inlineStr">
        <is>
          <t>D2</t>
        </is>
      </c>
      <c r="C318" s="287" t="inlineStr">
        <is>
          <t>최단경로</t>
        </is>
      </c>
      <c r="D318" s="289" t="inlineStr">
        <is>
          <t>플로이드워셜_기초</t>
        </is>
      </c>
      <c r="E318" s="290" t="inlineStr">
        <is>
          <t>⬜ 대기</t>
        </is>
      </c>
      <c r="F318" s="287" t="inlineStr">
        <is>
          <t>-</t>
        </is>
      </c>
      <c r="G318" s="287" t="inlineStr">
        <is>
          <t>-</t>
        </is>
      </c>
      <c r="H318" s="291" t="inlineStr">
        <is>
          <t>Tier 3. 격자 시뮬레이션 &amp; 최단 경로 (골드 상위)</t>
        </is>
      </c>
      <c r="I318" s="291" t="inlineStr">
        <is>
          <t>최단경로/D2_최단경로_플로이드워셜_기초</t>
        </is>
      </c>
      <c r="J318" s="287" t="inlineStr">
        <is>
          <t>✅ 6종 완비</t>
        </is>
      </c>
      <c r="K318" s="291" t="inlineStr">
        <is>
          <t>Lv.4 경계완충/징검다리</t>
        </is>
      </c>
      <c r="L318" s="291" t="inlineStr">
        <is>
          <t>N개의 정점과 M개의 방향 가중치 간선이 주어집니다. 플로이드-워셜 알고리즘을 이용하여 모든 정점 쌍 (i, j)에 대해 i에서 j로 가는 최단 거리를 구하고, 도달할 수 없는 경우는 -1을 출력하는 프로그램을 작성...</t>
        </is>
      </c>
      <c r="M318" s="291" t="inlineStr">
        <is>
          <t>-</t>
        </is>
      </c>
    </row>
    <row r="319" ht="20" customHeight="1" s="209">
      <c r="A319" s="292" t="n">
        <v>318</v>
      </c>
      <c r="B319" s="295" t="inlineStr">
        <is>
          <t>D3</t>
        </is>
      </c>
      <c r="C319" s="292" t="inlineStr">
        <is>
          <t>최단경로</t>
        </is>
      </c>
      <c r="D319" s="293" t="inlineStr">
        <is>
          <t>나은이의_지하철_환승_여행</t>
        </is>
      </c>
      <c r="E319" s="290" t="inlineStr">
        <is>
          <t>⬜ 대기</t>
        </is>
      </c>
      <c r="F319" s="292" t="inlineStr">
        <is>
          <t>-</t>
        </is>
      </c>
      <c r="G319" s="292" t="inlineStr">
        <is>
          <t>-</t>
        </is>
      </c>
      <c r="H319" s="294" t="inlineStr">
        <is>
          <t>Tier 3. 격자 시뮬레이션 &amp; 최단 경로 (골드 상위)</t>
        </is>
      </c>
      <c r="I319" s="294" t="inlineStr">
        <is>
          <t>최단경로/D3_최단경로_나은이의_지하철_환승_여행</t>
        </is>
      </c>
      <c r="J319" s="292" t="inlineStr">
        <is>
          <t>✅ 6종 완비</t>
        </is>
      </c>
      <c r="K319" s="294" t="inlineStr">
        <is>
          <t>Lv.5 실전 응용 (스토리텔링)</t>
        </is>
      </c>
      <c r="L319" s="294" t="inlineStr">
        <is>
          <t>나은이는 주말에 친구들과의 모임에 참석하기 위해 지하철을 타고 이동하려 합니다. 지하철 노선망은 1번부터 N번까지의 지하철역과, 역들을 잇는 M개의 지하철 구간으로 이루어져 있습니다.</t>
        </is>
      </c>
      <c r="M319" s="294" t="inlineStr">
        <is>
          <t>-</t>
        </is>
      </c>
    </row>
    <row r="320" ht="20" customHeight="1" s="209">
      <c r="A320" s="287" t="n">
        <v>319</v>
      </c>
      <c r="B320" s="295" t="inlineStr">
        <is>
          <t>D3</t>
        </is>
      </c>
      <c r="C320" s="287" t="inlineStr">
        <is>
          <t>최단경로</t>
        </is>
      </c>
      <c r="D320" s="289" t="inlineStr">
        <is>
          <t>서윤이의_왕복_파티_최단거리</t>
        </is>
      </c>
      <c r="E320" s="290" t="inlineStr">
        <is>
          <t>⬜ 대기</t>
        </is>
      </c>
      <c r="F320" s="287" t="inlineStr">
        <is>
          <t>-</t>
        </is>
      </c>
      <c r="G320" s="287" t="inlineStr">
        <is>
          <t>-</t>
        </is>
      </c>
      <c r="H320" s="291" t="inlineStr">
        <is>
          <t>Tier 3. 격자 시뮬레이션 &amp; 최단 경로 (골드 상위)</t>
        </is>
      </c>
      <c r="I320" s="291" t="inlineStr">
        <is>
          <t>최단경로/D3_최단경로_서윤이의_왕복_파티_최단거리</t>
        </is>
      </c>
      <c r="J320" s="287" t="inlineStr">
        <is>
          <t>✅ 6종 완비</t>
        </is>
      </c>
      <c r="K320" s="291" t="inlineStr">
        <is>
          <t>Lv.5 실전 응용 (스토리텔링)</t>
        </is>
      </c>
      <c r="L320" s="291" t="inlineStr">
        <is>
          <t>파티 플래너 서윤이는 N개의 마을 중 X번 마을에서 대규모 축제 파티를 주최합니다. 마을에는 총 N명의 학생들이 살고 있으며 (각 마을마다 1명씩 거주), 모든 학생들은 X번 마을로 파티를 즐기러 갔다가 파티가 끝난...</t>
        </is>
      </c>
      <c r="M320" s="291" t="inlineStr">
        <is>
          <t>-</t>
        </is>
      </c>
    </row>
    <row r="321" ht="20" customHeight="1" s="209">
      <c r="A321" s="292" t="n">
        <v>320</v>
      </c>
      <c r="B321" s="295" t="inlineStr">
        <is>
          <t>D3</t>
        </is>
      </c>
      <c r="C321" s="292" t="inlineStr">
        <is>
          <t>최단경로</t>
        </is>
      </c>
      <c r="D321" s="293" t="inlineStr">
        <is>
          <t>아린이의_지하철_환승_최소_시간</t>
        </is>
      </c>
      <c r="E321" s="290" t="inlineStr">
        <is>
          <t>⬜ 대기</t>
        </is>
      </c>
      <c r="F321" s="292" t="inlineStr">
        <is>
          <t>-</t>
        </is>
      </c>
      <c r="G321" s="292" t="inlineStr">
        <is>
          <t>-</t>
        </is>
      </c>
      <c r="H321" s="294" t="inlineStr">
        <is>
          <t>Tier 3. 격자 시뮬레이션 &amp; 최단 경로 (골드 상위)</t>
        </is>
      </c>
      <c r="I321" s="294" t="inlineStr">
        <is>
          <t>최단경로/D3_최단경로_아린이의_지하철_환승_최소_시간</t>
        </is>
      </c>
      <c r="J321" s="292" t="inlineStr">
        <is>
          <t>✅ 6종 완비</t>
        </is>
      </c>
      <c r="K321" s="294" t="inlineStr">
        <is>
          <t>Lv.5 실전 응용 (스토리텔링)</t>
        </is>
      </c>
      <c r="L321" s="294" t="inlineStr">
        <is>
          <t>대중교통 길찾기 앱을 개발 중인 아린이는 지하철 노선망에서 출발역 S에서 도착역 E까지의 최단 이동 시간을 계산하고 있습니다. 지하철역은 1번부터 N번까지 있으며, 역 사이를 잇는 M개의 지하철 구간(양방향)이 주어...</t>
        </is>
      </c>
      <c r="M321" s="294" t="inlineStr">
        <is>
          <t>-</t>
        </is>
      </c>
    </row>
    <row r="322" ht="20" customHeight="1" s="209">
      <c r="A322" s="287" t="n">
        <v>321</v>
      </c>
      <c r="B322" s="295" t="inlineStr">
        <is>
          <t>D3</t>
        </is>
      </c>
      <c r="C322" s="287" t="inlineStr">
        <is>
          <t>최단경로</t>
        </is>
      </c>
      <c r="D322" s="289" t="inlineStr">
        <is>
          <t>하윤이의_키_순서_비교</t>
        </is>
      </c>
      <c r="E322" s="290" t="inlineStr">
        <is>
          <t>⬜ 대기</t>
        </is>
      </c>
      <c r="F322" s="287" t="inlineStr">
        <is>
          <t>-</t>
        </is>
      </c>
      <c r="G322" s="287" t="inlineStr">
        <is>
          <t>-</t>
        </is>
      </c>
      <c r="H322" s="291" t="inlineStr">
        <is>
          <t>Tier 3. 격자 시뮬레이션 &amp; 최단 경로 (골드 상위)</t>
        </is>
      </c>
      <c r="I322" s="291" t="inlineStr">
        <is>
          <t>최단경로/D3_최단경로_하윤이의_키_순서_비교</t>
        </is>
      </c>
      <c r="J322" s="287" t="inlineStr">
        <is>
          <t>✅ 6종 완비</t>
        </is>
      </c>
      <c r="K322" s="291" t="inlineStr">
        <is>
          <t>Lv.5 실전 응용 (스토리텔링)</t>
        </is>
      </c>
      <c r="L322" s="291" t="inlineStr">
        <is>
          <t>하윤이네 반에는 1번부터 N번까지 총 N명의 학생들이 있습니다. 선생님께서는 학생들의 키를 두 명씩 짝지어 비교한 M개의 결과를 알려주셨습니다.</t>
        </is>
      </c>
      <c r="M322" s="291" t="inlineStr">
        <is>
          <t>-</t>
        </is>
      </c>
    </row>
    <row r="323" ht="20" customHeight="1" s="209">
      <c r="A323" s="292" t="n">
        <v>322</v>
      </c>
      <c r="B323" s="295" t="inlineStr">
        <is>
          <t>D3</t>
        </is>
      </c>
      <c r="C323" s="292" t="inlineStr">
        <is>
          <t>최단경로</t>
        </is>
      </c>
      <c r="D323" s="293" t="inlineStr">
        <is>
          <t>하준이의_특정_경유지_최단경로</t>
        </is>
      </c>
      <c r="E323" s="290" t="inlineStr">
        <is>
          <t>⬜ 대기</t>
        </is>
      </c>
      <c r="F323" s="292" t="inlineStr">
        <is>
          <t>-</t>
        </is>
      </c>
      <c r="G323" s="292" t="inlineStr">
        <is>
          <t>-</t>
        </is>
      </c>
      <c r="H323" s="294" t="inlineStr">
        <is>
          <t>Tier 3. 격자 시뮬레이션 &amp; 최단 경로 (골드 상위)</t>
        </is>
      </c>
      <c r="I323" s="294" t="inlineStr">
        <is>
          <t>최단경로/D3_최단경로_하준이의_특정_경유지_최단경로</t>
        </is>
      </c>
      <c r="J323" s="292" t="inlineStr">
        <is>
          <t>✅ 6종 완비</t>
        </is>
      </c>
      <c r="K323" s="294" t="inlineStr">
        <is>
          <t>Lv.5 실전 응용 (스토리텔링)</t>
        </is>
      </c>
      <c r="L323" s="294" t="inlineStr">
        <is>
          <t>물류 배송 기사로 일하는 하준이는 1번 물류 센터에서 출발하여 N번 배송 목적지까지 화물을 운송해야 합니다. 그런데 반드시 중간에 지정된 경유지 V번 허브 센터를 방문하여 서류 확인 도장을 받아야 합니다.</t>
        </is>
      </c>
      <c r="M323" s="294" t="inlineStr">
        <is>
          <t>-</t>
        </is>
      </c>
    </row>
    <row r="324" ht="20" customHeight="1" s="209">
      <c r="A324" s="287" t="n">
        <v>323</v>
      </c>
      <c r="B324" s="296" t="inlineStr">
        <is>
          <t>D4</t>
        </is>
      </c>
      <c r="C324" s="287" t="inlineStr">
        <is>
          <t>최단경로</t>
        </is>
      </c>
      <c r="D324" s="289" t="inlineStr">
        <is>
          <t>K번째_최단경로_우선순위큐_최적화</t>
        </is>
      </c>
      <c r="E324" s="290" t="inlineStr">
        <is>
          <t>⬜ 대기</t>
        </is>
      </c>
      <c r="F324" s="287" t="inlineStr">
        <is>
          <t>-</t>
        </is>
      </c>
      <c r="G324" s="287" t="inlineStr">
        <is>
          <t>-</t>
        </is>
      </c>
      <c r="H324" s="291" t="inlineStr">
        <is>
          <t>Tier 3. 격자 시뮬레이션 &amp; 최단 경로 (골드 상위)</t>
        </is>
      </c>
      <c r="I324" s="291" t="inlineStr">
        <is>
          <t>최단경로/D4_최단경로_K번째_최단경로_우선순위큐_최적화</t>
        </is>
      </c>
      <c r="J324" s="287" t="inlineStr">
        <is>
          <t>✅ 6종 완비</t>
        </is>
      </c>
      <c r="K324" s="291" t="inlineStr">
        <is>
          <t>Lv.6 복합 제약 &amp; 시공간 최적화</t>
        </is>
      </c>
      <c r="L324" s="291" t="inlineStr">
        <is>
          <t>1번 정점에서 출발하여 1번부터 N번 정점까지의 K번째 최단 경로의 거리를 한 줄에 하나씩 출력하십시오 (K번째 경로가 없으면 -1 출력).</t>
        </is>
      </c>
      <c r="M324" s="291" t="inlineStr">
        <is>
          <t>-</t>
        </is>
      </c>
    </row>
    <row r="325" ht="20" customHeight="1" s="209">
      <c r="A325" s="292" t="n">
        <v>324</v>
      </c>
      <c r="B325" s="296" t="inlineStr">
        <is>
          <t>D4</t>
        </is>
      </c>
      <c r="C325" s="292" t="inlineStr">
        <is>
          <t>최단경로</t>
        </is>
      </c>
      <c r="D325" s="293" t="inlineStr">
        <is>
          <t>다익스트라_최단경로_역추적_복원</t>
        </is>
      </c>
      <c r="E325" s="290" t="inlineStr">
        <is>
          <t>⬜ 대기</t>
        </is>
      </c>
      <c r="F325" s="292" t="inlineStr">
        <is>
          <t>-</t>
        </is>
      </c>
      <c r="G325" s="292" t="inlineStr">
        <is>
          <t>-</t>
        </is>
      </c>
      <c r="H325" s="294" t="inlineStr">
        <is>
          <t>Tier 3. 격자 시뮬레이션 &amp; 최단 경로 (골드 상위)</t>
        </is>
      </c>
      <c r="I325" s="294" t="inlineStr">
        <is>
          <t>최단경로/D4_최단경로_다익스트라_최단경로_역추적_복원</t>
        </is>
      </c>
      <c r="J325" s="292" t="inlineStr">
        <is>
          <t>✅ 6종 완비</t>
        </is>
      </c>
      <c r="K325" s="294" t="inlineStr">
        <is>
          <t>Lv.6 복합 제약 &amp; 시공간 최적화</t>
        </is>
      </c>
      <c r="L325" s="294" t="inlineStr">
        <is>
          <t>N개의 도시와 도시 사이를 잇는 M개의 일방통행 유료 버스 노선이 있습니다. 출발 도시 S에서 도착 도시 E까지 이동하는 최소 비용을 계산하고, 그 최소 비용을 달성하는 실제 최단 경로 상의 방문 도시 순서를 역추적...</t>
        </is>
      </c>
      <c r="M325" s="294" t="inlineStr">
        <is>
          <t>-</t>
        </is>
      </c>
    </row>
    <row r="326" ht="20" customHeight="1" s="209">
      <c r="A326" s="287" t="n">
        <v>325</v>
      </c>
      <c r="B326" s="296" t="inlineStr">
        <is>
          <t>D4</t>
        </is>
      </c>
      <c r="C326" s="287" t="inlineStr">
        <is>
          <t>최단경로</t>
        </is>
      </c>
      <c r="D326" s="289" t="inlineStr">
        <is>
          <t>벨만포드_음수_사이클_검출</t>
        </is>
      </c>
      <c r="E326" s="290" t="inlineStr">
        <is>
          <t>⬜ 대기</t>
        </is>
      </c>
      <c r="F326" s="287" t="inlineStr">
        <is>
          <t>-</t>
        </is>
      </c>
      <c r="G326" s="287" t="inlineStr">
        <is>
          <t>-</t>
        </is>
      </c>
      <c r="H326" s="291" t="inlineStr">
        <is>
          <t>Tier 3. 격자 시뮬레이션 &amp; 최단 경로 (골드 상위)</t>
        </is>
      </c>
      <c r="I326" s="291" t="inlineStr">
        <is>
          <t>최단경로/D4_최단경로_벨만포드_음수_사이클_검출</t>
        </is>
      </c>
      <c r="J326" s="287" t="inlineStr">
        <is>
          <t>✅ 6종 완비</t>
        </is>
      </c>
      <c r="K326" s="291" t="inlineStr">
        <is>
          <t>Lv.6 복합 제약 &amp; 시공간 최적화</t>
        </is>
      </c>
      <c r="L326" s="291" t="inlineStr">
        <is>
          <t>1번 도시에서 출발하여 도달 가능한 음수 사이클이 있으면 -1을 출력하고, 없으면 2번부터 N번 도시까지의 최단 거리를 한 줄에 하나씩 출력하십시오.</t>
        </is>
      </c>
      <c r="M326" s="291" t="inlineStr">
        <is>
          <t>-</t>
        </is>
      </c>
    </row>
    <row r="327" ht="20" customHeight="1" s="209">
      <c r="A327" s="292" t="n">
        <v>326</v>
      </c>
      <c r="B327" s="296" t="inlineStr">
        <is>
          <t>D4</t>
        </is>
      </c>
      <c r="C327" s="292" t="inlineStr">
        <is>
          <t>최단경로</t>
        </is>
      </c>
      <c r="D327" s="293" t="inlineStr">
        <is>
          <t>특정_경유지_왕복_다익스트라</t>
        </is>
      </c>
      <c r="E327" s="290" t="inlineStr">
        <is>
          <t>⬜ 대기</t>
        </is>
      </c>
      <c r="F327" s="292" t="inlineStr">
        <is>
          <t>-</t>
        </is>
      </c>
      <c r="G327" s="292" t="inlineStr">
        <is>
          <t>-</t>
        </is>
      </c>
      <c r="H327" s="294" t="inlineStr">
        <is>
          <t>Tier 3. 격자 시뮬레이션 &amp; 최단 경로 (골드 상위)</t>
        </is>
      </c>
      <c r="I327" s="294" t="inlineStr">
        <is>
          <t>최단경로/D4_최단경로_특정_경유지_왕복_다익스트라</t>
        </is>
      </c>
      <c r="J327" s="292" t="inlineStr">
        <is>
          <t>✅ 6종 완비</t>
        </is>
      </c>
      <c r="K327" s="294" t="inlineStr">
        <is>
          <t>Lv.6 복합 제약 &amp; 시공간 최적화</t>
        </is>
      </c>
      <c r="L327" s="294" t="inlineStr">
        <is>
          <t>1번부터 N번까지의 정점과 E개의 양방향 가중치 간선으로 이루어진 무방향 그래프가 있습니다. 1번 정점에서 출발하여 N번 정점으로 이동하는 최단 거리를 구하고자 합니다.</t>
        </is>
      </c>
      <c r="M327" s="294" t="inlineStr">
        <is>
          <t>-</t>
        </is>
      </c>
    </row>
    <row r="328" ht="20" customHeight="1" s="209">
      <c r="A328" s="287" t="n">
        <v>327</v>
      </c>
      <c r="B328" s="296" t="inlineStr">
        <is>
          <t>D4</t>
        </is>
      </c>
      <c r="C328" s="287" t="inlineStr">
        <is>
          <t>최단경로</t>
        </is>
      </c>
      <c r="D328" s="289" t="inlineStr">
        <is>
          <t>플로이드_워셜_모든쌍_최단경로</t>
        </is>
      </c>
      <c r="E328" s="290" t="inlineStr">
        <is>
          <t>⬜ 대기</t>
        </is>
      </c>
      <c r="F328" s="287" t="inlineStr">
        <is>
          <t>-</t>
        </is>
      </c>
      <c r="G328" s="287" t="inlineStr">
        <is>
          <t>-</t>
        </is>
      </c>
      <c r="H328" s="291" t="inlineStr">
        <is>
          <t>Tier 3. 격자 시뮬레이션 &amp; 최단 경로 (골드 상위)</t>
        </is>
      </c>
      <c r="I328" s="291" t="inlineStr">
        <is>
          <t>최단경로/D4_최단경로_플로이드_워셜_모든쌍_최단경로</t>
        </is>
      </c>
      <c r="J328" s="287" t="inlineStr">
        <is>
          <t>✅ 6종 완비</t>
        </is>
      </c>
      <c r="K328" s="291" t="inlineStr">
        <is>
          <t>Lv.6 복합 제약 &amp; 시공간 최적화</t>
        </is>
      </c>
      <c r="L328" s="291" t="inlineStr">
        <is>
          <t>모든 도시 쌍 (i, j)에 대해 i에서 j로 가는 최소 비용 행렬을 출력하십시오 (도달할 수 없는 경우 0 출력).</t>
        </is>
      </c>
      <c r="M328" s="291" t="inlineStr">
        <is>
          <t>-</t>
        </is>
      </c>
    </row>
    <row r="329" ht="20" customHeight="1" s="209">
      <c r="A329" s="292" t="n">
        <v>328</v>
      </c>
      <c r="B329" s="297" t="inlineStr">
        <is>
          <t>D5</t>
        </is>
      </c>
      <c r="C329" s="292" t="inlineStr">
        <is>
          <t>최단경로</t>
        </is>
      </c>
      <c r="D329" s="293" t="inlineStr">
        <is>
          <t>K번째_최단경로_탐색</t>
        </is>
      </c>
      <c r="E329" s="290" t="inlineStr">
        <is>
          <t>⬜ 대기</t>
        </is>
      </c>
      <c r="F329" s="292" t="inlineStr">
        <is>
          <t>-</t>
        </is>
      </c>
      <c r="G329" s="292" t="inlineStr">
        <is>
          <t>-</t>
        </is>
      </c>
      <c r="H329" s="294" t="inlineStr">
        <is>
          <t>Tier 3. 격자 시뮬레이션 &amp; 최단 경로 (골드 상위)</t>
        </is>
      </c>
      <c r="I329" s="294" t="inlineStr">
        <is>
          <t>최단경로/D5_최단경로_K번째_최단경로_탐색</t>
        </is>
      </c>
      <c r="J329" s="292" t="inlineStr">
        <is>
          <t>✅ 6종 완비</t>
        </is>
      </c>
      <c r="K329" s="294" t="inlineStr">
        <is>
          <t>Lv.7 삼성 B형 Pro (No-STL/메모리풀)</t>
        </is>
      </c>
      <c r="L329" s="294" t="inlineStr">
        <is>
          <t>1번부터 N번까지 번호가 매겨진 N개의 도시와 M개의 일방통행 도로가 있습니다. 각 도로를 이동할 때 걸리는 소요 시간이 주어집니다.</t>
        </is>
      </c>
      <c r="M329" s="294" t="inlineStr">
        <is>
          <t>-</t>
        </is>
      </c>
    </row>
    <row r="330" ht="20" customHeight="1" s="209">
      <c r="A330" s="287" t="n">
        <v>329</v>
      </c>
      <c r="B330" s="288" t="inlineStr">
        <is>
          <t>D2</t>
        </is>
      </c>
      <c r="C330" s="287" t="inlineStr">
        <is>
          <t>큐</t>
        </is>
      </c>
      <c r="D330" s="289" t="inlineStr">
        <is>
          <t>숫자_카드_합치기_게임</t>
        </is>
      </c>
      <c r="E330" s="290" t="inlineStr">
        <is>
          <t>⬜ 대기</t>
        </is>
      </c>
      <c r="F330" s="287" t="inlineStr">
        <is>
          <t>-</t>
        </is>
      </c>
      <c r="G330" s="287" t="inlineStr">
        <is>
          <t>-</t>
        </is>
      </c>
      <c r="H330" s="291" t="inlineStr">
        <is>
          <t>Tier 1. 선형 자료구조 &amp; 탐색 기본기</t>
        </is>
      </c>
      <c r="I330" s="291" t="inlineStr">
        <is>
          <t>큐/D2_큐_숫자_카드_합치기_게임</t>
        </is>
      </c>
      <c r="J330" s="287" t="inlineStr">
        <is>
          <t>✅ 6종 완비</t>
        </is>
      </c>
      <c r="K330" s="291" t="inlineStr">
        <is>
          <t>Lv.4 경계완충/징검다리</t>
        </is>
      </c>
      <c r="L330" s="291" t="inlineStr">
        <is>
          <t>주어진 N장의 초기 카드 수열에 대해 게임을 진행하고, 최종적으로 남은 1장의 카드 숫자를 출력하십시오. 만약 모든 카드가 소멸하여 카드가 0장이 남게 되면 0을 출력합니다.</t>
        </is>
      </c>
      <c r="M330" s="291" t="inlineStr">
        <is>
          <t>-</t>
        </is>
      </c>
    </row>
    <row r="331" ht="20" customHeight="1" s="209">
      <c r="A331" s="292" t="n">
        <v>330</v>
      </c>
      <c r="B331" s="288" t="inlineStr">
        <is>
          <t>D2</t>
        </is>
      </c>
      <c r="C331" s="292" t="inlineStr">
        <is>
          <t>큐</t>
        </is>
      </c>
      <c r="D331" s="293" t="inlineStr">
        <is>
          <t>우선순위_순서_출력</t>
        </is>
      </c>
      <c r="E331" s="290" t="inlineStr">
        <is>
          <t>⬜ 대기</t>
        </is>
      </c>
      <c r="F331" s="292" t="inlineStr">
        <is>
          <t>-</t>
        </is>
      </c>
      <c r="G331" s="292" t="inlineStr">
        <is>
          <t>-</t>
        </is>
      </c>
      <c r="H331" s="294" t="inlineStr">
        <is>
          <t>Tier 1. 선형 자료구조 &amp; 탐색 기본기</t>
        </is>
      </c>
      <c r="I331" s="294" t="inlineStr">
        <is>
          <t>큐/D2_큐_우선순위_순서_출력</t>
        </is>
      </c>
      <c r="J331" s="292" t="inlineStr">
        <is>
          <t>✅ 6종 완비</t>
        </is>
      </c>
      <c r="K331" s="294" t="inlineStr">
        <is>
          <t>Lv.4 경계완충/징검다리</t>
        </is>
      </c>
      <c r="L331" s="294" t="inlineStr">
        <is>
          <t>주어진 N개의 문서 중요도와 알고 싶은 대상 문서의 초기 위치 M이 주어질 때, 그 문서가 몇 번째로 인쇄되는지 구하는 프로그램을 작성하십시오.</t>
        </is>
      </c>
      <c r="M331" s="294" t="inlineStr">
        <is>
          <t>-</t>
        </is>
      </c>
    </row>
    <row r="332" ht="20" customHeight="1" s="209">
      <c r="A332" s="287" t="n">
        <v>331</v>
      </c>
      <c r="B332" s="288" t="inlineStr">
        <is>
          <t>D2</t>
        </is>
      </c>
      <c r="C332" s="287" t="inlineStr">
        <is>
          <t>큐</t>
        </is>
      </c>
      <c r="D332" s="289" t="inlineStr">
        <is>
          <t>원형_순번_추출_요세푸스</t>
        </is>
      </c>
      <c r="E332" s="290" t="inlineStr">
        <is>
          <t>⬜ 대기</t>
        </is>
      </c>
      <c r="F332" s="287" t="inlineStr">
        <is>
          <t>-</t>
        </is>
      </c>
      <c r="G332" s="287" t="inlineStr">
        <is>
          <t>-</t>
        </is>
      </c>
      <c r="H332" s="291" t="inlineStr">
        <is>
          <t>Tier 1. 선형 자료구조 &amp; 탐색 기본기</t>
        </is>
      </c>
      <c r="I332" s="291" t="inlineStr">
        <is>
          <t>큐/D2_큐_원형_순번_추출_요세푸스</t>
        </is>
      </c>
      <c r="J332" s="287" t="inlineStr">
        <is>
          <t>✅ 6종 완비</t>
        </is>
      </c>
      <c r="K332" s="291" t="inlineStr">
        <is>
          <t>Lv.4 경계완충/징검다리</t>
        </is>
      </c>
      <c r="L332" s="291" t="inlineStr">
        <is>
          <t>N과 K가 주어졌을 때 사람들이 제거되는 순서(요세푸스 순열)를 구하는 프로그램을 작성하십시오.</t>
        </is>
      </c>
      <c r="M332" s="291" t="inlineStr">
        <is>
          <t>-</t>
        </is>
      </c>
    </row>
    <row r="333" ht="20" customHeight="1" s="209">
      <c r="A333" s="292" t="n">
        <v>332</v>
      </c>
      <c r="B333" s="288" t="inlineStr">
        <is>
          <t>D2</t>
        </is>
      </c>
      <c r="C333" s="292" t="inlineStr">
        <is>
          <t>큐</t>
        </is>
      </c>
      <c r="D333" s="293" t="inlineStr">
        <is>
          <t>카드_버리기와_옮기기</t>
        </is>
      </c>
      <c r="E333" s="290" t="inlineStr">
        <is>
          <t>⬜ 대기</t>
        </is>
      </c>
      <c r="F333" s="292" t="inlineStr">
        <is>
          <t>-</t>
        </is>
      </c>
      <c r="G333" s="292" t="inlineStr">
        <is>
          <t>-</t>
        </is>
      </c>
      <c r="H333" s="294" t="inlineStr">
        <is>
          <t>Tier 1. 선형 자료구조 &amp; 탐색 기본기</t>
        </is>
      </c>
      <c r="I333" s="294" t="inlineStr">
        <is>
          <t>큐/D2_큐_카드_버리기와_옮기기</t>
        </is>
      </c>
      <c r="J333" s="292" t="inlineStr">
        <is>
          <t>✅ 6종 완비</t>
        </is>
      </c>
      <c r="K333" s="294" t="inlineStr">
        <is>
          <t>Lv.4 경계완충/징검다리</t>
        </is>
      </c>
      <c r="L333" s="294" t="inlineStr">
        <is>
          <t>N이 주어졌을 때, 마지막에 남게 되는 카드의 번호를 구하는 프로그램을 큐를 이용하여 구현하십시오.</t>
        </is>
      </c>
      <c r="M333" s="294" t="inlineStr">
        <is>
          <t>-</t>
        </is>
      </c>
    </row>
    <row r="334" ht="20" customHeight="1" s="209">
      <c r="A334" s="287" t="n">
        <v>333</v>
      </c>
      <c r="B334" s="288" t="inlineStr">
        <is>
          <t>D2</t>
        </is>
      </c>
      <c r="C334" s="287" t="inlineStr">
        <is>
          <t>큐</t>
        </is>
      </c>
      <c r="D334" s="289" t="inlineStr">
        <is>
          <t>큐에_대해서</t>
        </is>
      </c>
      <c r="E334" s="290" t="inlineStr">
        <is>
          <t>⬜ 대기</t>
        </is>
      </c>
      <c r="F334" s="287" t="inlineStr">
        <is>
          <t>-</t>
        </is>
      </c>
      <c r="G334" s="287" t="inlineStr">
        <is>
          <t>-</t>
        </is>
      </c>
      <c r="H334" s="291" t="inlineStr">
        <is>
          <t>Tier 1. 선형 자료구조 &amp; 탐색 기본기</t>
        </is>
      </c>
      <c r="I334" s="291" t="inlineStr">
        <is>
          <t>큐/D2_큐_큐에_대해서</t>
        </is>
      </c>
      <c r="J334" s="287" t="inlineStr">
        <is>
          <t>✅ 6종 완비</t>
        </is>
      </c>
      <c r="K334" s="291" t="inlineStr">
        <is>
          <t>Lv.3 개념뼈대 완결</t>
        </is>
      </c>
      <c r="L334" s="291" t="inlineStr">
        <is>
          <t>주어지는 N개의 명령어를 순서대로 처리하여 그 결과를 출력하는 큐 프로그램을 직접 구현하십시오!</t>
        </is>
      </c>
      <c r="M334" s="291" t="inlineStr">
        <is>
          <t>-</t>
        </is>
      </c>
    </row>
    <row r="335" ht="20" customHeight="1" s="209">
      <c r="A335" s="292" t="n">
        <v>334</v>
      </c>
      <c r="B335" s="295" t="inlineStr">
        <is>
          <t>D3</t>
        </is>
      </c>
      <c r="C335" s="292" t="inlineStr">
        <is>
          <t>큐</t>
        </is>
      </c>
      <c r="D335" s="293" t="inlineStr">
        <is>
          <t>도윤이의_프린터_대기열</t>
        </is>
      </c>
      <c r="E335" s="290" t="inlineStr">
        <is>
          <t>⬜ 대기</t>
        </is>
      </c>
      <c r="F335" s="292" t="inlineStr">
        <is>
          <t>-</t>
        </is>
      </c>
      <c r="G335" s="292" t="inlineStr">
        <is>
          <t>-</t>
        </is>
      </c>
      <c r="H335" s="294" t="inlineStr">
        <is>
          <t>Tier 1. 선형 자료구조 &amp; 탐색 기본기</t>
        </is>
      </c>
      <c r="I335" s="294" t="inlineStr">
        <is>
          <t>큐/D3_큐_도윤이의_프린터_대기열</t>
        </is>
      </c>
      <c r="J335" s="292" t="inlineStr">
        <is>
          <t>✅ 6종 완비</t>
        </is>
      </c>
      <c r="K335" s="294" t="inlineStr">
        <is>
          <t>Lv.5 실전 응용 (스토리텔링)</t>
        </is>
      </c>
      <c r="L335" s="294" t="inlineStr">
        <is>
          <t>연구실의 도윤이는 네트워크 공용 프린터의 인쇄 스케줄러 프로그램을 개발하고 있습니다. 기존의 단순 FIFO 큐는 중요한 문서가 뒤에 있을 때 오래 기다려야 하는 문제가 있어, 도윤이는 '우선순위 기반 인쇄 규칙'을 ...</t>
        </is>
      </c>
      <c r="M335" s="294" t="inlineStr">
        <is>
          <t>-</t>
        </is>
      </c>
    </row>
    <row r="336" ht="20" customHeight="1" s="209">
      <c r="A336" s="287" t="n">
        <v>335</v>
      </c>
      <c r="B336" s="295" t="inlineStr">
        <is>
          <t>D3</t>
        </is>
      </c>
      <c r="C336" s="287" t="inlineStr">
        <is>
          <t>큐</t>
        </is>
      </c>
      <c r="D336" s="289" t="inlineStr">
        <is>
          <t>로운이의_햄버거_주문_대기열</t>
        </is>
      </c>
      <c r="E336" s="290" t="inlineStr">
        <is>
          <t>⬜ 대기</t>
        </is>
      </c>
      <c r="F336" s="287" t="inlineStr">
        <is>
          <t>-</t>
        </is>
      </c>
      <c r="G336" s="287" t="inlineStr">
        <is>
          <t>-</t>
        </is>
      </c>
      <c r="H336" s="291" t="inlineStr">
        <is>
          <t>Tier 1. 선형 자료구조 &amp; 탐색 기본기</t>
        </is>
      </c>
      <c r="I336" s="291" t="inlineStr">
        <is>
          <t>큐/D3_큐_로운이의_햄버거_주문_대기열</t>
        </is>
      </c>
      <c r="J336" s="287" t="inlineStr">
        <is>
          <t>✅ 6종 완비</t>
        </is>
      </c>
      <c r="K336" s="291" t="inlineStr">
        <is>
          <t>Lv.5 실전 응용 (스토리텔링)</t>
        </is>
      </c>
      <c r="L336" s="291" t="inlineStr">
        <is>
          <t>패스트푸드 매장의 총괄 매니저로 일하는 로운이는 점심 피크 시간대의 고객 대기열 관리 시스템을 분석하고 있습니다. 매장에는 1개의 조리대가 설치되어 있어 한 번에 오직 한 명의 고객 주문만 조리할 수 있습니다.</t>
        </is>
      </c>
      <c r="M336" s="291" t="inlineStr">
        <is>
          <t>-</t>
        </is>
      </c>
    </row>
    <row r="337" ht="20" customHeight="1" s="209">
      <c r="A337" s="292" t="n">
        <v>336</v>
      </c>
      <c r="B337" s="295" t="inlineStr">
        <is>
          <t>D3</t>
        </is>
      </c>
      <c r="C337" s="292" t="inlineStr">
        <is>
          <t>큐</t>
        </is>
      </c>
      <c r="D337" s="293" t="inlineStr">
        <is>
          <t>아린이의_원형_순환_열차_티켓팅</t>
        </is>
      </c>
      <c r="E337" s="290" t="inlineStr">
        <is>
          <t>⬜ 대기</t>
        </is>
      </c>
      <c r="F337" s="292" t="inlineStr">
        <is>
          <t>-</t>
        </is>
      </c>
      <c r="G337" s="292" t="inlineStr">
        <is>
          <t>-</t>
        </is>
      </c>
      <c r="H337" s="294" t="inlineStr">
        <is>
          <t>Tier 1. 선형 자료구조 &amp; 탐색 기본기</t>
        </is>
      </c>
      <c r="I337" s="294" t="inlineStr">
        <is>
          <t>큐/D3_큐_아린이의_원형_순환_열차_티켓팅</t>
        </is>
      </c>
      <c r="J337" s="292" t="inlineStr">
        <is>
          <t>✅ 6종 완비</t>
        </is>
      </c>
      <c r="K337" s="294" t="inlineStr">
        <is>
          <t>Lv.5 실전 응용 (스토리텔링)</t>
        </is>
      </c>
      <c r="L337" s="294" t="inlineStr">
        <is>
          <t>테마파크 이벤트 기획을 맡은 아린이는 순환 관람 열차의 탑승 순서를 정하는 원형 큐 추첨 알고리즘을 진행하고 있습니다. 1번부터 N번까지의 번호표를 가진 N명의 탑승객이 원형으로 둘러앉아 있습니다.</t>
        </is>
      </c>
      <c r="M337" s="294" t="inlineStr">
        <is>
          <t>-</t>
        </is>
      </c>
    </row>
    <row r="338" ht="20" customHeight="1" s="209">
      <c r="A338" s="287" t="n">
        <v>337</v>
      </c>
      <c r="B338" s="295" t="inlineStr">
        <is>
          <t>D3</t>
        </is>
      </c>
      <c r="C338" s="287" t="inlineStr">
        <is>
          <t>큐</t>
        </is>
      </c>
      <c r="D338" s="289" t="inlineStr">
        <is>
          <t>암호생성기_회전</t>
        </is>
      </c>
      <c r="E338" s="290" t="inlineStr">
        <is>
          <t>⬜ 대기</t>
        </is>
      </c>
      <c r="F338" s="287" t="inlineStr">
        <is>
          <t>-</t>
        </is>
      </c>
      <c r="G338" s="287" t="inlineStr">
        <is>
          <t>-</t>
        </is>
      </c>
      <c r="H338" s="291" t="inlineStr">
        <is>
          <t>Tier 1. 선형 자료구조 &amp; 탐색 기본기</t>
        </is>
      </c>
      <c r="I338" s="291" t="inlineStr">
        <is>
          <t>큐/D3_큐_암호생성기_회전</t>
        </is>
      </c>
      <c r="J338" s="287" t="inlineStr">
        <is>
          <t>✅ 6종 완비</t>
        </is>
      </c>
      <c r="K338" s="291" t="inlineStr">
        <is>
          <t>Lv.5 실전 응용 (스토리텔링)</t>
        </is>
      </c>
      <c r="L338" s="291" t="inlineStr">
        <is>
          <t>정보보안 동아리의 도윤이는 회의실 도어락에 등록할 8자리의 보안 암호를 동적으로 생성하는 프로그램을 구현하고 있습니다. 도윤이의 암호 생성기는 8개의 정수를 큐(Queue)에 넣고 다음과 같은 사이클 규칙을 반복합니...</t>
        </is>
      </c>
      <c r="M338" s="291" t="inlineStr">
        <is>
          <t>-</t>
        </is>
      </c>
    </row>
    <row r="339" ht="20" customHeight="1" s="209">
      <c r="A339" s="292" t="n">
        <v>338</v>
      </c>
      <c r="B339" s="295" t="inlineStr">
        <is>
          <t>D3</t>
        </is>
      </c>
      <c r="C339" s="292" t="inlineStr">
        <is>
          <t>큐</t>
        </is>
      </c>
      <c r="D339" s="293" t="inlineStr">
        <is>
          <t>지아의_은행_창구_시뮬레이션</t>
        </is>
      </c>
      <c r="E339" s="290" t="inlineStr">
        <is>
          <t>⬜ 대기</t>
        </is>
      </c>
      <c r="F339" s="292" t="inlineStr">
        <is>
          <t>-</t>
        </is>
      </c>
      <c r="G339" s="292" t="inlineStr">
        <is>
          <t>-</t>
        </is>
      </c>
      <c r="H339" s="294" t="inlineStr">
        <is>
          <t>Tier 1. 선형 자료구조 &amp; 탐색 기본기</t>
        </is>
      </c>
      <c r="I339" s="294" t="inlineStr">
        <is>
          <t>큐/D3_큐_지아의_은행_창구_시뮬레이션</t>
        </is>
      </c>
      <c r="J339" s="292" t="inlineStr">
        <is>
          <t>✅ 6종 완비</t>
        </is>
      </c>
      <c r="K339" s="294" t="inlineStr">
        <is>
          <t>Lv.5 실전 응용 (스토리텔링)</t>
        </is>
      </c>
      <c r="L339" s="294" t="inlineStr">
        <is>
          <t>지점장 지아는 고객 만족도를 높이기 위해 은행 1인 전담 창구의 고객 대기 시간을 정밀 시뮬레이션하고 있습니다. 오늘 방문할 N명의 고객 정보가 번호표 순서(도착 시간 오름차순)로 주어집니다.</t>
        </is>
      </c>
      <c r="M339" s="294" t="inlineStr">
        <is>
          <t>-</t>
        </is>
      </c>
    </row>
    <row r="340" ht="20" customHeight="1" s="209">
      <c r="A340" s="287" t="n">
        <v>339</v>
      </c>
      <c r="B340" s="296" t="inlineStr">
        <is>
          <t>D4</t>
        </is>
      </c>
      <c r="C340" s="287" t="inlineStr">
        <is>
          <t>큐</t>
        </is>
      </c>
      <c r="D340" s="289" t="inlineStr">
        <is>
          <t>다리_위의_트럭_하중_제어</t>
        </is>
      </c>
      <c r="E340" s="290" t="inlineStr">
        <is>
          <t>⬜ 대기</t>
        </is>
      </c>
      <c r="F340" s="287" t="inlineStr">
        <is>
          <t>-</t>
        </is>
      </c>
      <c r="G340" s="287" t="inlineStr">
        <is>
          <t>-</t>
        </is>
      </c>
      <c r="H340" s="291" t="inlineStr">
        <is>
          <t>Tier 1. 선형 자료구조 &amp; 탐색 기본기</t>
        </is>
      </c>
      <c r="I340" s="291" t="inlineStr">
        <is>
          <t>큐/D4_큐_다리_위의_트럭_하중_제어</t>
        </is>
      </c>
      <c r="J340" s="287" t="inlineStr">
        <is>
          <t>✅ 6종 완비</t>
        </is>
      </c>
      <c r="K340" s="291" t="inlineStr">
        <is>
          <t>Lv.6 복합 제약 &amp; 시공간 최적화</t>
        </is>
      </c>
      <c r="L340" s="291" t="inlineStr">
        <is>
          <t>주어진 트럭들의 무게 수열과 다리 길이 W, 최대 하중 L에 대해 모든 트럭이 다리를 건너는 총 소요 시간(초)을 구하십시오.</t>
        </is>
      </c>
      <c r="M340" s="291" t="inlineStr">
        <is>
          <t>-</t>
        </is>
      </c>
    </row>
    <row r="341" ht="20" customHeight="1" s="209">
      <c r="A341" s="292" t="n">
        <v>340</v>
      </c>
      <c r="B341" s="296" t="inlineStr">
        <is>
          <t>D4</t>
        </is>
      </c>
      <c r="C341" s="292" t="inlineStr">
        <is>
          <t>큐</t>
        </is>
      </c>
      <c r="D341" s="293" t="inlineStr">
        <is>
          <t>멀티태스킹_CPU_라운드로빈</t>
        </is>
      </c>
      <c r="E341" s="290" t="inlineStr">
        <is>
          <t>⬜ 대기</t>
        </is>
      </c>
      <c r="F341" s="292" t="inlineStr">
        <is>
          <t>-</t>
        </is>
      </c>
      <c r="G341" s="292" t="inlineStr">
        <is>
          <t>-</t>
        </is>
      </c>
      <c r="H341" s="294" t="inlineStr">
        <is>
          <t>Tier 1. 선형 자료구조 &amp; 탐색 기본기</t>
        </is>
      </c>
      <c r="I341" s="294" t="inlineStr">
        <is>
          <t>큐/D4_큐_멀티태스킹_CPU_라운드로빈</t>
        </is>
      </c>
      <c r="J341" s="292" t="inlineStr">
        <is>
          <t>✅ 6종 완비</t>
        </is>
      </c>
      <c r="K341" s="294" t="inlineStr">
        <is>
          <t>Lv.6 복합 제약 &amp; 시공간 최적화</t>
        </is>
      </c>
      <c r="L341" s="294" t="inlineStr">
        <is>
          <t>운영체제에서 여러 프로세스가 하나의 CPU를 공평하게 공유하기 위해 타임 퀀텀(Time Quantum) Q를 사용하는 라운드 로빈(Round Robin) 스케줄링을 수행합니다. N개의 프로세스가 각각 도착 시간 A_...</t>
        </is>
      </c>
      <c r="M341" s="294" t="inlineStr">
        <is>
          <t>-</t>
        </is>
      </c>
    </row>
    <row r="342" ht="20" customHeight="1" s="209">
      <c r="A342" s="287" t="n">
        <v>341</v>
      </c>
      <c r="B342" s="296" t="inlineStr">
        <is>
          <t>D4</t>
        </is>
      </c>
      <c r="C342" s="287" t="inlineStr">
        <is>
          <t>큐</t>
        </is>
      </c>
      <c r="D342" s="289" t="inlineStr">
        <is>
          <t>슬라이딩윈도우_덱_최솟값</t>
        </is>
      </c>
      <c r="E342" s="290" t="inlineStr">
        <is>
          <t>⬜ 대기</t>
        </is>
      </c>
      <c r="F342" s="287" t="inlineStr">
        <is>
          <t>-</t>
        </is>
      </c>
      <c r="G342" s="287" t="inlineStr">
        <is>
          <t>-</t>
        </is>
      </c>
      <c r="H342" s="291" t="inlineStr">
        <is>
          <t>Tier 1. 선형 자료구조 &amp; 탐색 기본기</t>
        </is>
      </c>
      <c r="I342" s="291" t="inlineStr">
        <is>
          <t>큐/D4_큐_슬라이딩윈도우_덱_최솟값</t>
        </is>
      </c>
      <c r="J342" s="287" t="inlineStr">
        <is>
          <t>✅ 6종 완비</t>
        </is>
      </c>
      <c r="K342" s="291" t="inlineStr">
        <is>
          <t>Lv.6 복합 제약 &amp; 시공간 최적화</t>
        </is>
      </c>
      <c r="L342" s="291" t="inlineStr">
        <is>
          <t>N개의 정수 수열 A_1, A_2, ..., A_N과 윈도우 크기 L이 주어집니다. 각 위치 i (1 &lt;= i &lt;= N)에 대해, 구간 [i - L + 1, i]에서의 최솟값 D_i를 구해야 합니다. (단, i - ...</t>
        </is>
      </c>
      <c r="M342" s="291" t="inlineStr">
        <is>
          <t>-</t>
        </is>
      </c>
    </row>
    <row r="343" ht="20" customHeight="1" s="209">
      <c r="A343" s="292" t="n">
        <v>342</v>
      </c>
      <c r="B343" s="296" t="inlineStr">
        <is>
          <t>D4</t>
        </is>
      </c>
      <c r="C343" s="292" t="inlineStr">
        <is>
          <t>큐</t>
        </is>
      </c>
      <c r="D343" s="293" t="inlineStr">
        <is>
          <t>우선순위큐_중앙값_실시간_추적</t>
        </is>
      </c>
      <c r="E343" s="290" t="inlineStr">
        <is>
          <t>⬜ 대기</t>
        </is>
      </c>
      <c r="F343" s="292" t="inlineStr">
        <is>
          <t>-</t>
        </is>
      </c>
      <c r="G343" s="292" t="inlineStr">
        <is>
          <t>-</t>
        </is>
      </c>
      <c r="H343" s="294" t="inlineStr">
        <is>
          <t>Tier 1. 선형 자료구조 &amp; 탐색 기본기</t>
        </is>
      </c>
      <c r="I343" s="294" t="inlineStr">
        <is>
          <t>큐/D4_큐_우선순위큐_중앙값_실시간_추적</t>
        </is>
      </c>
      <c r="J343" s="292" t="inlineStr">
        <is>
          <t>✅ 6종 완비</t>
        </is>
      </c>
      <c r="K343" s="294" t="inlineStr">
        <is>
          <t>Lv.6 복합 제약 &amp; 시공간 최적화</t>
        </is>
      </c>
      <c r="L343" s="294" t="inlineStr">
        <is>
          <t>빅데이터 스트리밍 관제 시스템에서 정수 데이터가 실시간으로 하나씩 순차 입력됩니다. 수가 하나씩 추가될 때마다 지금까지 입력된 수들 중 '중앙값(Median)'을 즉시 계산해야 합니다.</t>
        </is>
      </c>
      <c r="M343" s="294" t="inlineStr">
        <is>
          <t>-</t>
        </is>
      </c>
    </row>
    <row r="344" ht="20" customHeight="1" s="209">
      <c r="A344" s="287" t="n">
        <v>343</v>
      </c>
      <c r="B344" s="296" t="inlineStr">
        <is>
          <t>D4</t>
        </is>
      </c>
      <c r="C344" s="287" t="inlineStr">
        <is>
          <t>큐</t>
        </is>
      </c>
      <c r="D344" s="289" t="inlineStr">
        <is>
          <t>이중_우선순위_큐_커스텀_구현</t>
        </is>
      </c>
      <c r="E344" s="290" t="inlineStr">
        <is>
          <t>⬜ 대기</t>
        </is>
      </c>
      <c r="F344" s="287" t="inlineStr">
        <is>
          <t>-</t>
        </is>
      </c>
      <c r="G344" s="287" t="inlineStr">
        <is>
          <t>-</t>
        </is>
      </c>
      <c r="H344" s="291" t="inlineStr">
        <is>
          <t>Tier 1. 선형 자료구조 &amp; 탐색 기본기</t>
        </is>
      </c>
      <c r="I344" s="291" t="inlineStr">
        <is>
          <t>큐/D4_큐_이중_우선순위_큐_커스텀_구현</t>
        </is>
      </c>
      <c r="J344" s="287" t="inlineStr">
        <is>
          <t>✅ 6종 완비</t>
        </is>
      </c>
      <c r="K344" s="291" t="inlineStr">
        <is>
          <t>Lv.6 복합 제약 &amp; 시공간 최적화</t>
        </is>
      </c>
      <c r="L344" s="291" t="inlineStr">
        <is>
          <t>주어진 N개의 연산을 모두 수행한 후, 큐가 비어있으면 "EMPTY"를 출력하고, 비어있지 않다면 최댓값과 최솟값을 공백으로 구분하여 출력하십시오.</t>
        </is>
      </c>
      <c r="M344" s="291" t="inlineStr">
        <is>
          <t>-</t>
        </is>
      </c>
    </row>
    <row r="345" ht="20" customHeight="1" s="209">
      <c r="A345" s="292" t="n">
        <v>344</v>
      </c>
      <c r="B345" s="288" t="inlineStr">
        <is>
          <t>D2</t>
        </is>
      </c>
      <c r="C345" s="292" t="inlineStr">
        <is>
          <t>투포인터</t>
        </is>
      </c>
      <c r="D345" s="293" t="inlineStr">
        <is>
          <t>두_배열_합치기</t>
        </is>
      </c>
      <c r="E345" s="290" t="inlineStr">
        <is>
          <t>⬜ 대기</t>
        </is>
      </c>
      <c r="F345" s="292" t="inlineStr">
        <is>
          <t>-</t>
        </is>
      </c>
      <c r="G345" s="292" t="inlineStr">
        <is>
          <t>-</t>
        </is>
      </c>
      <c r="H345" s="294" t="inlineStr">
        <is>
          <t>Tier 1. 선형 자료구조 &amp; 탐색 기본기</t>
        </is>
      </c>
      <c r="I345" s="294" t="inlineStr">
        <is>
          <t>투포인터/D2_투포인터_두_배열_합치기</t>
        </is>
      </c>
      <c r="J345" s="292" t="inlineStr">
        <is>
          <t>✅ 6종 완비</t>
        </is>
      </c>
      <c r="K345" s="294" t="inlineStr">
        <is>
          <t>Lv.4 경계완충/징검다리</t>
        </is>
      </c>
      <c r="L345" s="294" t="inlineStr">
        <is>
          <t>각각 오름차순으로 이미 정렬되어 있는 두 개의 배열 A와 B가 주어집니다. 두 배열의 원소들을 합쳐서 오름차순으로 정렬된 하나의 배열을 만드는 문제입니다.</t>
        </is>
      </c>
      <c r="M345" s="294" t="inlineStr">
        <is>
          <t>-</t>
        </is>
      </c>
    </row>
    <row r="346" ht="20" customHeight="1" s="209">
      <c r="A346" s="287" t="n">
        <v>345</v>
      </c>
      <c r="B346" s="288" t="inlineStr">
        <is>
          <t>D2</t>
        </is>
      </c>
      <c r="C346" s="287" t="inlineStr">
        <is>
          <t>투포인터</t>
        </is>
      </c>
      <c r="D346" s="289" t="inlineStr">
        <is>
          <t>두_수의_합_쌍_찾기</t>
        </is>
      </c>
      <c r="E346" s="290" t="inlineStr">
        <is>
          <t>⬜ 대기</t>
        </is>
      </c>
      <c r="F346" s="287" t="inlineStr">
        <is>
          <t>-</t>
        </is>
      </c>
      <c r="G346" s="287" t="inlineStr">
        <is>
          <t>-</t>
        </is>
      </c>
      <c r="H346" s="291" t="inlineStr">
        <is>
          <t>Tier 1. 선형 자료구조 &amp; 탐색 기본기</t>
        </is>
      </c>
      <c r="I346" s="291" t="inlineStr">
        <is>
          <t>투포인터/D2_투포인터_두_수의_합_쌍_찾기</t>
        </is>
      </c>
      <c r="J346" s="287" t="inlineStr">
        <is>
          <t>✅ 6종 완비</t>
        </is>
      </c>
      <c r="K346" s="291" t="inlineStr">
        <is>
          <t>Lv.4 경계완충/징검다리</t>
        </is>
      </c>
      <c r="L346" s="291" t="inlineStr">
        <is>
          <t>중복되지 않는 N개의 자연수로 이루어진 수열과 자연수 X가 주어집니다. 수열에서 서로 다른 두 원소 A[i]와 A[j] (i &lt; j)를 골라 A[i] + A[j] = X를 만족하는 쌍의 총 개수를 구하는 문제입니다.</t>
        </is>
      </c>
      <c r="M346" s="291" t="inlineStr">
        <is>
          <t>-</t>
        </is>
      </c>
    </row>
    <row r="347" ht="20" customHeight="1" s="209">
      <c r="A347" s="292" t="n">
        <v>346</v>
      </c>
      <c r="B347" s="288" t="inlineStr">
        <is>
          <t>D2</t>
        </is>
      </c>
      <c r="C347" s="292" t="inlineStr">
        <is>
          <t>투포인터</t>
        </is>
      </c>
      <c r="D347" s="293" t="inlineStr">
        <is>
          <t>연속된_자연수의_합</t>
        </is>
      </c>
      <c r="E347" s="290" t="inlineStr">
        <is>
          <t>⬜ 대기</t>
        </is>
      </c>
      <c r="F347" s="292" t="inlineStr">
        <is>
          <t>-</t>
        </is>
      </c>
      <c r="G347" s="292" t="inlineStr">
        <is>
          <t>-</t>
        </is>
      </c>
      <c r="H347" s="294" t="inlineStr">
        <is>
          <t>Tier 1. 선형 자료구조 &amp; 탐색 기본기</t>
        </is>
      </c>
      <c r="I347" s="294" t="inlineStr">
        <is>
          <t>투포인터/D2_투포인터_연속된_자연수의_합</t>
        </is>
      </c>
      <c r="J347" s="292" t="inlineStr">
        <is>
          <t>✅ 6종 완비</t>
        </is>
      </c>
      <c r="K347" s="294" t="inlineStr">
        <is>
          <t>Lv.4 경계완충/징검다리</t>
        </is>
      </c>
      <c r="L347" s="294" t="inlineStr">
        <is>
          <t>양의 정수 N이 주어졌을 때, 2개 이상의 연속된 자연수의 합으로 N을 나타낼 수 있는 방법의 수를 구하는 문제입니다. 예를 들어 15는:</t>
        </is>
      </c>
      <c r="M347" s="294" t="inlineStr">
        <is>
          <t>-</t>
        </is>
      </c>
    </row>
    <row r="348" ht="20" customHeight="1" s="209">
      <c r="A348" s="287" t="n">
        <v>347</v>
      </c>
      <c r="B348" s="288" t="inlineStr">
        <is>
          <t>D2</t>
        </is>
      </c>
      <c r="C348" s="287" t="inlineStr">
        <is>
          <t>투포인터</t>
        </is>
      </c>
      <c r="D348" s="289" t="inlineStr">
        <is>
          <t>중복_제거와_고유_원소_압축</t>
        </is>
      </c>
      <c r="E348" s="290" t="inlineStr">
        <is>
          <t>⬜ 대기</t>
        </is>
      </c>
      <c r="F348" s="287" t="inlineStr">
        <is>
          <t>-</t>
        </is>
      </c>
      <c r="G348" s="287" t="inlineStr">
        <is>
          <t>-</t>
        </is>
      </c>
      <c r="H348" s="291" t="inlineStr">
        <is>
          <t>Tier 1. 선형 자료구조 &amp; 탐색 기본기</t>
        </is>
      </c>
      <c r="I348" s="291" t="inlineStr">
        <is>
          <t>투포인터/D2_투포인터_중복_제거와_고유_원소_압축</t>
        </is>
      </c>
      <c r="J348" s="287" t="inlineStr">
        <is>
          <t>✅ 6종 완비</t>
        </is>
      </c>
      <c r="K348" s="291" t="inlineStr">
        <is>
          <t>Lv.4 경계완충/징검다리</t>
        </is>
      </c>
      <c r="L348" s="291" t="inlineStr">
        <is>
          <t>오름차순으로 정렬된 정수 배열이 주어집니다. 별도의 추가 배열을 크게 할당하지 않고, 두 개의 포인터 `slow`와 `fast`를 활용하여 제자리(in-place)에서 연속된 중복 원소를 압축하는 문제입니다:</t>
        </is>
      </c>
      <c r="M348" s="291" t="inlineStr">
        <is>
          <t>-</t>
        </is>
      </c>
    </row>
    <row r="349" ht="20" customHeight="1" s="209">
      <c r="A349" s="292" t="n">
        <v>348</v>
      </c>
      <c r="B349" s="288" t="inlineStr">
        <is>
          <t>D2</t>
        </is>
      </c>
      <c r="C349" s="292" t="inlineStr">
        <is>
          <t>투포인터</t>
        </is>
      </c>
      <c r="D349" s="293" t="inlineStr">
        <is>
          <t>투포인터에_대해서</t>
        </is>
      </c>
      <c r="E349" s="290" t="inlineStr">
        <is>
          <t>⬜ 대기</t>
        </is>
      </c>
      <c r="F349" s="292" t="inlineStr">
        <is>
          <t>-</t>
        </is>
      </c>
      <c r="G349" s="292" t="inlineStr">
        <is>
          <t>-</t>
        </is>
      </c>
      <c r="H349" s="294" t="inlineStr">
        <is>
          <t>Tier 1. 선형 자료구조 &amp; 탐색 기본기</t>
        </is>
      </c>
      <c r="I349" s="294" t="inlineStr">
        <is>
          <t>투포인터/D2_투포인터_투포인터에_대해서</t>
        </is>
      </c>
      <c r="J349" s="292" t="inlineStr">
        <is>
          <t>✅ 6종 완비</t>
        </is>
      </c>
      <c r="K349" s="294" t="inlineStr">
        <is>
          <t>Lv.3 개념뼈대 완결</t>
        </is>
      </c>
      <c r="L349" s="294" t="inlineStr">
        <is>
          <t>오름차순으로 정렬된 N개의 정수 수열과 목표값 Target이 주어집니다. 배열의 양 끝에서 시작하는 투 포인터를 조작하여, 두 수의 합이 Target이 되는 첫 번째 쌍 (A[left], A[right])을 찾아 두...</t>
        </is>
      </c>
      <c r="M349" s="294" t="inlineStr">
        <is>
          <t>-</t>
        </is>
      </c>
    </row>
    <row r="350" ht="20" customHeight="1" s="209">
      <c r="A350" s="287" t="n">
        <v>349</v>
      </c>
      <c r="B350" s="295" t="inlineStr">
        <is>
          <t>D3</t>
        </is>
      </c>
      <c r="C350" s="287" t="inlineStr">
        <is>
          <t>투포인터</t>
        </is>
      </c>
      <c r="D350" s="289" t="inlineStr">
        <is>
          <t>도하의_보트_탑승_짝짓기</t>
        </is>
      </c>
      <c r="E350" s="290" t="inlineStr">
        <is>
          <t>⬜ 대기</t>
        </is>
      </c>
      <c r="F350" s="287" t="inlineStr">
        <is>
          <t>-</t>
        </is>
      </c>
      <c r="G350" s="287" t="inlineStr">
        <is>
          <t>-</t>
        </is>
      </c>
      <c r="H350" s="291" t="inlineStr">
        <is>
          <t>Tier 1. 선형 자료구조 &amp; 탐색 기본기</t>
        </is>
      </c>
      <c r="I350" s="291" t="inlineStr">
        <is>
          <t>투포인터/D3_투포인터_도하의_보트_탑승_짝짓기</t>
        </is>
      </c>
      <c r="J350" s="287" t="inlineStr">
        <is>
          <t>✅ 6종 완비</t>
        </is>
      </c>
      <c r="K350" s="291" t="inlineStr">
        <is>
          <t>Lv.5 실전 응용 (스토리텔링)</t>
        </is>
      </c>
      <c r="L350" s="291" t="inlineStr">
        <is>
          <t>도하네 반 친구들 N명이 여름 해양 수련회에 참가하여 구명보트를 타고 강을 건너려고 합니다. 각 보트는 최대 2명까지만 탑승할 수 있으며, 보트의 최대 무게 제한 Limit를 초과할 수 없습니다.</t>
        </is>
      </c>
      <c r="M350" s="291" t="inlineStr">
        <is>
          <t>-</t>
        </is>
      </c>
    </row>
    <row r="351" ht="20" customHeight="1" s="209">
      <c r="A351" s="292" t="n">
        <v>350</v>
      </c>
      <c r="B351" s="295" t="inlineStr">
        <is>
          <t>D3</t>
        </is>
      </c>
      <c r="C351" s="292" t="inlineStr">
        <is>
          <t>투포인터</t>
        </is>
      </c>
      <c r="D351" s="293" t="inlineStr">
        <is>
          <t>서윤이의_회문_유사_문자열_검사</t>
        </is>
      </c>
      <c r="E351" s="290" t="inlineStr">
        <is>
          <t>⬜ 대기</t>
        </is>
      </c>
      <c r="F351" s="292" t="inlineStr">
        <is>
          <t>-</t>
        </is>
      </c>
      <c r="G351" s="292" t="inlineStr">
        <is>
          <t>-</t>
        </is>
      </c>
      <c r="H351" s="294" t="inlineStr">
        <is>
          <t>Tier 1. 선형 자료구조 &amp; 탐색 기본기</t>
        </is>
      </c>
      <c r="I351" s="294" t="inlineStr">
        <is>
          <t>투포인터/D3_투포인터_서윤이의_회문_유사_문자열_검사</t>
        </is>
      </c>
      <c r="J351" s="292" t="inlineStr">
        <is>
          <t>✅ 6종 완비</t>
        </is>
      </c>
      <c r="K351" s="294" t="inlineStr">
        <is>
          <t>Lv.5 실전 응용 (스토리텔링)</t>
        </is>
      </c>
      <c r="L351" s="294" t="inlineStr">
        <is>
          <t>서윤이는 국어 시간에 대칭을 이루는 문자열(회문)을 연구하고 있습니다. 서윤이는 문자열이 그 자체로 회문이면 0, 그 자체로는 회문이 아니지만 한 문자를 삭제하여 회문으로 만들 수 있다면 '유사회문'으로서 1, 둘 ...</t>
        </is>
      </c>
      <c r="M351" s="294" t="inlineStr">
        <is>
          <t>-</t>
        </is>
      </c>
    </row>
    <row r="352" ht="20" customHeight="1" s="209">
      <c r="A352" s="287" t="n">
        <v>351</v>
      </c>
      <c r="B352" s="295" t="inlineStr">
        <is>
          <t>D3</t>
        </is>
      </c>
      <c r="C352" s="287" t="inlineStr">
        <is>
          <t>투포인터</t>
        </is>
      </c>
      <c r="D352" s="289" t="inlineStr">
        <is>
          <t>시우의_스낵_예산_맞추기</t>
        </is>
      </c>
      <c r="E352" s="290" t="inlineStr">
        <is>
          <t>⬜ 대기</t>
        </is>
      </c>
      <c r="F352" s="287" t="inlineStr">
        <is>
          <t>-</t>
        </is>
      </c>
      <c r="G352" s="287" t="inlineStr">
        <is>
          <t>-</t>
        </is>
      </c>
      <c r="H352" s="291" t="inlineStr">
        <is>
          <t>Tier 1. 선형 자료구조 &amp; 탐색 기본기</t>
        </is>
      </c>
      <c r="I352" s="291" t="inlineStr">
        <is>
          <t>투포인터/D3_투포인터_시우의_스낵_예산_맞추기</t>
        </is>
      </c>
      <c r="J352" s="287" t="inlineStr">
        <is>
          <t>✅ 6종 완비</t>
        </is>
      </c>
      <c r="K352" s="291" t="inlineStr">
        <is>
          <t>Lv.5 실전 응용 (스토리텔링)</t>
        </is>
      </c>
      <c r="L352" s="291" t="inlineStr">
        <is>
          <t>시우는 친구들과 함께 먹을 간식을 사기 위해 편의점에 들렀습니다. 시우의 주머니에는 정확히 M원의 용돈이 들어있습니다.</t>
        </is>
      </c>
      <c r="M352" s="291" t="inlineStr">
        <is>
          <t>-</t>
        </is>
      </c>
    </row>
    <row r="353" ht="20" customHeight="1" s="209">
      <c r="A353" s="292" t="n">
        <v>352</v>
      </c>
      <c r="B353" s="295" t="inlineStr">
        <is>
          <t>D3</t>
        </is>
      </c>
      <c r="C353" s="292" t="inlineStr">
        <is>
          <t>투포인터</t>
        </is>
      </c>
      <c r="D353" s="293" t="inlineStr">
        <is>
          <t>연속구간_부분합</t>
        </is>
      </c>
      <c r="E353" s="290" t="inlineStr">
        <is>
          <t>⬜ 대기</t>
        </is>
      </c>
      <c r="F353" s="292" t="inlineStr">
        <is>
          <t>-</t>
        </is>
      </c>
      <c r="G353" s="292" t="inlineStr">
        <is>
          <t>-</t>
        </is>
      </c>
      <c r="H353" s="294" t="inlineStr">
        <is>
          <t>Tier 1. 선형 자료구조 &amp; 탐색 기본기</t>
        </is>
      </c>
      <c r="I353" s="294" t="inlineStr">
        <is>
          <t>투포인터/D3_투포인터_연속구간_부분합</t>
        </is>
      </c>
      <c r="J353" s="292" t="inlineStr">
        <is>
          <t>✅ 6종 완비</t>
        </is>
      </c>
      <c r="K353" s="294" t="inlineStr">
        <is>
          <t>Lv.5 실전 응용 (스토리텔링)</t>
        </is>
      </c>
      <c r="L353" s="294" t="inlineStr">
        <is>
          <t>데이터 분석가 은우는 수열에서 연속된 몇 개의 원소의 합이 정확히 M이 되는 구간(Subarray)의 개수를 찾고 있습니다. 수열 A의 원소는 모두 자연수입니다.</t>
        </is>
      </c>
      <c r="M353" s="294" t="inlineStr">
        <is>
          <t>-</t>
        </is>
      </c>
    </row>
    <row r="354" ht="20" customHeight="1" s="209">
      <c r="A354" s="287" t="n">
        <v>353</v>
      </c>
      <c r="B354" s="295" t="inlineStr">
        <is>
          <t>D3</t>
        </is>
      </c>
      <c r="C354" s="287" t="inlineStr">
        <is>
          <t>투포인터</t>
        </is>
      </c>
      <c r="D354" s="289" t="inlineStr">
        <is>
          <t>하준이의_두_용액_합성_실험</t>
        </is>
      </c>
      <c r="E354" s="290" t="inlineStr">
        <is>
          <t>⬜ 대기</t>
        </is>
      </c>
      <c r="F354" s="287" t="inlineStr">
        <is>
          <t>-</t>
        </is>
      </c>
      <c r="G354" s="287" t="inlineStr">
        <is>
          <t>-</t>
        </is>
      </c>
      <c r="H354" s="291" t="inlineStr">
        <is>
          <t>Tier 1. 선형 자료구조 &amp; 탐색 기본기</t>
        </is>
      </c>
      <c r="I354" s="291" t="inlineStr">
        <is>
          <t>투포인터/D3_투포인터_하준이의_두_용액_합성_실험</t>
        </is>
      </c>
      <c r="J354" s="287" t="inlineStr">
        <is>
          <t>✅ 6종 완비</t>
        </is>
      </c>
      <c r="K354" s="291" t="inlineStr">
        <is>
          <t>Lv.5 실전 응용 (스토리텔링)</t>
        </is>
      </c>
      <c r="L354" s="291" t="inlineStr">
        <is>
          <t>과학 영재 하준이는 화학 동아리에서 특성값이 주어지는 N개의 용액을 가지고 혼합 실험을 진행하고 있습니다. 각 용액의 특성값은 -1,000,000,000 이상 1,000,000,000 이하의 정수이며, 산성 용액은 ...</t>
        </is>
      </c>
      <c r="M354" s="291" t="inlineStr">
        <is>
          <t>-</t>
        </is>
      </c>
    </row>
    <row r="355" ht="20" customHeight="1" s="209">
      <c r="A355" s="292" t="n">
        <v>354</v>
      </c>
      <c r="B355" s="296" t="inlineStr">
        <is>
          <t>D4</t>
        </is>
      </c>
      <c r="C355" s="292" t="inlineStr">
        <is>
          <t>투포인터</t>
        </is>
      </c>
      <c r="D355" s="293" t="inlineStr">
        <is>
          <t>구간_서로_다른_K개_정수_카운팅</t>
        </is>
      </c>
      <c r="E355" s="290" t="inlineStr">
        <is>
          <t>⬜ 대기</t>
        </is>
      </c>
      <c r="F355" s="292" t="inlineStr">
        <is>
          <t>-</t>
        </is>
      </c>
      <c r="G355" s="292" t="inlineStr">
        <is>
          <t>-</t>
        </is>
      </c>
      <c r="H355" s="294" t="inlineStr">
        <is>
          <t>Tier 1. 선형 자료구조 &amp; 탐색 기본기</t>
        </is>
      </c>
      <c r="I355" s="294" t="inlineStr">
        <is>
          <t>투포인터/D4_투포인터_구간_서로_다른_K개_정수_카운팅</t>
        </is>
      </c>
      <c r="J355" s="292" t="inlineStr">
        <is>
          <t>✅ 6종 완비</t>
        </is>
      </c>
      <c r="K355" s="294" t="inlineStr">
        <is>
          <t>Lv.6 복합 제약 &amp; 시공간 최적화</t>
        </is>
      </c>
      <c r="L355" s="294" t="inlineStr">
        <is>
          <t>길이가 N인 양의 정수 수열 A와 정수 K가 주어집니다. 수열의 연속된 부분 수열 중, 포함된 '서로 다른 정수의 개수가 정확히 K개'인 부분 수열의 총 개수를 구하는 문제입니다.</t>
        </is>
      </c>
      <c r="M355" s="294" t="inlineStr">
        <is>
          <t>-</t>
        </is>
      </c>
    </row>
    <row r="356" ht="20" customHeight="1" s="209">
      <c r="A356" s="287" t="n">
        <v>355</v>
      </c>
      <c r="B356" s="296" t="inlineStr">
        <is>
          <t>D4</t>
        </is>
      </c>
      <c r="C356" s="287" t="inlineStr">
        <is>
          <t>투포인터</t>
        </is>
      </c>
      <c r="D356" s="289" t="inlineStr">
        <is>
          <t>부분합_최소_길이_구간_탐색</t>
        </is>
      </c>
      <c r="E356" s="290" t="inlineStr">
        <is>
          <t>⬜ 대기</t>
        </is>
      </c>
      <c r="F356" s="287" t="inlineStr">
        <is>
          <t>-</t>
        </is>
      </c>
      <c r="G356" s="287" t="inlineStr">
        <is>
          <t>-</t>
        </is>
      </c>
      <c r="H356" s="291" t="inlineStr">
        <is>
          <t>Tier 1. 선형 자료구조 &amp; 탐색 기본기</t>
        </is>
      </c>
      <c r="I356" s="291" t="inlineStr">
        <is>
          <t>투포인터/D4_투포인터_부분합_최소_길이_구간_탐색</t>
        </is>
      </c>
      <c r="J356" s="287" t="inlineStr">
        <is>
          <t>✅ 6종 완비</t>
        </is>
      </c>
      <c r="K356" s="291" t="inlineStr">
        <is>
          <t>Lv.6 복합 제약 &amp; 시공간 최적화</t>
        </is>
      </c>
      <c r="L356" s="291" t="inlineStr">
        <is>
          <t>길이가 N인 양의 정수 수열이 주어집니다. 이 수열에서 연속된 몇 개의 수를 선택하여 그 합이 S 이상이 되는 구간 중, '가장 짧은 구간의 길이'를 구하는 프로그램을 작성하십시오.</t>
        </is>
      </c>
      <c r="M356" s="291" t="inlineStr">
        <is>
          <t>-</t>
        </is>
      </c>
    </row>
    <row r="357" ht="20" customHeight="1" s="209">
      <c r="A357" s="292" t="n">
        <v>356</v>
      </c>
      <c r="B357" s="296" t="inlineStr">
        <is>
          <t>D4</t>
        </is>
      </c>
      <c r="C357" s="292" t="inlineStr">
        <is>
          <t>투포인터</t>
        </is>
      </c>
      <c r="D357" s="293" t="inlineStr">
        <is>
          <t>빗물_트래핑_체적_계산</t>
        </is>
      </c>
      <c r="E357" s="290" t="inlineStr">
        <is>
          <t>⬜ 대기</t>
        </is>
      </c>
      <c r="F357" s="292" t="inlineStr">
        <is>
          <t>-</t>
        </is>
      </c>
      <c r="G357" s="292" t="inlineStr">
        <is>
          <t>-</t>
        </is>
      </c>
      <c r="H357" s="294" t="inlineStr">
        <is>
          <t>Tier 1. 선형 자료구조 &amp; 탐색 기본기</t>
        </is>
      </c>
      <c r="I357" s="294" t="inlineStr">
        <is>
          <t>투포인터/D4_투포인터_빗물_트래핑_체적_계산</t>
        </is>
      </c>
      <c r="J357" s="292" t="inlineStr">
        <is>
          <t>✅ 6종 완비</t>
        </is>
      </c>
      <c r="K357" s="294" t="inlineStr">
        <is>
          <t>Lv.6 복합 제약 &amp; 시공간 최적화</t>
        </is>
      </c>
      <c r="L357" s="294" t="inlineStr">
        <is>
          <t>단면 블록의 높이를 나타내는 길이가 N인 배열 Height가 주어집니다. 각 블록의 너비는 1입니다. 많은 양의 비가 내렸을 때 블록들 사이에 고일 수 있는 빗물의 총량을 구하는 문제입니다.</t>
        </is>
      </c>
      <c r="M357" s="294" t="inlineStr">
        <is>
          <t>-</t>
        </is>
      </c>
    </row>
    <row r="358" ht="20" customHeight="1" s="209">
      <c r="A358" s="287" t="n">
        <v>357</v>
      </c>
      <c r="B358" s="296" t="inlineStr">
        <is>
          <t>D4</t>
        </is>
      </c>
      <c r="C358" s="287" t="inlineStr">
        <is>
          <t>투포인터</t>
        </is>
      </c>
      <c r="D358" s="289" t="inlineStr">
        <is>
          <t>세_용액_특성값_0_조합</t>
        </is>
      </c>
      <c r="E358" s="290" t="inlineStr">
        <is>
          <t>⬜ 대기</t>
        </is>
      </c>
      <c r="F358" s="287" t="inlineStr">
        <is>
          <t>-</t>
        </is>
      </c>
      <c r="G358" s="287" t="inlineStr">
        <is>
          <t>-</t>
        </is>
      </c>
      <c r="H358" s="291" t="inlineStr">
        <is>
          <t>Tier 1. 선형 자료구조 &amp; 탐색 기본기</t>
        </is>
      </c>
      <c r="I358" s="291" t="inlineStr">
        <is>
          <t>투포인터/D4_투포인터_세_용액_특성값_0_조합</t>
        </is>
      </c>
      <c r="J358" s="287" t="inlineStr">
        <is>
          <t>✅ 6종 완비</t>
        </is>
      </c>
      <c r="K358" s="291" t="inlineStr">
        <is>
          <t>Lv.6 복합 제약 &amp; 시공간 최적화</t>
        </is>
      </c>
      <c r="L358" s="291" t="inlineStr">
        <is>
          <t>산성과 알칼리성을 나타내는 N개의 정수 용액이 주어집니다. 이 중 서로 다른 3개의 용액을 혼합하여 특성값의 합이 0에 가장 가까운 세 용액을 찾아내는 문제입니다.</t>
        </is>
      </c>
      <c r="M358" s="291" t="inlineStr">
        <is>
          <t>-</t>
        </is>
      </c>
    </row>
    <row r="359" ht="20" customHeight="1" s="209">
      <c r="A359" s="292" t="n">
        <v>358</v>
      </c>
      <c r="B359" s="296" t="inlineStr">
        <is>
          <t>D4</t>
        </is>
      </c>
      <c r="C359" s="292" t="inlineStr">
        <is>
          <t>투포인터</t>
        </is>
      </c>
      <c r="D359" s="293" t="inlineStr">
        <is>
          <t>회전_초밥_쿠폰_다양성_최대화</t>
        </is>
      </c>
      <c r="E359" s="290" t="inlineStr">
        <is>
          <t>⬜ 대기</t>
        </is>
      </c>
      <c r="F359" s="292" t="inlineStr">
        <is>
          <t>-</t>
        </is>
      </c>
      <c r="G359" s="292" t="inlineStr">
        <is>
          <t>-</t>
        </is>
      </c>
      <c r="H359" s="294" t="inlineStr">
        <is>
          <t>Tier 1. 선형 자료구조 &amp; 탐색 기본기</t>
        </is>
      </c>
      <c r="I359" s="294" t="inlineStr">
        <is>
          <t>투포인터/D4_투포인터_회전_초밥_쿠폰_다양성_최대화</t>
        </is>
      </c>
      <c r="J359" s="292" t="inlineStr">
        <is>
          <t>✅ 6종 완비</t>
        </is>
      </c>
      <c r="K359" s="294" t="inlineStr">
        <is>
          <t>Lv.6 복합 제약 &amp; 시공간 최적화</t>
        </is>
      </c>
      <c r="L359" s="294" t="inlineStr">
        <is>
          <t>원형 회전 초밥 벨트 위에 N개의 초밥 접시가 놓여 있습니다. 손님은 벨트 위의 임의의 한 위치부터 시작하여 연속해서 K개의 접시를 선택하여 먹을 수 있습니다.</t>
        </is>
      </c>
      <c r="M359" s="294" t="inlineStr">
        <is>
          <t>-</t>
        </is>
      </c>
    </row>
  </sheetData>
  <autoFilter ref="A1:M359"/>
  <conditionalFormatting sqref="E2:E359">
    <cfRule type="cellIs" priority="1" operator="equal" dxfId="23">
      <formula>"✅ 업로드 완료"</formula>
    </cfRule>
    <cfRule type="cellIs" priority="2" operator="equal" dxfId="24">
      <formula>"⏳ 검토중"</formula>
    </cfRule>
  </conditionalFormatting>
  <dataValidations count="1">
    <dataValidation sqref="E2:E359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8" defaultColWidth="12.63" defaultRowHeight="15" customHeight="1"/>
  <cols>
    <col width="6" customWidth="1" style="209" min="1" max="1"/>
    <col width="13" customWidth="1" style="209" min="2" max="2"/>
    <col width="15" customWidth="1" style="209" min="3" max="3"/>
    <col width="42" customWidth="1" style="209" min="4" max="4"/>
    <col width="10" customWidth="1" style="209" min="5" max="5"/>
    <col width="15" customWidth="1" style="209" min="6" max="6"/>
    <col width="17" customWidth="1" style="209" min="7" max="7"/>
    <col width="18" customWidth="1" style="209" min="8" max="8"/>
    <col width="14" customWidth="1" style="209" min="9" max="13"/>
    <col width="14" customWidth="1" style="209" min="10" max="10"/>
    <col width="14" customWidth="1" style="209" min="11" max="11"/>
    <col width="14" customWidth="1" style="209" min="12" max="12"/>
    <col width="20" customWidth="1" style="209" min="13" max="13"/>
    <col width="17" customWidth="1" style="209" min="14" max="14"/>
    <col width="18" customWidth="1" style="209" min="15" max="15"/>
    <col width="50" customWidth="1" style="209" min="16" max="26"/>
  </cols>
  <sheetData>
    <row r="1" ht="25.5" customHeight="1" s="209">
      <c r="A1" s="273" t="inlineStr">
        <is>
          <t>🛡️ 2026-2027 알기사 정보보안기사 필기 기본서 + 핵심기출 1200제 실전 스케줄링 마스터 DB</t>
        </is>
      </c>
      <c r="B1" s="267" t="n"/>
      <c r="C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M1" s="267" t="n"/>
      <c r="N1" s="267" t="n"/>
      <c r="O1" s="267" t="n"/>
      <c r="P1" s="268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21.75" customHeight="1" s="209">
      <c r="A2" s="280" t="inlineStr">
        <is>
          <t>💡 2027년 제1회(2027.02.15 CBT) 동차 합격 맞춤 스케줄 | [평일 화·목 개념정독 + 주말 토·일 기출 1200제 풀이] 주 2섹션 개념-문제 동시 완주 ➡️ 2027.02.15 CBT 합격!</t>
        </is>
      </c>
      <c r="B2" s="267" t="n"/>
      <c r="C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8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</row>
    <row r="3" ht="25.5" customHeight="1" s="209">
      <c r="A3" s="21" t="inlineStr">
        <is>
          <t>No</t>
        </is>
      </c>
      <c r="B3" s="21" t="inlineStr">
        <is>
          <t>대단원 (PART)</t>
        </is>
      </c>
      <c r="C3" s="21" t="inlineStr">
        <is>
          <t>중단원 (SECTION)</t>
        </is>
      </c>
      <c r="D3" s="21" t="inlineStr">
        <is>
          <t>소단원 / 핵심 세부 토픽</t>
        </is>
      </c>
      <c r="E3" s="21" t="inlineStr">
        <is>
          <t>출제빈도</t>
        </is>
      </c>
      <c r="F3" s="21" t="inlineStr">
        <is>
          <t>권장 학습주차</t>
        </is>
      </c>
      <c r="G3" s="21" t="inlineStr">
        <is>
          <t>개념 1회독 목표일자 (화·목)</t>
        </is>
      </c>
      <c r="H3" s="21" t="inlineStr">
        <is>
          <t>개념 준수 현황</t>
        </is>
      </c>
      <c r="I3" s="21" t="inlineStr">
        <is>
          <t>이론 1회독 일자</t>
        </is>
      </c>
      <c r="J3" s="21" t="inlineStr">
        <is>
          <t>이론 2회독 일자</t>
        </is>
      </c>
      <c r="K3" s="21" t="inlineStr">
        <is>
          <t>1200제 1차 일자</t>
        </is>
      </c>
      <c r="L3" s="21" t="inlineStr">
        <is>
          <t>1200제 2차 일자</t>
        </is>
      </c>
      <c r="M3" s="21" t="inlineStr">
        <is>
          <t>통합 학습상태</t>
        </is>
      </c>
      <c r="N3" s="21" t="inlineStr">
        <is>
          <t>1200제 목표일자 (토·일)</t>
        </is>
      </c>
      <c r="O3" s="21" t="inlineStr">
        <is>
          <t>1200제 준수 현황</t>
        </is>
      </c>
      <c r="P3" s="117" t="inlineStr">
        <is>
          <t>취약점 분석 및 핵심 요약 메모</t>
        </is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21.75" customHeight="1" s="209">
      <c r="A4" s="118" t="n">
        <v>1</v>
      </c>
      <c r="B4" s="119" t="inlineStr">
        <is>
          <t>PART 01</t>
        </is>
      </c>
      <c r="C4" s="119" t="inlineStr">
        <is>
          <t>SECTION 01</t>
        </is>
      </c>
      <c r="D4" s="120" t="inlineStr">
        <is>
          <t>정보보호관리의 개념 (1.정보화사회 2.관리체계 3.OSI보안구조 4.보안용어 CIA)</t>
        </is>
      </c>
      <c r="E4" s="118" t="inlineStr">
        <is>
          <t>★★★</t>
        </is>
      </c>
      <c r="F4" s="121" t="inlineStr">
        <is>
          <t>W03 (사전완료)</t>
        </is>
      </c>
      <c r="G4" s="281" t="n">
        <v>46280</v>
      </c>
      <c r="H4" s="123">
        <f>IF(I4&lt;&gt;"","✅ 1회독 완료",IF(G4="","-",IF(TODAY()&gt;G4,"⚠️ 지연 ("&amp;INT(TODAY()-G4)&amp;"일)","⏳ 진행예정 (D-"&amp;INT(G4-TODAY())&amp;")")))</f>
        <v/>
      </c>
      <c r="I4" s="124" t="n">
        <v>46280</v>
      </c>
      <c r="J4" s="125" t="n"/>
      <c r="K4" s="125" t="n"/>
      <c r="L4" s="125" t="n"/>
      <c r="M4" s="126">
        <f>IF(AND(I4="",K4=""),"미완료",IF(AND(I4&lt;&gt;"",K4&lt;&gt;""),"💯 개념+문제 완료",IF(I4&lt;&gt;"","📖 개념완료(문제대기)","✏️ 문제완료(개념미완)")))</f>
        <v/>
      </c>
      <c r="N4" s="281" t="n">
        <v>46285</v>
      </c>
      <c r="O4" s="126">
        <f>IF(K4&lt;&gt;"","✅ 1200제 완료",IF(N4="","-",IF(TODAY()&gt;N4,"⚠️ 지연 ("&amp;INT(TODAY()-N4)&amp;"일)","⏳ 문제예정 (D-"&amp;INT(N4-TODAY())&amp;")")))</f>
        <v/>
      </c>
      <c r="P4" s="282" t="inlineStr">
        <is>
          <t>💡 [스케줄링 예시] 1회독 일자를 입력하면 일정 준수 현황이 자동으로 "✅ 1회독 완료"로 갱신됩니다.</t>
        </is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21.75" customHeight="1" s="209">
      <c r="A5" s="118" t="n">
        <v>2</v>
      </c>
      <c r="B5" s="119" t="inlineStr">
        <is>
          <t>PART 02</t>
        </is>
      </c>
      <c r="C5" s="119" t="inlineStr">
        <is>
          <t>SECTION 02</t>
        </is>
      </c>
      <c r="D5" s="120" t="inlineStr">
        <is>
          <t>암호학 개요 (1.기본개념 2.기법분류 3.주요기술 4.암호분석 5.안전성평가 6.지재권)</t>
        </is>
      </c>
      <c r="E5" s="118" t="inlineStr">
        <is>
          <t>★★</t>
        </is>
      </c>
      <c r="F5" s="121" t="inlineStr">
        <is>
          <t>W04 (사전완료)</t>
        </is>
      </c>
      <c r="G5" s="281" t="n">
        <v>46288</v>
      </c>
      <c r="H5" s="123">
        <f>IF(I5&lt;&gt;"","✅ 1회독 완료",IF(G5="","-",IF(TODAY()&gt;G5,"⚠️ 지연 ("&amp;INT(TODAY()-G5)&amp;"일)","⏳ 진행예정 (D-"&amp;INT(G5-TODAY())&amp;")")))</f>
        <v/>
      </c>
      <c r="I5" s="124" t="n">
        <v>46288</v>
      </c>
      <c r="J5" s="125" t="n"/>
      <c r="K5" s="125" t="n"/>
      <c r="L5" s="125" t="n"/>
      <c r="M5" s="126">
        <f>IF(AND(I5="",K5=""),"미완료",IF(AND(I5&lt;&gt;"",K5&lt;&gt;""),"💯 개념+문제 완료",IF(I5&lt;&gt;"","📖 개념완료(문제대기)","✏️ 문제완료(개념미완)")))</f>
        <v/>
      </c>
      <c r="N5" s="281" t="n">
        <v>46291</v>
      </c>
      <c r="O5" s="126">
        <f>IF(K5&lt;&gt;"","✅ 1200제 완료",IF(N5="","-",IF(TODAY()&gt;N5,"⚠️ 지연 ("&amp;INT(TODAY()-N5)&amp;"일)","⏳ 문제예정 (D-"&amp;INT(N5-TODAY())&amp;")")))</f>
        <v/>
      </c>
      <c r="P5" s="283" t="inlineStr">
        <is>
          <t>전치암호, 치환암호, 케르크호프스의 원리, 차분분석/선형분석</t>
        </is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21.75" customHeight="1" s="209">
      <c r="A6" s="118" t="n">
        <v>3</v>
      </c>
      <c r="B6" s="119" t="inlineStr">
        <is>
          <t>PART 02</t>
        </is>
      </c>
      <c r="C6" s="119" t="inlineStr">
        <is>
          <t>SECTION 03</t>
        </is>
      </c>
      <c r="D6" s="120" t="inlineStr">
        <is>
          <t>대칭키 암호 (1.현대대칭키 2.DES 3.AES 4.SEED/ARIA 5.운용모드 ECB/CBC/CFB/OFB/CTR)</t>
        </is>
      </c>
      <c r="E6" s="118" t="inlineStr">
        <is>
          <t>★★★</t>
        </is>
      </c>
      <c r="F6" s="121" t="inlineStr">
        <is>
          <t>W04 (사전완료)</t>
        </is>
      </c>
      <c r="G6" s="281" t="n">
        <v>46288</v>
      </c>
      <c r="H6" s="123">
        <f>IF(I6&lt;&gt;"","✅ 1회독 완료",IF(G6="","-",IF(TODAY()&gt;G6,"⚠️ 지연 ("&amp;INT(TODAY()-G6)&amp;"일)","⏳ 진행예정 (D-"&amp;INT(G6-TODAY())&amp;")")))</f>
        <v/>
      </c>
      <c r="I6" s="124" t="n">
        <v>46288</v>
      </c>
      <c r="J6" s="125" t="n"/>
      <c r="K6" s="125" t="n"/>
      <c r="L6" s="125" t="n"/>
      <c r="M6" s="126">
        <f>IF(AND(I6="",K6=""),"미완료",IF(AND(I6&lt;&gt;"",K6&lt;&gt;""),"💯 개념+문제 완료",IF(I6&lt;&gt;"","📖 개념완료(문제대기)","✏️ 문제완료(개념미완)")))</f>
        <v/>
      </c>
      <c r="N6" s="281" t="n">
        <v>46292</v>
      </c>
      <c r="O6" s="126">
        <f>IF(K6&lt;&gt;"","✅ 1200제 완료",IF(N6="","-",IF(TODAY()&gt;N6,"⚠️ 지연 ("&amp;INT(TODAY()-N6)&amp;"일)","⏳ 문제예정 (D-"&amp;INT(N6-TODAY())&amp;")")))</f>
        <v/>
      </c>
      <c r="P6" s="283" t="inlineStr">
        <is>
          <t>Feistel(DES) vs SPN(AES), CBC(IV 필요, 오류전파), CTR(병렬처리)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 ht="21.75" customHeight="1" s="209">
      <c r="A7" s="118" t="n">
        <v>4</v>
      </c>
      <c r="B7" s="119" t="inlineStr">
        <is>
          <t>PART 02</t>
        </is>
      </c>
      <c r="C7" s="119" t="inlineStr">
        <is>
          <t>SECTION 04</t>
        </is>
      </c>
      <c r="D7" s="120" t="inlineStr">
        <is>
          <t>비대칭키 암호 (1.공개키암호 소인수분해 RSA/이산대수 ElGamal/타원곡선 ECC 2.하이브리드)</t>
        </is>
      </c>
      <c r="E7" s="118" t="inlineStr">
        <is>
          <t>★★★</t>
        </is>
      </c>
      <c r="F7" s="129" t="inlineStr">
        <is>
          <t>W06 (화:개념 / 토:문제)</t>
        </is>
      </c>
      <c r="G7" s="130" t="n">
        <v>46294</v>
      </c>
      <c r="H7" s="123">
        <f>IF(I7&lt;&gt;"","✅ 1회독 완료",IF(G7="","-",IF(TODAY()&gt;G7,"⚠️ 지연 ("&amp;INT(TODAY()-G7)&amp;"일)","⏳ 진행예정 (D-"&amp;INT(G7-TODAY())&amp;")")))</f>
        <v/>
      </c>
      <c r="I7" s="125" t="n"/>
      <c r="J7" s="125" t="n"/>
      <c r="K7" s="125" t="n"/>
      <c r="L7" s="125" t="n"/>
      <c r="M7" s="126">
        <f>IF(AND(I7="",K7=""),"미완료",IF(AND(I7&lt;&gt;"",K7&lt;&gt;""),"💯 개념+문제 완료",IF(I7&lt;&gt;"","📖 개념완료(문제대기)","✏️ 문제완료(개념미완)")))</f>
        <v/>
      </c>
      <c r="N7" s="130" t="n">
        <v>46298</v>
      </c>
      <c r="O7" s="126">
        <f>IF(K7&lt;&gt;"","✅ 1200제 완료",IF(N7="","-",IF(TODAY()&gt;N7,"⚠️ 지연 ("&amp;INT(TODAY()-N7)&amp;"일)","⏳ 문제예정 (D-"&amp;INT(N7-TODAY())&amp;")")))</f>
        <v/>
      </c>
      <c r="P7" s="283" t="inlineStr">
        <is>
          <t>RSA(N=p*q, e*d=1 mod phi), ECC(짧은 키길이 고효율), 세션키 암호화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21.75" customHeight="1" s="209">
      <c r="A8" s="118" t="n">
        <v>5</v>
      </c>
      <c r="B8" s="119" t="inlineStr">
        <is>
          <t>PART 02</t>
        </is>
      </c>
      <c r="C8" s="119" t="inlineStr">
        <is>
          <t>SECTION 05</t>
        </is>
      </c>
      <c r="D8" s="120" t="inlineStr">
        <is>
          <t>해시함수와 응용 (1.일방향해시 SHA-2/3, MD5 2.암호학적성질 역상저항성 3.MAC/HMAC)</t>
        </is>
      </c>
      <c r="E8" s="118" t="inlineStr">
        <is>
          <t>★★★</t>
        </is>
      </c>
      <c r="F8" s="129" t="inlineStr">
        <is>
          <t>W06 (목:개념 / 일:문제)</t>
        </is>
      </c>
      <c r="G8" s="130" t="n">
        <v>46296</v>
      </c>
      <c r="H8" s="123">
        <f>IF(I8&lt;&gt;"","✅ 1회독 완료",IF(G8="","-",IF(TODAY()&gt;G8,"⚠️ 지연 ("&amp;INT(TODAY()-G8)&amp;"일)","⏳ 진행예정 (D-"&amp;INT(G8-TODAY())&amp;")")))</f>
        <v/>
      </c>
      <c r="I8" s="125" t="n"/>
      <c r="J8" s="125" t="n"/>
      <c r="K8" s="125" t="n"/>
      <c r="L8" s="125" t="n"/>
      <c r="M8" s="126">
        <f>IF(AND(I8="",K8=""),"미완료",IF(AND(I8&lt;&gt;"",K8&lt;&gt;""),"💯 개념+문제 완료",IF(I8&lt;&gt;"","📖 개념완료(문제대기)","✏️ 문제완료(개념미완)")))</f>
        <v/>
      </c>
      <c r="N8" s="130" t="n">
        <v>46299</v>
      </c>
      <c r="O8" s="126">
        <f>IF(K8&lt;&gt;"","✅ 1200제 완료",IF(N8="","-",IF(TODAY()&gt;N8,"⚠️ 지연 ("&amp;INT(TODAY()-N8)&amp;"일)","⏳ 문제예정 (D-"&amp;INT(N8-TODAY())&amp;")")))</f>
        <v/>
      </c>
      <c r="P8" s="283" t="inlineStr">
        <is>
          <t>제1역상저항성, 제2역상저항성, 충돌저항성, 생일공격, HMAC 무결성/인증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21.75" customHeight="1" s="209">
      <c r="A9" s="118" t="n">
        <v>6</v>
      </c>
      <c r="B9" s="119" t="inlineStr">
        <is>
          <t>PART 02</t>
        </is>
      </c>
      <c r="C9" s="119" t="inlineStr">
        <is>
          <t>SECTION 06</t>
        </is>
      </c>
      <c r="D9" s="120" t="inlineStr">
        <is>
          <t>전자서명과 PKI (1.전자서명 송신자부인방지 2.PKI 구조 CA/RA/CRL/OCSP/X.509)</t>
        </is>
      </c>
      <c r="E9" s="118" t="inlineStr">
        <is>
          <t>★★★</t>
        </is>
      </c>
      <c r="F9" s="129" t="inlineStr">
        <is>
          <t>W07 (화:개념 / 토:문제)</t>
        </is>
      </c>
      <c r="G9" s="130" t="n">
        <v>46301</v>
      </c>
      <c r="H9" s="123">
        <f>IF(I9&lt;&gt;"","✅ 1회독 완료",IF(G9="","-",IF(TODAY()&gt;G9,"⚠️ 지연 ("&amp;INT(TODAY()-G9)&amp;"일)","⏳ 진행예정 (D-"&amp;INT(G9-TODAY())&amp;")")))</f>
        <v/>
      </c>
      <c r="I9" s="125" t="n"/>
      <c r="J9" s="125" t="n"/>
      <c r="K9" s="125" t="n"/>
      <c r="L9" s="125" t="n"/>
      <c r="M9" s="126">
        <f>IF(AND(I9="",K9=""),"미완료",IF(AND(I9&lt;&gt;"",K9&lt;&gt;""),"💯 개념+문제 완료",IF(I9&lt;&gt;"","📖 개념완료(문제대기)","✏️ 문제완료(개념미완)")))</f>
        <v/>
      </c>
      <c r="N9" s="130" t="n">
        <v>46305</v>
      </c>
      <c r="O9" s="126">
        <f>IF(K9&lt;&gt;"","✅ 1200제 완료",IF(N9="","-",IF(TODAY()&gt;N9,"⚠️ 지연 ("&amp;INT(TODAY()-N9)&amp;"일)","⏳ 문제예정 (D-"&amp;INT(N9-TODAY())&amp;")")))</f>
        <v/>
      </c>
      <c r="P9" s="283" t="inlineStr">
        <is>
          <t>송신자 개인키로 서명 -&gt; 수신자 공개키로 검증, OCSP 실시간 인증서 상태조회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21.75" customHeight="1" s="209">
      <c r="A10" s="118" t="n">
        <v>7</v>
      </c>
      <c r="B10" s="119" t="inlineStr">
        <is>
          <t>PART 02</t>
        </is>
      </c>
      <c r="C10" s="119" t="inlineStr">
        <is>
          <t>SECTION 07</t>
        </is>
      </c>
      <c r="D10" s="120" t="inlineStr">
        <is>
          <t>키, 난수 (1.키분배/Diffie-Hellman/KDC 2.의사난수/PRNG)</t>
        </is>
      </c>
      <c r="E10" s="118" t="inlineStr">
        <is>
          <t>★★</t>
        </is>
      </c>
      <c r="F10" s="129" t="inlineStr">
        <is>
          <t>W07 (목:개념 / 일:문제)</t>
        </is>
      </c>
      <c r="G10" s="130" t="n">
        <v>46303</v>
      </c>
      <c r="H10" s="123">
        <f>IF(I10&lt;&gt;"","✅ 1회독 완료",IF(G10="","-",IF(TODAY()&gt;G10,"⚠️ 지연 ("&amp;INT(TODAY()-G10)&amp;"일)","⏳ 진행예정 (D-"&amp;INT(G10-TODAY())&amp;")")))</f>
        <v/>
      </c>
      <c r="I10" s="125" t="n"/>
      <c r="J10" s="125" t="n"/>
      <c r="K10" s="125" t="n"/>
      <c r="L10" s="125" t="n"/>
      <c r="M10" s="126">
        <f>IF(AND(I10="",K10=""),"미완료",IF(AND(I10&lt;&gt;"",K10&lt;&gt;""),"💯 개념+문제 완료",IF(I10&lt;&gt;"","📖 개념완료(문제대기)","✏️ 문제완료(개념미완)")))</f>
        <v/>
      </c>
      <c r="N10" s="130" t="n">
        <v>46306</v>
      </c>
      <c r="O10" s="126">
        <f>IF(K10&lt;&gt;"","✅ 1200제 완료",IF(N10="","-",IF(TODAY()&gt;N10,"⚠️ 지연 ("&amp;INT(TODAY()-N10)&amp;"일)","⏳ 문제예정 (D-"&amp;INT(N10-TODAY())&amp;")")))</f>
        <v/>
      </c>
      <c r="P10" s="283" t="inlineStr">
        <is>
          <t>Diffie-Hellman 키교환(MITM 취약), 완전 순방향 비밀성(PFS)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1.75" customHeight="1" s="209">
      <c r="A11" s="118" t="n">
        <v>8</v>
      </c>
      <c r="B11" s="119" t="inlineStr">
        <is>
          <t>PART 03</t>
        </is>
      </c>
      <c r="C11" s="119" t="inlineStr">
        <is>
          <t>SECTION 08</t>
        </is>
      </c>
      <c r="D11" s="120" t="inlineStr">
        <is>
          <t>접근통제 개요 (식별, 인증, 인가, 책임추적성 프레임워크)</t>
        </is>
      </c>
      <c r="E11" s="118" t="inlineStr">
        <is>
          <t>★★</t>
        </is>
      </c>
      <c r="F11" s="129" t="inlineStr">
        <is>
          <t>W08 (화:개념 / 토:문제)</t>
        </is>
      </c>
      <c r="G11" s="130" t="n">
        <v>46308</v>
      </c>
      <c r="H11" s="123">
        <f>IF(I11&lt;&gt;"","✅ 1회독 완료",IF(G11="","-",IF(TODAY()&gt;G11,"⚠️ 지연 ("&amp;INT(TODAY()-G11)&amp;"일)","⏳ 진행예정 (D-"&amp;INT(G11-TODAY())&amp;")")))</f>
        <v/>
      </c>
      <c r="I11" s="125" t="n"/>
      <c r="J11" s="125" t="n"/>
      <c r="K11" s="125" t="n"/>
      <c r="L11" s="125" t="n"/>
      <c r="M11" s="126">
        <f>IF(AND(I11="",K11=""),"미완료",IF(AND(I11&lt;&gt;"",K11&lt;&gt;""),"💯 개념+문제 완료",IF(I11&lt;&gt;"","📖 개념완료(문제대기)","✏️ 문제완료(개념미완)")))</f>
        <v/>
      </c>
      <c r="N11" s="130" t="n">
        <v>46312</v>
      </c>
      <c r="O11" s="126">
        <f>IF(K11&lt;&gt;"","✅ 1200제 완료",IF(N11="","-",IF(TODAY()&gt;N11,"⚠️ 지연 ("&amp;INT(TODAY()-N11)&amp;"일)","⏳ 문제예정 (D-"&amp;INT(N11-TODAY())&amp;")")))</f>
        <v/>
      </c>
      <c r="P11" s="283" t="inlineStr">
        <is>
          <t>Access Control Matrix, Capability Ticket, ACL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21.75" customHeight="1" s="209">
      <c r="A12" s="118" t="n">
        <v>9</v>
      </c>
      <c r="B12" s="119" t="inlineStr">
        <is>
          <t>PART 03</t>
        </is>
      </c>
      <c r="C12" s="119" t="inlineStr">
        <is>
          <t>SECTION 09</t>
        </is>
      </c>
      <c r="D12" s="120" t="inlineStr">
        <is>
          <t>사용자 인증 (1.인증4요소 지식/소유/생체/특징 2.2FA/MFA 3.SSO Kerberos/OAuth/SAML)</t>
        </is>
      </c>
      <c r="E12" s="118" t="inlineStr">
        <is>
          <t>★★★</t>
        </is>
      </c>
      <c r="F12" s="129" t="inlineStr">
        <is>
          <t>W08 (목:개념 / 일:문제)</t>
        </is>
      </c>
      <c r="G12" s="130" t="n">
        <v>46310</v>
      </c>
      <c r="H12" s="123">
        <f>IF(I12&lt;&gt;"","✅ 1회독 완료",IF(G12="","-",IF(TODAY()&gt;G12,"⚠️ 지연 ("&amp;INT(TODAY()-G12)&amp;"일)","⏳ 진행예정 (D-"&amp;INT(G12-TODAY())&amp;")")))</f>
        <v/>
      </c>
      <c r="I12" s="125" t="n"/>
      <c r="J12" s="125" t="n"/>
      <c r="K12" s="125" t="n"/>
      <c r="L12" s="125" t="n"/>
      <c r="M12" s="126">
        <f>IF(AND(I12="",K12=""),"미완료",IF(AND(I12&lt;&gt;"",K12&lt;&gt;""),"💯 개념+문제 완료",IF(I12&lt;&gt;"","📖 개념완료(문제대기)","✏️ 문제완료(개념미완)")))</f>
        <v/>
      </c>
      <c r="N12" s="130" t="n">
        <v>46313</v>
      </c>
      <c r="O12" s="126">
        <f>IF(K12&lt;&gt;"","✅ 1200제 완료",IF(N12="","-",IF(TODAY()&gt;N12,"⚠️ 지연 ("&amp;INT(TODAY()-N12)&amp;"일)","⏳ 문제예정 (D-"&amp;INT(N12-TODAY())&amp;")")))</f>
        <v/>
      </c>
      <c r="P12" s="283" t="inlineStr">
        <is>
          <t>Kerberos(KDC, AS, TGS, 티켓 기반), OAuth 2.0 Access Token, SAML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1.75" customHeight="1" s="209">
      <c r="A13" s="118" t="n">
        <v>10</v>
      </c>
      <c r="B13" s="119" t="inlineStr">
        <is>
          <t>PART 03</t>
        </is>
      </c>
      <c r="C13" s="119" t="inlineStr">
        <is>
          <t>SECTION 10</t>
        </is>
      </c>
      <c r="D13" s="120" t="inlineStr">
        <is>
          <t>접근통제 보안 모델 (1.통제모델 DAC/MAC/RBAC 2.보안모델 BLP/Biba/Clark-Wilson/Chinese Wall)</t>
        </is>
      </c>
      <c r="E13" s="118" t="inlineStr">
        <is>
          <t>★★★</t>
        </is>
      </c>
      <c r="F13" s="129" t="inlineStr">
        <is>
          <t>W09 (화:개념 / 토:문제)</t>
        </is>
      </c>
      <c r="G13" s="130" t="n">
        <v>46315</v>
      </c>
      <c r="H13" s="123">
        <f>IF(I13&lt;&gt;"","✅ 1회독 완료",IF(G13="","-",IF(TODAY()&gt;G13,"⚠️ 지연 ("&amp;INT(TODAY()-G13)&amp;"일)","⏳ 진행예정 (D-"&amp;INT(G13-TODAY())&amp;")")))</f>
        <v/>
      </c>
      <c r="I13" s="125" t="n"/>
      <c r="J13" s="125" t="n"/>
      <c r="K13" s="125" t="n"/>
      <c r="L13" s="125" t="n"/>
      <c r="M13" s="126">
        <f>IF(AND(I13="",K13=""),"미완료",IF(AND(I13&lt;&gt;"",K13&lt;&gt;""),"💯 개념+문제 완료",IF(I13&lt;&gt;"","📖 개념완료(문제대기)","✏️ 문제완료(개념미완)")))</f>
        <v/>
      </c>
      <c r="N13" s="130" t="n">
        <v>46319</v>
      </c>
      <c r="O13" s="126">
        <f>IF(K13&lt;&gt;"","✅ 1200제 완료",IF(N13="","-",IF(TODAY()&gt;N13,"⚠️ 지연 ("&amp;INT(TODAY()-N13)&amp;"일)","⏳ 문제예정 (D-"&amp;INT(N13-TODAY())&amp;")")))</f>
        <v/>
      </c>
      <c r="P13" s="283" t="inlineStr">
        <is>
          <t>BLP(기밀성: No Read Up, No Write Down), Biba(무결성: No Read Down, No Write Up)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21.75" customHeight="1" s="209">
      <c r="A14" s="118" t="n">
        <v>11</v>
      </c>
      <c r="B14" s="119" t="inlineStr">
        <is>
          <t>PART 03</t>
        </is>
      </c>
      <c r="C14" s="119" t="inlineStr">
        <is>
          <t>SECTION 11</t>
        </is>
      </c>
      <c r="D14" s="120" t="inlineStr">
        <is>
          <t>접근통제 보안위협 및 대응책 (패스워드 크래킹 사전/무차별, Rainbow Table, 솔트 Salt)</t>
        </is>
      </c>
      <c r="E14" s="118" t="inlineStr">
        <is>
          <t>★★</t>
        </is>
      </c>
      <c r="F14" s="129" t="inlineStr">
        <is>
          <t>W09 (목:개념 / 일:문제)</t>
        </is>
      </c>
      <c r="G14" s="130" t="n">
        <v>46317</v>
      </c>
      <c r="H14" s="123">
        <f>IF(I14&lt;&gt;"","✅ 1회독 완료",IF(G14="","-",IF(TODAY()&gt;G14,"⚠️ 지연 ("&amp;INT(TODAY()-G14)&amp;"일)","⏳ 진행예정 (D-"&amp;INT(G14-TODAY())&amp;")")))</f>
        <v/>
      </c>
      <c r="I14" s="125" t="n"/>
      <c r="J14" s="125" t="n"/>
      <c r="K14" s="125" t="n"/>
      <c r="L14" s="125" t="n"/>
      <c r="M14" s="126">
        <f>IF(AND(I14="",K14=""),"미완료",IF(AND(I14&lt;&gt;"",K14&lt;&gt;""),"💯 개념+문제 완료",IF(I14&lt;&gt;"","📖 개념완료(문제대기)","✏️ 문제완료(개념미완)")))</f>
        <v/>
      </c>
      <c r="N14" s="130" t="n">
        <v>46320</v>
      </c>
      <c r="O14" s="126">
        <f>IF(K14&lt;&gt;"","✅ 1200제 완료",IF(N14="","-",IF(TODAY()&gt;N14,"⚠️ 지연 ("&amp;INT(TODAY()-N14)&amp;"일)","⏳ 문제예정 (D-"&amp;INT(N14-TODAY())&amp;")")))</f>
        <v/>
      </c>
      <c r="P14" s="283" t="inlineStr">
        <is>
          <t>솔팅(Salting) 및 키 스트레칭(PBKDF2, bcrypt, scrypt)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21.75" customHeight="1" s="209">
      <c r="A15" s="118" t="n">
        <v>12</v>
      </c>
      <c r="B15" s="119" t="inlineStr">
        <is>
          <t>PART 04</t>
        </is>
      </c>
      <c r="C15" s="119" t="inlineStr">
        <is>
          <t>SECTION 12</t>
        </is>
      </c>
      <c r="D15" s="120" t="inlineStr">
        <is>
          <t>보안 운영체제 (1.Secure OS 2.주요기능 3.보안커널/참조모니터 4.TPM 신뢰플랫폼)</t>
        </is>
      </c>
      <c r="E15" s="118" t="inlineStr">
        <is>
          <t>★★</t>
        </is>
      </c>
      <c r="F15" s="129" t="inlineStr">
        <is>
          <t>W10 (화:개념 / 토:문제)</t>
        </is>
      </c>
      <c r="G15" s="130" t="n">
        <v>46322</v>
      </c>
      <c r="H15" s="123">
        <f>IF(I15&lt;&gt;"","✅ 1회독 완료",IF(G15="","-",IF(TODAY()&gt;G15,"⚠️ 지연 ("&amp;INT(TODAY()-G15)&amp;"일)","⏳ 진행예정 (D-"&amp;INT(G15-TODAY())&amp;")")))</f>
        <v/>
      </c>
      <c r="I15" s="125" t="n"/>
      <c r="J15" s="125" t="n"/>
      <c r="K15" s="125" t="n"/>
      <c r="L15" s="125" t="n"/>
      <c r="M15" s="126">
        <f>IF(AND(I15="",K15=""),"미완료",IF(AND(I15&lt;&gt;"",K15&lt;&gt;""),"💯 개념+문제 완료",IF(I15&lt;&gt;"","📖 개념완료(문제대기)","✏️ 문제완료(개념미완)")))</f>
        <v/>
      </c>
      <c r="N15" s="130" t="n">
        <v>46326</v>
      </c>
      <c r="O15" s="126">
        <f>IF(K15&lt;&gt;"","✅ 1200제 완료",IF(N15="","-",IF(TODAY()&gt;N15,"⚠️ 지연 ("&amp;INT(TODAY()-N15)&amp;"일)","⏳ 문제예정 (D-"&amp;INT(N15-TODAY())&amp;")")))</f>
        <v/>
      </c>
      <c r="P15" s="283" t="inlineStr">
        <is>
          <t>참조 모니터 3대 특징(격리성, 완전성, 검증가능성), TPM 하드웨어 암호화</t>
        </is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21.75" customHeight="1" s="209">
      <c r="A16" s="118" t="n">
        <v>13</v>
      </c>
      <c r="B16" s="119" t="inlineStr">
        <is>
          <t>PART 04</t>
        </is>
      </c>
      <c r="C16" s="119" t="inlineStr">
        <is>
          <t>SECTION 13</t>
        </is>
      </c>
      <c r="D16" s="120" t="inlineStr">
        <is>
          <t>클라이언트 보안 (1.악성코드 바이러스/웜/트로이목마/스파이웨어/루트킷 2.인터넷보안)</t>
        </is>
      </c>
      <c r="E16" s="118" t="inlineStr">
        <is>
          <t>★★</t>
        </is>
      </c>
      <c r="F16" s="129" t="inlineStr">
        <is>
          <t>W10 (목:개념 / 일:문제)</t>
        </is>
      </c>
      <c r="G16" s="130" t="n">
        <v>46324</v>
      </c>
      <c r="H16" s="123">
        <f>IF(I16&lt;&gt;"","✅ 1회독 완료",IF(G16="","-",IF(TODAY()&gt;G16,"⚠️ 지연 ("&amp;INT(TODAY()-G16)&amp;"일)","⏳ 진행예정 (D-"&amp;INT(G16-TODAY())&amp;")")))</f>
        <v/>
      </c>
      <c r="I16" s="125" t="n"/>
      <c r="J16" s="125" t="n"/>
      <c r="K16" s="125" t="n"/>
      <c r="L16" s="125" t="n"/>
      <c r="M16" s="126">
        <f>IF(AND(I16="",K16=""),"미완료",IF(AND(I16&lt;&gt;"",K16&lt;&gt;""),"💯 개념+문제 완료",IF(I16&lt;&gt;"","📖 개념완료(문제대기)","✏️ 문제완료(개념미완)")))</f>
        <v/>
      </c>
      <c r="N16" s="130" t="n">
        <v>46327</v>
      </c>
      <c r="O16" s="126">
        <f>IF(K16&lt;&gt;"","✅ 1200제 완료",IF(N16="","-",IF(TODAY()&gt;N16,"⚠️ 지연 ("&amp;INT(TODAY()-N16)&amp;"일)","⏳ 문제예정 (D-"&amp;INT(N16-TODAY())&amp;")")))</f>
        <v/>
      </c>
      <c r="P16" s="283" t="inlineStr">
        <is>
          <t>웜(자가복제, 네트워크 전파) vs 바이러스(숙주 필요), 랜섬웨어</t>
        </is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21.75" customHeight="1" s="209">
      <c r="A17" s="118" t="n">
        <v>14</v>
      </c>
      <c r="B17" s="119" t="inlineStr">
        <is>
          <t>PART 04</t>
        </is>
      </c>
      <c r="C17" s="119" t="inlineStr">
        <is>
          <t>SECTION 14</t>
        </is>
      </c>
      <c r="D17" s="120" t="inlineStr">
        <is>
          <t>윈도우 서버 보안 (1.윈도우구조 2.SAM/NTFS권한/Active Directory 3.보안설정)</t>
        </is>
      </c>
      <c r="E17" s="118" t="inlineStr">
        <is>
          <t>★★★</t>
        </is>
      </c>
      <c r="F17" s="129" t="inlineStr">
        <is>
          <t>W11 (화:개념 / 토:문제)</t>
        </is>
      </c>
      <c r="G17" s="130" t="n">
        <v>46329</v>
      </c>
      <c r="H17" s="123">
        <f>IF(I17&lt;&gt;"","✅ 1회독 완료",IF(G17="","-",IF(TODAY()&gt;G17,"⚠️ 지연 ("&amp;INT(TODAY()-G17)&amp;"일)","⏳ 진행예정 (D-"&amp;INT(G17-TODAY())&amp;")")))</f>
        <v/>
      </c>
      <c r="I17" s="125" t="n"/>
      <c r="J17" s="125" t="n"/>
      <c r="K17" s="125" t="n"/>
      <c r="L17" s="125" t="n"/>
      <c r="M17" s="126">
        <f>IF(AND(I17="",K17=""),"미완료",IF(AND(I17&lt;&gt;"",K17&lt;&gt;""),"💯 개념+문제 완료",IF(I17&lt;&gt;"","📖 개념완료(문제대기)","✏️ 문제완료(개념미완)")))</f>
        <v/>
      </c>
      <c r="N17" s="130" t="n">
        <v>46333</v>
      </c>
      <c r="O17" s="126">
        <f>IF(K17&lt;&gt;"","✅ 1200제 완료",IF(N17="","-",IF(TODAY()&gt;N17,"⚠️ 지연 ("&amp;INT(TODAY()-N17)&amp;"일)","⏳ 문제예정 (D-"&amp;INT(N17-TODAY())&amp;")")))</f>
        <v/>
      </c>
      <c r="P17" s="283" t="inlineStr">
        <is>
          <t>SAM 파일(%SystemRoot%\system32\config), 공유폴더(IPC$, admin$, C$), 레지스트리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21.75" customHeight="1" s="209">
      <c r="A18" s="118" t="n">
        <v>15</v>
      </c>
      <c r="B18" s="119" t="inlineStr">
        <is>
          <t>PART 04</t>
        </is>
      </c>
      <c r="C18" s="119" t="inlineStr">
        <is>
          <t>SECTION 15</t>
        </is>
      </c>
      <c r="D18" s="120" t="inlineStr">
        <is>
          <t>유닉스/리눅스 서버 보안 (1.UNIX기본 2.계정관리 /etc/passwd,/etc/shadow 3.권한/umask/SetUID/SetGID/StickyBit)</t>
        </is>
      </c>
      <c r="E18" s="118" t="inlineStr">
        <is>
          <t>★★★</t>
        </is>
      </c>
      <c r="F18" s="129" t="inlineStr">
        <is>
          <t>W11 (목:개념 / 일:문제)</t>
        </is>
      </c>
      <c r="G18" s="130" t="n">
        <v>46331</v>
      </c>
      <c r="H18" s="123">
        <f>IF(I18&lt;&gt;"","✅ 1회독 완료",IF(G18="","-",IF(TODAY()&gt;G18,"⚠️ 지연 ("&amp;INT(TODAY()-G18)&amp;"일)","⏳ 진행예정 (D-"&amp;INT(G18-TODAY())&amp;")")))</f>
        <v/>
      </c>
      <c r="I18" s="125" t="n"/>
      <c r="J18" s="125" t="n"/>
      <c r="K18" s="125" t="n"/>
      <c r="L18" s="125" t="n"/>
      <c r="M18" s="126">
        <f>IF(AND(I18="",K18=""),"미완료",IF(AND(I18&lt;&gt;"",K18&lt;&gt;""),"💯 개념+문제 완료",IF(I18&lt;&gt;"","📖 개념완료(문제대기)","✏️ 문제완료(개념미완)")))</f>
        <v/>
      </c>
      <c r="N18" s="130" t="n">
        <v>46334</v>
      </c>
      <c r="O18" s="126">
        <f>IF(K18&lt;&gt;"","✅ 1200제 완료",IF(N18="","-",IF(TODAY()&gt;N18,"⚠️ 지연 ("&amp;INT(TODAY()-N18)&amp;"일)","⏳ 문제예정 (D-"&amp;INT(N18-TODAY())&amp;")")))</f>
        <v/>
      </c>
      <c r="P18" s="283" t="inlineStr">
        <is>
          <t>shadow 필드 구조, SetUID(4000), umask 계산(777/666 - umask), Sticky Bit(1000)</t>
        </is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1.75" customHeight="1" s="209">
      <c r="A19" s="118" t="n">
        <v>16</v>
      </c>
      <c r="B19" s="119" t="inlineStr">
        <is>
          <t>PART 04</t>
        </is>
      </c>
      <c r="C19" s="119" t="inlineStr">
        <is>
          <t>SECTION 16</t>
        </is>
      </c>
      <c r="D19" s="120" t="inlineStr">
        <is>
          <t>서버 보안 관리 (1.서버관리업무 2.로그관리 utmp/wtmp/btmp/lastlog/syslog 3.해킹도구대응 4.보안SW)</t>
        </is>
      </c>
      <c r="E19" s="118" t="inlineStr">
        <is>
          <t>★★★</t>
        </is>
      </c>
      <c r="F19" s="129" t="inlineStr">
        <is>
          <t>W12 (화:개념 / 토:문제)</t>
        </is>
      </c>
      <c r="G19" s="130" t="n">
        <v>46336</v>
      </c>
      <c r="H19" s="123">
        <f>IF(I19&lt;&gt;"","✅ 1회독 완료",IF(G19="","-",IF(TODAY()&gt;G19,"⚠️ 지연 ("&amp;INT(TODAY()-G19)&amp;"일)","⏳ 진행예정 (D-"&amp;INT(G19-TODAY())&amp;")")))</f>
        <v/>
      </c>
      <c r="I19" s="125" t="n"/>
      <c r="J19" s="125" t="n"/>
      <c r="K19" s="125" t="n"/>
      <c r="L19" s="125" t="n"/>
      <c r="M19" s="126">
        <f>IF(AND(I19="",K19=""),"미완료",IF(AND(I19&lt;&gt;"",K19&lt;&gt;""),"💯 개념+문제 완료",IF(I19&lt;&gt;"","📖 개념완료(문제대기)","✏️ 문제완료(개념미완)")))</f>
        <v/>
      </c>
      <c r="N19" s="130" t="n">
        <v>46340</v>
      </c>
      <c r="O19" s="126">
        <f>IF(K19&lt;&gt;"","✅ 1200제 완료",IF(N19="","-",IF(TODAY()&gt;N19,"⚠️ 지연 ("&amp;INT(TODAY()-N19)&amp;"일)","⏳ 문제예정 (D-"&amp;INT(N19-TODAY())&amp;")")))</f>
        <v/>
      </c>
      <c r="P19" s="283" t="inlineStr">
        <is>
          <t>wtmp(last), btmp(lastb), utmp(who, w), lastlog, /etc/rsyslog.conf</t>
        </is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1.75" customHeight="1" s="209">
      <c r="A20" s="118" t="n">
        <v>17</v>
      </c>
      <c r="B20" s="119" t="inlineStr">
        <is>
          <t>PART 04</t>
        </is>
      </c>
      <c r="C20" s="119" t="inlineStr">
        <is>
          <t>SECTION 17</t>
        </is>
      </c>
      <c r="D20" s="120" t="inlineStr">
        <is>
          <t>시스템 보안위협 및 대응 (1.버퍼오버플로우 Stack/Heap 2.포맷스트링 3.레이스컨디션 4.백도어 5.보안기법 ASLR/DEP/Canary)</t>
        </is>
      </c>
      <c r="E20" s="118" t="inlineStr">
        <is>
          <t>★★★</t>
        </is>
      </c>
      <c r="F20" s="129" t="inlineStr">
        <is>
          <t>W12 (목:개념 / 일:문제)</t>
        </is>
      </c>
      <c r="G20" s="130" t="n">
        <v>46338</v>
      </c>
      <c r="H20" s="123">
        <f>IF(I20&lt;&gt;"","✅ 1회독 완료",IF(G20="","-",IF(TODAY()&gt;G20,"⚠️ 지연 ("&amp;INT(TODAY()-G20)&amp;"일)","⏳ 진행예정 (D-"&amp;INT(G20-TODAY())&amp;")")))</f>
        <v/>
      </c>
      <c r="I20" s="125" t="n"/>
      <c r="J20" s="125" t="n"/>
      <c r="K20" s="125" t="n"/>
      <c r="L20" s="125" t="n"/>
      <c r="M20" s="126">
        <f>IF(AND(I20="",K20=""),"미완료",IF(AND(I20&lt;&gt;"",K20&lt;&gt;""),"💯 개념+문제 완료",IF(I20&lt;&gt;"","📖 개념완료(문제대기)","✏️ 문제완료(개념미완)")))</f>
        <v/>
      </c>
      <c r="N20" s="130" t="n">
        <v>46341</v>
      </c>
      <c r="O20" s="126">
        <f>IF(K20&lt;&gt;"","✅ 1200제 완료",IF(N20="","-",IF(TODAY()&gt;N20,"⚠️ 지연 ("&amp;INT(TODAY()-N20)&amp;"일)","⏳ 문제예정 (D-"&amp;INT(N20-TODAY())&amp;")")))</f>
        <v/>
      </c>
      <c r="P20" s="283" t="inlineStr">
        <is>
          <t>Stack BoF(RET 변조), 포맷스트링(%n,%x), Race Condition(심볼릭링크), ASLR/DEP</t>
        </is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1.75" customHeight="1" s="209">
      <c r="A21" s="118" t="n">
        <v>18</v>
      </c>
      <c r="B21" s="119" t="inlineStr">
        <is>
          <t>PART 04</t>
        </is>
      </c>
      <c r="C21" s="119" t="inlineStr">
        <is>
          <t>SECTION 18</t>
        </is>
      </c>
      <c r="D21" s="120" t="inlineStr">
        <is>
          <t>최신 보안 주제들 (1.블록체인 2.IoT 3.클라우드 IaaS/PaaS/SaaS 4.랜섬웨어 5.APT 6.가상화)</t>
        </is>
      </c>
      <c r="E21" s="118" t="inlineStr">
        <is>
          <t>★★</t>
        </is>
      </c>
      <c r="F21" s="129" t="inlineStr">
        <is>
          <t>W13 (화:개념 / 토:문제)</t>
        </is>
      </c>
      <c r="G21" s="130" t="n">
        <v>46343</v>
      </c>
      <c r="H21" s="123">
        <f>IF(I21&lt;&gt;"","✅ 1회독 완료",IF(G21="","-",IF(TODAY()&gt;G21,"⚠️ 지연 ("&amp;INT(TODAY()-G21)&amp;"일)","⏳ 진행예정 (D-"&amp;INT(G21-TODAY())&amp;")")))</f>
        <v/>
      </c>
      <c r="I21" s="125" t="n"/>
      <c r="J21" s="125" t="n"/>
      <c r="K21" s="125" t="n"/>
      <c r="L21" s="125" t="n"/>
      <c r="M21" s="126">
        <f>IF(AND(I21="",K21=""),"미완료",IF(AND(I21&lt;&gt;"",K21&lt;&gt;""),"💯 개념+문제 완료",IF(I21&lt;&gt;"","📖 개념완료(문제대기)","✏️ 문제완료(개념미완)")))</f>
        <v/>
      </c>
      <c r="N21" s="130" t="n">
        <v>46347</v>
      </c>
      <c r="O21" s="126">
        <f>IF(K21&lt;&gt;"","✅ 1200제 완료",IF(N21="","-",IF(TODAY()&gt;N21,"⚠️ 지연 ("&amp;INT(TODAY()-N21)&amp;"일)","⏳ 문제예정 (D-"&amp;INT(N21-TODAY())&amp;")")))</f>
        <v/>
      </c>
      <c r="P21" s="283" t="inlineStr">
        <is>
          <t>클라우드 공유책임모델, APT 공격 단계(침투-&gt;거점확보-&gt;권한상승-&gt;정보유출)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1.75" customHeight="1" s="209">
      <c r="A22" s="118" t="n">
        <v>19</v>
      </c>
      <c r="B22" s="119" t="inlineStr">
        <is>
          <t>PART 05</t>
        </is>
      </c>
      <c r="C22" s="119" t="inlineStr">
        <is>
          <t>SECTION 19</t>
        </is>
      </c>
      <c r="D22" s="120" t="inlineStr">
        <is>
          <t>네트워크 개요 (OSI 7계층 vs TCP/IP 4계층, 캡슐화/역캡슐화)</t>
        </is>
      </c>
      <c r="E22" s="118" t="inlineStr">
        <is>
          <t>★★</t>
        </is>
      </c>
      <c r="F22" s="129" t="inlineStr">
        <is>
          <t>W13 (목:개념 / 일:문제)</t>
        </is>
      </c>
      <c r="G22" s="130" t="n">
        <v>46345</v>
      </c>
      <c r="H22" s="123">
        <f>IF(I22&lt;&gt;"","✅ 1회독 완료",IF(G22="","-",IF(TODAY()&gt;G22,"⚠️ 지연 ("&amp;INT(TODAY()-G22)&amp;"일)","⏳ 진행예정 (D-"&amp;INT(G22-TODAY())&amp;")")))</f>
        <v/>
      </c>
      <c r="I22" s="125" t="n"/>
      <c r="J22" s="125" t="n"/>
      <c r="K22" s="125" t="n"/>
      <c r="L22" s="125" t="n"/>
      <c r="M22" s="126">
        <f>IF(AND(I22="",K22=""),"미완료",IF(AND(I22&lt;&gt;"",K22&lt;&gt;""),"💯 개념+문제 완료",IF(I22&lt;&gt;"","📖 개념완료(문제대기)","✏️ 문제완료(개념미완)")))</f>
        <v/>
      </c>
      <c r="N22" s="130" t="n">
        <v>46348</v>
      </c>
      <c r="O22" s="126">
        <f>IF(K22&lt;&gt;"","✅ 1200제 완료",IF(N22="","-",IF(TODAY()&gt;N22,"⚠️ 지연 ("&amp;INT(TODAY()-N22)&amp;"일)","⏳ 문제예정 (D-"&amp;INT(N22-TODAY())&amp;")")))</f>
        <v/>
      </c>
      <c r="P22" s="283" t="inlineStr">
        <is>
          <t>각 계층별 프로토콜 및 PDU (Frame, Packet, Segment, Data)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1.75" customHeight="1" s="209">
      <c r="A23" s="118" t="n">
        <v>20</v>
      </c>
      <c r="B23" s="119" t="inlineStr">
        <is>
          <t>PART 05</t>
        </is>
      </c>
      <c r="C23" s="119" t="inlineStr">
        <is>
          <t>SECTION 20</t>
        </is>
      </c>
      <c r="D23" s="120" t="inlineStr">
        <is>
          <t>TCP/IP 프로토콜 (1.물리 2.데이터링크 MAC/ARP/RARP 3.네트워크 IP/ICMP/IGMP 4.전송 TCP 3-Way/UDP 5.응용)</t>
        </is>
      </c>
      <c r="E23" s="118" t="inlineStr">
        <is>
          <t>★★★</t>
        </is>
      </c>
      <c r="F23" s="129" t="inlineStr">
        <is>
          <t>W14 (화:개념 / 토:문제)</t>
        </is>
      </c>
      <c r="G23" s="130" t="n">
        <v>46350</v>
      </c>
      <c r="H23" s="123">
        <f>IF(I23&lt;&gt;"","✅ 1회독 완료",IF(G23="","-",IF(TODAY()&gt;G23,"⚠️ 지연 ("&amp;INT(TODAY()-G23)&amp;"일)","⏳ 진행예정 (D-"&amp;INT(G23-TODAY())&amp;")")))</f>
        <v/>
      </c>
      <c r="I23" s="125" t="n"/>
      <c r="J23" s="125" t="n"/>
      <c r="K23" s="125" t="n"/>
      <c r="L23" s="125" t="n"/>
      <c r="M23" s="126">
        <f>IF(AND(I23="",K23=""),"미완료",IF(AND(I23&lt;&gt;"",K23&lt;&gt;""),"💯 개념+문제 완료",IF(I23&lt;&gt;"","📖 개념완료(문제대기)","✏️ 문제완료(개념미완)")))</f>
        <v/>
      </c>
      <c r="N23" s="130" t="n">
        <v>46354</v>
      </c>
      <c r="O23" s="126">
        <f>IF(K23&lt;&gt;"","✅ 1200제 완료",IF(N23="","-",IF(TODAY()&gt;N23,"⚠️ 지연 ("&amp;INT(TODAY()-N23)&amp;"일)","⏳ 문제예정 (D-"&amp;INT(N23-TODAY())&amp;")")))</f>
        <v/>
      </c>
      <c r="P23" s="283" t="inlineStr">
        <is>
          <t>TCP Flag(SYN, ACK, FIN, RST), 3-Way Handshake, TCP 4-Way Teardown, ICMP Type</t>
        </is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1.75" customHeight="1" s="209">
      <c r="A24" s="118" t="n">
        <v>21</v>
      </c>
      <c r="B24" s="119" t="inlineStr">
        <is>
          <t>PART 05</t>
        </is>
      </c>
      <c r="C24" s="119" t="inlineStr">
        <is>
          <t>SECTION 21</t>
        </is>
      </c>
      <c r="D24" s="120" t="inlineStr">
        <is>
          <t>라우팅 (1.라우팅개요 2.유니캐스트 RIP/OSPF/BGP 3.라우터 보안 ACL 표준/확장)</t>
        </is>
      </c>
      <c r="E24" s="118" t="inlineStr">
        <is>
          <t>★★</t>
        </is>
      </c>
      <c r="F24" s="129" t="inlineStr">
        <is>
          <t>W14 (목:개념 / 일:문제)</t>
        </is>
      </c>
      <c r="G24" s="130" t="n">
        <v>46352</v>
      </c>
      <c r="H24" s="123">
        <f>IF(I24&lt;&gt;"","✅ 1회독 완료",IF(G24="","-",IF(TODAY()&gt;G24,"⚠️ 지연 ("&amp;INT(TODAY()-G24)&amp;"일)","⏳ 진행예정 (D-"&amp;INT(G24-TODAY())&amp;")")))</f>
        <v/>
      </c>
      <c r="I24" s="125" t="n"/>
      <c r="J24" s="125" t="n"/>
      <c r="K24" s="125" t="n"/>
      <c r="L24" s="125" t="n"/>
      <c r="M24" s="126">
        <f>IF(AND(I24="",K24=""),"미완료",IF(AND(I24&lt;&gt;"",K24&lt;&gt;""),"💯 개념+문제 완료",IF(I24&lt;&gt;"","📖 개념완료(문제대기)","✏️ 문제완료(개념미완)")))</f>
        <v/>
      </c>
      <c r="N24" s="130" t="n">
        <v>46355</v>
      </c>
      <c r="O24" s="126">
        <f>IF(K24&lt;&gt;"","✅ 1200제 완료",IF(N24="","-",IF(TODAY()&gt;N24,"⚠️ 지연 ("&amp;INT(TODAY()-N24)&amp;"일)","⏳ 문제예정 (D-"&amp;INT(N24-TODAY())&amp;")")))</f>
        <v/>
      </c>
      <c r="P24" s="283" t="inlineStr">
        <is>
          <t>표준 ACL(1~99, 출발지 IP만 검사) vs 확장 ACL(100~199, 출발지/목적지 IP/포트 검사)</t>
        </is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1.75" customHeight="1" s="209">
      <c r="A25" s="118" t="n">
        <v>22</v>
      </c>
      <c r="B25" s="119" t="inlineStr">
        <is>
          <t>PART 05</t>
        </is>
      </c>
      <c r="C25" s="119" t="inlineStr">
        <is>
          <t>SECTION 22</t>
        </is>
      </c>
      <c r="D25" s="120" t="inlineStr">
        <is>
          <t>네트워크 장비의 이해 (1.L2스위치/L3/L4/L7 2.VLAN 구성 및 트렁킹 802.1Q)</t>
        </is>
      </c>
      <c r="E25" s="118" t="inlineStr">
        <is>
          <t>★★</t>
        </is>
      </c>
      <c r="F25" s="129" t="inlineStr">
        <is>
          <t>W15 (화:개념 / 토:문제)</t>
        </is>
      </c>
      <c r="G25" s="130" t="n">
        <v>46357</v>
      </c>
      <c r="H25" s="123">
        <f>IF(I25&lt;&gt;"","✅ 1회독 완료",IF(G25="","-",IF(TODAY()&gt;G25,"⚠️ 지연 ("&amp;INT(TODAY()-G25)&amp;"일)","⏳ 진행예정 (D-"&amp;INT(G25-TODAY())&amp;")")))</f>
        <v/>
      </c>
      <c r="I25" s="125" t="n"/>
      <c r="J25" s="125" t="n"/>
      <c r="K25" s="125" t="n"/>
      <c r="L25" s="125" t="n"/>
      <c r="M25" s="126">
        <f>IF(AND(I25="",K25=""),"미완료",IF(AND(I25&lt;&gt;"",K25&lt;&gt;""),"💯 개념+문제 완료",IF(I25&lt;&gt;"","📖 개념완료(문제대기)","✏️ 문제완료(개념미완)")))</f>
        <v/>
      </c>
      <c r="N25" s="130" t="n">
        <v>46361</v>
      </c>
      <c r="O25" s="126">
        <f>IF(K25&lt;&gt;"","✅ 1200제 완료",IF(N25="","-",IF(TODAY()&gt;N25,"⚠️ 지연 ("&amp;INT(TODAY()-N25)&amp;"일)","⏳ 문제예정 (D-"&amp;INT(N25-TODAY())&amp;")")))</f>
        <v/>
      </c>
      <c r="P25" s="283" t="inlineStr">
        <is>
          <t>L4 로드밸런싱, VLAN 브로드캐스트 도메인 격리, 스패닝 트리 프로토콜(STP)</t>
        </is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1.75" customHeight="1" s="209">
      <c r="A26" s="118" t="n">
        <v>23</v>
      </c>
      <c r="B26" s="119" t="inlineStr">
        <is>
          <t>PART 05</t>
        </is>
      </c>
      <c r="C26" s="119" t="inlineStr">
        <is>
          <t>SECTION 23</t>
        </is>
      </c>
      <c r="D26" s="120" t="inlineStr">
        <is>
          <t>무선통신 보안 (1.무선랜 802.11 2.보안프로토콜 WEP/WPA/WPA2/WPA3 3.RFID 4.모바일)</t>
        </is>
      </c>
      <c r="E26" s="118" t="inlineStr">
        <is>
          <t>★★</t>
        </is>
      </c>
      <c r="F26" s="129" t="inlineStr">
        <is>
          <t>W15 (목:개념 / 일:문제)</t>
        </is>
      </c>
      <c r="G26" s="130" t="n">
        <v>46359</v>
      </c>
      <c r="H26" s="123">
        <f>IF(I26&lt;&gt;"","✅ 1회독 완료",IF(G26="","-",IF(TODAY()&gt;G26,"⚠️ 지연 ("&amp;INT(TODAY()-G26)&amp;"일)","⏳ 진행예정 (D-"&amp;INT(G26-TODAY())&amp;")")))</f>
        <v/>
      </c>
      <c r="I26" s="125" t="n"/>
      <c r="J26" s="125" t="n"/>
      <c r="K26" s="125" t="n"/>
      <c r="L26" s="125" t="n"/>
      <c r="M26" s="126">
        <f>IF(AND(I26="",K26=""),"미완료",IF(AND(I26&lt;&gt;"",K26&lt;&gt;""),"💯 개념+문제 완료",IF(I26&lt;&gt;"","📖 개념완료(문제대기)","✏️ 문제완료(개념미완)")))</f>
        <v/>
      </c>
      <c r="N26" s="130" t="n">
        <v>46362</v>
      </c>
      <c r="O26" s="126">
        <f>IF(K26&lt;&gt;"","✅ 1200제 완료",IF(N26="","-",IF(TODAY()&gt;N26,"⚠️ 지연 ("&amp;INT(TODAY()-N26)&amp;"일)","⏳ 문제예정 (D-"&amp;INT(N26-TODAY())&amp;")")))</f>
        <v/>
      </c>
      <c r="P26" s="283" t="inlineStr">
        <is>
          <t>WEP(RC4, 취약) -&gt; WPA(TKIP) -&gt; WPA2(AES-CCMP) -&gt; WPA3(SAE 동시인증)</t>
        </is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1.75" customHeight="1" s="209">
      <c r="A27" s="118" t="n">
        <v>24</v>
      </c>
      <c r="B27" s="119" t="inlineStr">
        <is>
          <t>PART 05</t>
        </is>
      </c>
      <c r="C27" s="119" t="inlineStr">
        <is>
          <t>SECTION 24</t>
        </is>
      </c>
      <c r="D27" s="120" t="inlineStr">
        <is>
          <t>네트워크 관리 (1.네트워크관리 2.SNMP v1/v2c/v3 보안차이 3.SSH vs Telnet)</t>
        </is>
      </c>
      <c r="E27" s="118" t="inlineStr">
        <is>
          <t>★★</t>
        </is>
      </c>
      <c r="F27" s="129" t="inlineStr">
        <is>
          <t>W16 (화:개념 / 토:문제)</t>
        </is>
      </c>
      <c r="G27" s="130" t="n">
        <v>46364</v>
      </c>
      <c r="H27" s="123">
        <f>IF(I27&lt;&gt;"","✅ 1회독 완료",IF(G27="","-",IF(TODAY()&gt;G27,"⚠️ 지연 ("&amp;INT(TODAY()-G27)&amp;"일)","⏳ 진행예정 (D-"&amp;INT(G27-TODAY())&amp;")")))</f>
        <v/>
      </c>
      <c r="I27" s="125" t="n"/>
      <c r="J27" s="125" t="n"/>
      <c r="K27" s="125" t="n"/>
      <c r="L27" s="125" t="n"/>
      <c r="M27" s="126">
        <f>IF(AND(I27="",K27=""),"미완료",IF(AND(I27&lt;&gt;"",K27&lt;&gt;""),"💯 개념+문제 완료",IF(I27&lt;&gt;"","📖 개념완료(문제대기)","✏️ 문제완료(개념미완)")))</f>
        <v/>
      </c>
      <c r="N27" s="130" t="n">
        <v>46368</v>
      </c>
      <c r="O27" s="126">
        <f>IF(K27&lt;&gt;"","✅ 1200제 완료",IF(N27="","-",IF(TODAY()&gt;N27,"⚠️ 지연 ("&amp;INT(TODAY()-N27)&amp;"일)","⏳ 문제예정 (D-"&amp;INT(N27-TODAY())&amp;")")))</f>
        <v/>
      </c>
      <c r="P27" s="283" t="inlineStr">
        <is>
          <t>SNMP v3(인증 USM + 암호화 VACM), Community String 취약점, SSH 암호통신</t>
        </is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1.75" customHeight="1" s="209">
      <c r="A28" s="118" t="n">
        <v>25</v>
      </c>
      <c r="B28" s="119" t="inlineStr">
        <is>
          <t>PART 05</t>
        </is>
      </c>
      <c r="C28" s="119" t="inlineStr">
        <is>
          <t>SECTION 25</t>
        </is>
      </c>
      <c r="D28" s="120" t="inlineStr">
        <is>
          <t>네트워크 기반 프로그램 활용 (ping, traceroute, netstat, tcpdump, Wireshark, nmap 포트스캔)</t>
        </is>
      </c>
      <c r="E28" s="118" t="inlineStr">
        <is>
          <t>★★★</t>
        </is>
      </c>
      <c r="F28" s="129" t="inlineStr">
        <is>
          <t>W16 (목:개념 / 일:문제)</t>
        </is>
      </c>
      <c r="G28" s="130" t="n">
        <v>46366</v>
      </c>
      <c r="H28" s="123">
        <f>IF(I28&lt;&gt;"","✅ 1회독 완료",IF(G28="","-",IF(TODAY()&gt;G28,"⚠️ 지연 ("&amp;INT(TODAY()-G28)&amp;"일)","⏳ 진행예정 (D-"&amp;INT(G28-TODAY())&amp;")")))</f>
        <v/>
      </c>
      <c r="I28" s="125" t="n"/>
      <c r="J28" s="125" t="n"/>
      <c r="K28" s="125" t="n"/>
      <c r="L28" s="125" t="n"/>
      <c r="M28" s="126">
        <f>IF(AND(I28="",K28=""),"미완료",IF(AND(I28&lt;&gt;"",K28&lt;&gt;""),"💯 개념+문제 완료",IF(I28&lt;&gt;"","📖 개념완료(문제대기)","✏️ 문제완료(개념미완)")))</f>
        <v/>
      </c>
      <c r="N28" s="130" t="n">
        <v>46369</v>
      </c>
      <c r="O28" s="126">
        <f>IF(K28&lt;&gt;"","✅ 1200제 완료",IF(N28="","-",IF(TODAY()&gt;N28,"⚠️ 지연 ("&amp;INT(TODAY()-N28)&amp;"일)","⏳ 문제예정 (D-"&amp;INT(N28-TODAY())&amp;")")))</f>
        <v/>
      </c>
      <c r="P28" s="283" t="inlineStr">
        <is>
          <t>nmap 스캔 방식: TCP Open, SYN(Half-Open), FIN, NULL, XMAS 스캔</t>
        </is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1.75" customHeight="1" s="209">
      <c r="A29" s="118" t="n">
        <v>26</v>
      </c>
      <c r="B29" s="119" t="inlineStr">
        <is>
          <t>PART 05</t>
        </is>
      </c>
      <c r="C29" s="119" t="inlineStr">
        <is>
          <t>SECTION 26</t>
        </is>
      </c>
      <c r="D29" s="120" t="inlineStr">
        <is>
          <t>네트워크 기반 공격의 이해 (1.스니핑/스푸핑 ARP/IP/DNS 2.DoS/DDoS SYN Flood/Smurf/Land/TearDrop/HTTP Slowloris)</t>
        </is>
      </c>
      <c r="E29" s="118" t="inlineStr">
        <is>
          <t>★★★</t>
        </is>
      </c>
      <c r="F29" s="129" t="inlineStr">
        <is>
          <t>W17 (화:개념 / 토:문제)</t>
        </is>
      </c>
      <c r="G29" s="130" t="n">
        <v>46371</v>
      </c>
      <c r="H29" s="123">
        <f>IF(I29&lt;&gt;"","✅ 1회독 완료",IF(G29="","-",IF(TODAY()&gt;G29,"⚠️ 지연 ("&amp;INT(TODAY()-G29)&amp;"일)","⏳ 진행예정 (D-"&amp;INT(G29-TODAY())&amp;")")))</f>
        <v/>
      </c>
      <c r="I29" s="125" t="n"/>
      <c r="J29" s="125" t="n"/>
      <c r="K29" s="125" t="n"/>
      <c r="L29" s="125" t="n"/>
      <c r="M29" s="126">
        <f>IF(AND(I29="",K29=""),"미완료",IF(AND(I29&lt;&gt;"",K29&lt;&gt;""),"💯 개념+문제 완료",IF(I29&lt;&gt;"","📖 개념완료(문제대기)","✏️ 문제완료(개념미완)")))</f>
        <v/>
      </c>
      <c r="N29" s="130" t="n">
        <v>46375</v>
      </c>
      <c r="O29" s="126">
        <f>IF(K29&lt;&gt;"","✅ 1200제 완료",IF(N29="","-",IF(TODAY()&gt;N29,"⚠️ 지연 ("&amp;INT(TODAY()-N29)&amp;"일)","⏳ 문제예정 (D-"&amp;INT(N29-TODAY())&amp;")")))</f>
        <v/>
      </c>
      <c r="P29" s="283" t="inlineStr">
        <is>
          <t>ARP Spoofing(ARP Cache 위조), Land Attack(출발지=목적지 IP), Smurf(ICMP Direct Broadcast)</t>
        </is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1.75" customHeight="1" s="209">
      <c r="A30" s="118" t="n">
        <v>27</v>
      </c>
      <c r="B30" s="119" t="inlineStr">
        <is>
          <t>PART 05</t>
        </is>
      </c>
      <c r="C30" s="119" t="inlineStr">
        <is>
          <t>SECTION 27</t>
        </is>
      </c>
      <c r="D30" s="120" t="inlineStr">
        <is>
          <t>IDS/IPS (1.침입탐지시스템 오용탐지 vs 이상탐지 2.HIDS vs NIDS 3.Snort 룰 문법)</t>
        </is>
      </c>
      <c r="E30" s="118" t="inlineStr">
        <is>
          <t>★★★</t>
        </is>
      </c>
      <c r="F30" s="129" t="inlineStr">
        <is>
          <t>W17 (목:개념 / 일:문제)</t>
        </is>
      </c>
      <c r="G30" s="130" t="n">
        <v>46373</v>
      </c>
      <c r="H30" s="123">
        <f>IF(I30&lt;&gt;"","✅ 1회독 완료",IF(G30="","-",IF(TODAY()&gt;G30,"⚠️ 지연 ("&amp;INT(TODAY()-G30)&amp;"일)","⏳ 진행예정 (D-"&amp;INT(G30-TODAY())&amp;")")))</f>
        <v/>
      </c>
      <c r="I30" s="125" t="n"/>
      <c r="J30" s="125" t="n"/>
      <c r="K30" s="125" t="n"/>
      <c r="L30" s="125" t="n"/>
      <c r="M30" s="126">
        <f>IF(AND(I30="",K30=""),"미완료",IF(AND(I30&lt;&gt;"",K30&lt;&gt;""),"💯 개념+문제 완료",IF(I30&lt;&gt;"","📖 개념완료(문제대기)","✏️ 문제완료(개념미완)")))</f>
        <v/>
      </c>
      <c r="N30" s="130" t="n">
        <v>46376</v>
      </c>
      <c r="O30" s="126">
        <f>IF(K30&lt;&gt;"","✅ 1200제 완료",IF(N30="","-",IF(TODAY()&gt;N30,"⚠️ 지연 ("&amp;INT(TODAY()-N30)&amp;"일)","⏳ 문제예정 (D-"&amp;INT(N30-TODAY())&amp;")")))</f>
        <v/>
      </c>
      <c r="P30" s="283" t="inlineStr">
        <is>
          <t>오용탐지(Signature, False Positive 낮음) vs 이상탐지(Anomaly, 0-day 탐지 가능), Snort 룰 구조</t>
        </is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1.75" customHeight="1" s="209">
      <c r="A31" s="118" t="n">
        <v>28</v>
      </c>
      <c r="B31" s="119" t="inlineStr">
        <is>
          <t>PART 05</t>
        </is>
      </c>
      <c r="C31" s="119" t="inlineStr">
        <is>
          <t>SECTION 28</t>
        </is>
      </c>
      <c r="D31" s="120" t="inlineStr">
        <is>
          <t>침입차단시스템 (1.방화벽 패킷필터링/상태추적/프록시 2.구축형태 베스천/스크린드서브넷 3.iptables 문법/체인)</t>
        </is>
      </c>
      <c r="E31" s="118" t="inlineStr">
        <is>
          <t>★★★</t>
        </is>
      </c>
      <c r="F31" s="129" t="inlineStr">
        <is>
          <t>W18 (화:개념 / 토:문제)</t>
        </is>
      </c>
      <c r="G31" s="130" t="n">
        <v>46378</v>
      </c>
      <c r="H31" s="123">
        <f>IF(I31&lt;&gt;"","✅ 1회독 완료",IF(G31="","-",IF(TODAY()&gt;G31,"⚠️ 지연 ("&amp;INT(TODAY()-G31)&amp;"일)","⏳ 진행예정 (D-"&amp;INT(G31-TODAY())&amp;")")))</f>
        <v/>
      </c>
      <c r="I31" s="125" t="n"/>
      <c r="J31" s="125" t="n"/>
      <c r="K31" s="125" t="n"/>
      <c r="L31" s="125" t="n"/>
      <c r="M31" s="126">
        <f>IF(AND(I31="",K31=""),"미완료",IF(AND(I31&lt;&gt;"",K31&lt;&gt;""),"💯 개념+문제 완료",IF(I31&lt;&gt;"","📖 개념완료(문제대기)","✏️ 문제완료(개념미완)")))</f>
        <v/>
      </c>
      <c r="N31" s="130" t="n">
        <v>46382</v>
      </c>
      <c r="O31" s="126">
        <f>IF(K31&lt;&gt;"","✅ 1200제 완료",IF(N31="","-",IF(TODAY()&gt;N31,"⚠️ 지연 ("&amp;INT(TODAY()-N31)&amp;"일)","⏳ 문제예정 (D-"&amp;INT(N31-TODAY())&amp;")")))</f>
        <v/>
      </c>
      <c r="P31" s="283" t="inlineStr">
        <is>
          <t>iptables 테이블(filter, nat, mangle) &amp; 체인(INPUT, OUTPUT, FORWARD, PREROUTING)</t>
        </is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1.75" customHeight="1" s="209">
      <c r="A32" s="118" t="n">
        <v>29</v>
      </c>
      <c r="B32" s="119" t="inlineStr">
        <is>
          <t>PART 05</t>
        </is>
      </c>
      <c r="C32" s="119" t="inlineStr">
        <is>
          <t>SECTION 29</t>
        </is>
      </c>
      <c r="D32" s="120" t="inlineStr">
        <is>
          <t>VPN (1.VPN개요 2.IPSec AH/ESP 전송모드/터널모드 3.IKE 단계 4.SSL VPN)</t>
        </is>
      </c>
      <c r="E32" s="118" t="inlineStr">
        <is>
          <t>★★★</t>
        </is>
      </c>
      <c r="F32" s="129" t="inlineStr">
        <is>
          <t>W18 (목:개념 / 일:문제)</t>
        </is>
      </c>
      <c r="G32" s="130" t="n">
        <v>46380</v>
      </c>
      <c r="H32" s="123">
        <f>IF(I32&lt;&gt;"","✅ 1회독 완료",IF(G32="","-",IF(TODAY()&gt;G32,"⚠️ 지연 ("&amp;INT(TODAY()-G32)&amp;"일)","⏳ 진행예정 (D-"&amp;INT(G32-TODAY())&amp;")")))</f>
        <v/>
      </c>
      <c r="I32" s="125" t="n"/>
      <c r="J32" s="125" t="n"/>
      <c r="K32" s="125" t="n"/>
      <c r="L32" s="125" t="n"/>
      <c r="M32" s="126">
        <f>IF(AND(I32="",K32=""),"미완료",IF(AND(I32&lt;&gt;"",K32&lt;&gt;""),"💯 개념+문제 완료",IF(I32&lt;&gt;"","📖 개념완료(문제대기)","✏️ 문제완료(개념미완)")))</f>
        <v/>
      </c>
      <c r="N32" s="130" t="n">
        <v>46383</v>
      </c>
      <c r="O32" s="126">
        <f>IF(K32&lt;&gt;"","✅ 1200제 완료",IF(N32="","-",IF(TODAY()&gt;N32,"⚠️ 지연 ("&amp;INT(TODAY()-N32)&amp;"일)","⏳ 문제예정 (D-"&amp;INT(N32-TODAY())&amp;")")))</f>
        <v/>
      </c>
      <c r="P32" s="283" t="inlineStr">
        <is>
          <t>AH(인증/무결성, 암호화X) vs ESP(인증/무결성/암호화), 터널모드(새로운 IP 헤더 추가)</t>
        </is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1.75" customHeight="1" s="209">
      <c r="A33" s="118" t="n">
        <v>30</v>
      </c>
      <c r="B33" s="119" t="inlineStr">
        <is>
          <t>PART 05</t>
        </is>
      </c>
      <c r="C33" s="119" t="inlineStr">
        <is>
          <t>SECTION 30</t>
        </is>
      </c>
      <c r="D33" s="120" t="inlineStr">
        <is>
          <t>최신 네트워크 보안기술 (SDN/NFV, Zero Trust, SASE, NDR)</t>
        </is>
      </c>
      <c r="E33" s="118" t="inlineStr">
        <is>
          <t>★</t>
        </is>
      </c>
      <c r="F33" s="129" t="inlineStr">
        <is>
          <t>W19 (화:개념 / 토:문제)</t>
        </is>
      </c>
      <c r="G33" s="130" t="n">
        <v>46385</v>
      </c>
      <c r="H33" s="123">
        <f>IF(I33&lt;&gt;"","✅ 1회독 완료",IF(G33="","-",IF(TODAY()&gt;G33,"⚠️ 지연 ("&amp;INT(TODAY()-G33)&amp;"일)","⏳ 진행예정 (D-"&amp;INT(G33-TODAY())&amp;")")))</f>
        <v/>
      </c>
      <c r="I33" s="125" t="n"/>
      <c r="J33" s="125" t="n"/>
      <c r="K33" s="125" t="n"/>
      <c r="L33" s="125" t="n"/>
      <c r="M33" s="126">
        <f>IF(AND(I33="",K33=""),"미완료",IF(AND(I33&lt;&gt;"",K33&lt;&gt;""),"💯 개념+문제 완료",IF(I33&lt;&gt;"","📖 개념완료(문제대기)","✏️ 문제완료(개념미완)")))</f>
        <v/>
      </c>
      <c r="N33" s="130" t="n">
        <v>46389</v>
      </c>
      <c r="O33" s="126">
        <f>IF(K33&lt;&gt;"","✅ 1200제 완료",IF(N33="","-",IF(TODAY()&gt;N33,"⚠️ 지연 ("&amp;INT(TODAY()-N33)&amp;"일)","⏳ 문제예정 (D-"&amp;INT(N33-TODAY())&amp;")")))</f>
        <v/>
      </c>
      <c r="P33" s="283" t="inlineStr">
        <is>
          <t>Zero Trust(Never Trust, Always Verify), 마이크로 세그멘테이션</t>
        </is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1.75" customHeight="1" s="209">
      <c r="A34" s="118" t="n">
        <v>31</v>
      </c>
      <c r="B34" s="119" t="inlineStr">
        <is>
          <t>PART 06</t>
        </is>
      </c>
      <c r="C34" s="119" t="inlineStr">
        <is>
          <t>SECTION 31</t>
        </is>
      </c>
      <c r="D34" s="120" t="inlineStr">
        <is>
          <t>FTP 보안 (1.FTP/TFTP/SFTP/FTPS 2.Active vs Passive 모드 데이터포트 3.vsftpd 보안설정)</t>
        </is>
      </c>
      <c r="E34" s="118" t="inlineStr">
        <is>
          <t>★★</t>
        </is>
      </c>
      <c r="F34" s="129" t="inlineStr">
        <is>
          <t>W19 (목:개념 / 일:문제)</t>
        </is>
      </c>
      <c r="G34" s="130" t="n">
        <v>46387</v>
      </c>
      <c r="H34" s="123">
        <f>IF(I34&lt;&gt;"","✅ 1회독 완료",IF(G34="","-",IF(TODAY()&gt;G34,"⚠️ 지연 ("&amp;INT(TODAY()-G34)&amp;"일)","⏳ 진행예정 (D-"&amp;INT(G34-TODAY())&amp;")")))</f>
        <v/>
      </c>
      <c r="I34" s="125" t="n"/>
      <c r="J34" s="125" t="n"/>
      <c r="K34" s="125" t="n"/>
      <c r="L34" s="125" t="n"/>
      <c r="M34" s="126">
        <f>IF(AND(I34="",K34=""),"미완료",IF(AND(I34&lt;&gt;"",K34&lt;&gt;""),"💯 개념+문제 완료",IF(I34&lt;&gt;"","📖 개념완료(문제대기)","✏️ 문제완료(개념미완)")))</f>
        <v/>
      </c>
      <c r="N34" s="130" t="n">
        <v>46390</v>
      </c>
      <c r="O34" s="126">
        <f>IF(K34&lt;&gt;"","✅ 1200제 완료",IF(N34="","-",IF(TODAY()&gt;N34,"⚠️ 지연 ("&amp;INT(TODAY()-N34)&amp;"일)","⏳ 문제예정 (D-"&amp;INT(N34-TODAY())&amp;")")))</f>
        <v/>
      </c>
      <c r="P34" s="283" t="inlineStr">
        <is>
          <t>Active 모드(서버가 20번에서 클라로 역접속) vs Passive 모드(클라가 고포트로 접속)</t>
        </is>
      </c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1.75" customHeight="1" s="209">
      <c r="A35" s="118" t="n">
        <v>32</v>
      </c>
      <c r="B35" s="119" t="inlineStr">
        <is>
          <t>PART 06</t>
        </is>
      </c>
      <c r="C35" s="119" t="inlineStr">
        <is>
          <t>SECTION 32</t>
        </is>
      </c>
      <c r="D35" s="120" t="inlineStr">
        <is>
          <t>이메일 보안 (1.SMTP/POP3/IMAP 2.보안기술 PGP/S-MIME 3.스팸대응 SPF/DKIM/DMARC 4.sendmail 설정)</t>
        </is>
      </c>
      <c r="E35" s="118" t="inlineStr">
        <is>
          <t>★★★</t>
        </is>
      </c>
      <c r="F35" s="129" t="inlineStr">
        <is>
          <t>W20 (화:개념 / 토:문제)</t>
        </is>
      </c>
      <c r="G35" s="130" t="n">
        <v>46392</v>
      </c>
      <c r="H35" s="123">
        <f>IF(I35&lt;&gt;"","✅ 1회독 완료",IF(G35="","-",IF(TODAY()&gt;G35,"⚠️ 지연 ("&amp;INT(TODAY()-G35)&amp;"일)","⏳ 진행예정 (D-"&amp;INT(G35-TODAY())&amp;")")))</f>
        <v/>
      </c>
      <c r="I35" s="125" t="n"/>
      <c r="J35" s="125" t="n"/>
      <c r="K35" s="125" t="n"/>
      <c r="L35" s="125" t="n"/>
      <c r="M35" s="126">
        <f>IF(AND(I35="",K35=""),"미완료",IF(AND(I35&lt;&gt;"",K35&lt;&gt;""),"💯 개념+문제 완료",IF(I35&lt;&gt;"","📖 개념완료(문제대기)","✏️ 문제완료(개념미완)")))</f>
        <v/>
      </c>
      <c r="N35" s="130" t="n">
        <v>46396</v>
      </c>
      <c r="O35" s="126">
        <f>IF(K35&lt;&gt;"","✅ 1200제 완료",IF(N35="","-",IF(TODAY()&gt;N35,"⚠️ 지연 ("&amp;INT(TODAY()-N35)&amp;"일)","⏳ 문제예정 (D-"&amp;INT(N35-TODAY())&amp;")")))</f>
        <v/>
      </c>
      <c r="P35" s="283" t="inlineStr">
        <is>
          <t>SPF(DNS TXT IP등록), DKIM(전자서명), DMARC(정책), PGP(웹오브트러스트) vs S/MIME(CA)</t>
        </is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1.75" customHeight="1" s="209">
      <c r="A36" s="118" t="n">
        <v>33</v>
      </c>
      <c r="B36" s="119" t="inlineStr">
        <is>
          <t>PART 06</t>
        </is>
      </c>
      <c r="C36" s="119" t="inlineStr">
        <is>
          <t>SECTION 33</t>
        </is>
      </c>
      <c r="D36" s="120" t="inlineStr">
        <is>
          <t>웹 보안 (1.웹보안 2.SSL/TLS 핸드셰이크 3.웹서버보안 Apache/Nginx 4.OWASP Top 10 SQLi/XSS/CSRF/SSRF/LFI/RFI/파일업로드 5.시큐어코딩)</t>
        </is>
      </c>
      <c r="E36" s="118" t="inlineStr">
        <is>
          <t>★★★</t>
        </is>
      </c>
      <c r="F36" s="129" t="inlineStr">
        <is>
          <t>W20 (목:개념 / 일:문제)</t>
        </is>
      </c>
      <c r="G36" s="130" t="n">
        <v>46394</v>
      </c>
      <c r="H36" s="123">
        <f>IF(I36&lt;&gt;"","✅ 1회독 완료",IF(G36="","-",IF(TODAY()&gt;G36,"⚠️ 지연 ("&amp;INT(TODAY()-G36)&amp;"일)","⏳ 진행예정 (D-"&amp;INT(G36-TODAY())&amp;")")))</f>
        <v/>
      </c>
      <c r="I36" s="125" t="n"/>
      <c r="J36" s="125" t="n"/>
      <c r="K36" s="125" t="n"/>
      <c r="L36" s="125" t="n"/>
      <c r="M36" s="126">
        <f>IF(AND(I36="",K36=""),"미완료",IF(AND(I36&lt;&gt;"",K36&lt;&gt;""),"💯 개념+문제 완료",IF(I36&lt;&gt;"","📖 개념완료(문제대기)","✏️ 문제완료(개념미완)")))</f>
        <v/>
      </c>
      <c r="N36" s="130" t="n">
        <v>46397</v>
      </c>
      <c r="O36" s="126">
        <f>IF(K36&lt;&gt;"","✅ 1200제 완료",IF(N36="","-",IF(TODAY()&gt;N36,"⚠️ 지연 ("&amp;INT(TODAY()-N36)&amp;"일)","⏳ 문제예정 (D-"&amp;INT(N36-TODAY())&amp;")")))</f>
        <v/>
      </c>
      <c r="P36" s="283" t="inlineStr">
        <is>
          <t>SQLi(PreparedStatement), XSS(입력값검증/HTML인코딩), CSRF(CSRF토큰, SameSite), SSRF</t>
        </is>
      </c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1.75" customHeight="1" s="209">
      <c r="A37" s="118" t="n">
        <v>34</v>
      </c>
      <c r="B37" s="119" t="inlineStr">
        <is>
          <t>PART 06</t>
        </is>
      </c>
      <c r="C37" s="119" t="inlineStr">
        <is>
          <t>SECTION 34</t>
        </is>
      </c>
      <c r="D37" s="120" t="inlineStr">
        <is>
          <t>DHCP와 DNS 보안 (1.DHCP DORA과정 2.DNS 질의구조 3.DNS 보안 DNSSEC/캐시포이즈닝 4.BIND 설정)</t>
        </is>
      </c>
      <c r="E37" s="118" t="inlineStr">
        <is>
          <t>★★</t>
        </is>
      </c>
      <c r="F37" s="129" t="inlineStr">
        <is>
          <t>W21 (화:개념 / 토:문제)</t>
        </is>
      </c>
      <c r="G37" s="130" t="n">
        <v>46399</v>
      </c>
      <c r="H37" s="123">
        <f>IF(I37&lt;&gt;"","✅ 1회독 완료",IF(G37="","-",IF(TODAY()&gt;G37,"⚠️ 지연 ("&amp;INT(TODAY()-G37)&amp;"일)","⏳ 진행예정 (D-"&amp;INT(G37-TODAY())&amp;")")))</f>
        <v/>
      </c>
      <c r="I37" s="125" t="n"/>
      <c r="J37" s="125" t="n"/>
      <c r="K37" s="125" t="n"/>
      <c r="L37" s="125" t="n"/>
      <c r="M37" s="126">
        <f>IF(AND(I37="",K37=""),"미완료",IF(AND(I37&lt;&gt;"",K37&lt;&gt;""),"💯 개념+문제 완료",IF(I37&lt;&gt;"","📖 개념완료(문제대기)","✏️ 문제완료(개념미완)")))</f>
        <v/>
      </c>
      <c r="N37" s="130" t="n">
        <v>46403</v>
      </c>
      <c r="O37" s="126">
        <f>IF(K37&lt;&gt;"","✅ 1200제 완료",IF(N37="","-",IF(TODAY()&gt;N37,"⚠️ 지연 ("&amp;INT(TODAY()-N37)&amp;"일)","⏳ 문제예정 (D-"&amp;INT(N37-TODAY())&amp;")")))</f>
        <v/>
      </c>
      <c r="P37" s="283" t="inlineStr">
        <is>
          <t>DNS 캐시 포이즈닝(Kaminsky 공격), DNSSEC(전자서명 RRSIG, DNSKEY)</t>
        </is>
      </c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1.75" customHeight="1" s="209">
      <c r="A38" s="118" t="n">
        <v>35</v>
      </c>
      <c r="B38" s="119" t="inlineStr">
        <is>
          <t>PART 06</t>
        </is>
      </c>
      <c r="C38" s="119" t="inlineStr">
        <is>
          <t>SECTION 35</t>
        </is>
      </c>
      <c r="D38" s="120" t="inlineStr">
        <is>
          <t>데이터베이스 보안 (1.DB개념 2.보안요구사항 3.DB암호화 API/플러그인/TDE 4.접근통제/감사로그)</t>
        </is>
      </c>
      <c r="E38" s="118" t="inlineStr">
        <is>
          <t>★★</t>
        </is>
      </c>
      <c r="F38" s="129" t="inlineStr">
        <is>
          <t>W21 (목:개념 / 일:문제)</t>
        </is>
      </c>
      <c r="G38" s="130" t="n">
        <v>46401</v>
      </c>
      <c r="H38" s="123">
        <f>IF(I38&lt;&gt;"","✅ 1회독 완료",IF(G38="","-",IF(TODAY()&gt;G38,"⚠️ 지연 ("&amp;INT(TODAY()-G38)&amp;"일)","⏳ 진행예정 (D-"&amp;INT(G38-TODAY())&amp;")")))</f>
        <v/>
      </c>
      <c r="I38" s="125" t="n"/>
      <c r="J38" s="125" t="n"/>
      <c r="K38" s="125" t="n"/>
      <c r="L38" s="125" t="n"/>
      <c r="M38" s="126">
        <f>IF(AND(I38="",K38=""),"미완료",IF(AND(I38&lt;&gt;"",K38&lt;&gt;""),"💯 개념+문제 완료",IF(I38&lt;&gt;"","📖 개념완료(문제대기)","✏️ 문제완료(개념미완)")))</f>
        <v/>
      </c>
      <c r="N38" s="130" t="n">
        <v>46404</v>
      </c>
      <c r="O38" s="126">
        <f>IF(K38&lt;&gt;"","✅ 1200제 완료",IF(N38="","-",IF(TODAY()&gt;N38,"⚠️ 지연 ("&amp;INT(TODAY()-N38)&amp;"일)","⏳ 문제예정 (D-"&amp;INT(N38-TODAY())&amp;")")))</f>
        <v/>
      </c>
      <c r="P38" s="283" t="inlineStr">
        <is>
          <t>DB 암호화 방식: API방식, Plug-In방식, 커널/TDE(투명한테이터암호화), 인플레이스</t>
        </is>
      </c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1.75" customHeight="1" s="209">
      <c r="A39" s="118" t="n">
        <v>36</v>
      </c>
      <c r="B39" s="119" t="inlineStr">
        <is>
          <t>PART 06</t>
        </is>
      </c>
      <c r="C39" s="119" t="inlineStr">
        <is>
          <t>SECTION 36</t>
        </is>
      </c>
      <c r="D39" s="120" t="inlineStr">
        <is>
          <t>전자상거래 보안 (1.전자상거래 2.SET 이중서명 Dual Signature 3.전자지불/간편결제)</t>
        </is>
      </c>
      <c r="E39" s="118" t="inlineStr">
        <is>
          <t>★</t>
        </is>
      </c>
      <c r="F39" s="129" t="inlineStr">
        <is>
          <t>W22 (화:개념 / 토:문제)</t>
        </is>
      </c>
      <c r="G39" s="130" t="n">
        <v>46406</v>
      </c>
      <c r="H39" s="123">
        <f>IF(I39&lt;&gt;"","✅ 1회독 완료",IF(G39="","-",IF(TODAY()&gt;G39,"⚠️ 지연 ("&amp;INT(TODAY()-G39)&amp;"일)","⏳ 진행예정 (D-"&amp;INT(G39-TODAY())&amp;")")))</f>
        <v/>
      </c>
      <c r="I39" s="125" t="n"/>
      <c r="J39" s="125" t="n"/>
      <c r="K39" s="125" t="n"/>
      <c r="L39" s="125" t="n"/>
      <c r="M39" s="126">
        <f>IF(AND(I39="",K39=""),"미완료",IF(AND(I39&lt;&gt;"",K39&lt;&gt;""),"💯 개념+문제 완료",IF(I39&lt;&gt;"","📖 개념완료(문제대기)","✏️ 문제완료(개념미완)")))</f>
        <v/>
      </c>
      <c r="N39" s="130" t="n">
        <v>46410</v>
      </c>
      <c r="O39" s="126">
        <f>IF(K39&lt;&gt;"","✅ 1200제 완료",IF(N39="","-",IF(TODAY()&gt;N39,"⚠️ 지연 ("&amp;INT(TODAY()-N39)&amp;"일)","⏳ 문제예정 (D-"&amp;INT(N39-TODAY())&amp;")")))</f>
        <v/>
      </c>
      <c r="P39" s="283" t="inlineStr">
        <is>
          <t>SET 이중서명(주문정보 해시 + 지불정보 해시 결합 서명, 상인은 카드번호 모름)</t>
        </is>
      </c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1.75" customHeight="1" s="209">
      <c r="A40" s="118" t="n">
        <v>37</v>
      </c>
      <c r="B40" s="119" t="inlineStr">
        <is>
          <t>PART 06</t>
        </is>
      </c>
      <c r="C40" s="119" t="inlineStr">
        <is>
          <t>SECTION 37</t>
        </is>
      </c>
      <c r="D40" s="120" t="inlineStr">
        <is>
          <t>침해사고 대응 &amp; 디지털 포렌식 (1.침해사고 절차 6단계 2.포렌식 5대 기본원칙 3.안티포렌식)</t>
        </is>
      </c>
      <c r="E40" s="118" t="inlineStr">
        <is>
          <t>★★★</t>
        </is>
      </c>
      <c r="F40" s="129" t="inlineStr">
        <is>
          <t>W22 (목:개념 / 일:문제)</t>
        </is>
      </c>
      <c r="G40" s="130" t="n">
        <v>46408</v>
      </c>
      <c r="H40" s="123">
        <f>IF(I40&lt;&gt;"","✅ 1회독 완료",IF(G40="","-",IF(TODAY()&gt;G40,"⚠️ 지연 ("&amp;INT(TODAY()-G40)&amp;"일)","⏳ 진행예정 (D-"&amp;INT(G40-TODAY())&amp;")")))</f>
        <v/>
      </c>
      <c r="I40" s="125" t="n"/>
      <c r="J40" s="125" t="n"/>
      <c r="K40" s="125" t="n"/>
      <c r="L40" s="125" t="n"/>
      <c r="M40" s="126">
        <f>IF(AND(I40="",K40=""),"미완료",IF(AND(I40&lt;&gt;"",K40&lt;&gt;""),"💯 개념+문제 완료",IF(I40&lt;&gt;"","📖 개념완료(문제대기)","✏️ 문제완료(개념미완)")))</f>
        <v/>
      </c>
      <c r="N40" s="130" t="n">
        <v>46411</v>
      </c>
      <c r="O40" s="126">
        <f>IF(K40&lt;&gt;"","✅ 1200제 완료",IF(N40="","-",IF(TODAY()&gt;N40,"⚠️ 지연 ("&amp;INT(TODAY()-N40)&amp;"일)","⏳ 문제예정 (D-"&amp;INT(N40-TODAY())&amp;")")))</f>
        <v/>
      </c>
      <c r="P40" s="283" t="inlineStr">
        <is>
          <t>포렌식 5대원칙: 정당성, 재현성, 신속성, 연계보관성(Chain of Custody), 무결성</t>
        </is>
      </c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1.75" customHeight="1" s="209">
      <c r="A41" s="118" t="n">
        <v>38</v>
      </c>
      <c r="B41" s="119" t="inlineStr">
        <is>
          <t>PART 06</t>
        </is>
      </c>
      <c r="C41" s="119" t="inlineStr">
        <is>
          <t>SECTION 38</t>
        </is>
      </c>
      <c r="D41" s="120" t="inlineStr">
        <is>
          <t>각종 애플리케이션 위협 &amp; 자바 보안 (1.애플리케이션 취약점 2.Java SecurityManager/JVM보안)</t>
        </is>
      </c>
      <c r="E41" s="118" t="inlineStr">
        <is>
          <t>★</t>
        </is>
      </c>
      <c r="F41" s="129" t="inlineStr">
        <is>
          <t>W23 (화:개념 / 토:문제)</t>
        </is>
      </c>
      <c r="G41" s="130" t="n">
        <v>46413</v>
      </c>
      <c r="H41" s="123">
        <f>IF(I41&lt;&gt;"","✅ 1회독 완료",IF(G41="","-",IF(TODAY()&gt;G41,"⚠️ 지연 ("&amp;INT(TODAY()-G41)&amp;"일)","⏳ 진행예정 (D-"&amp;INT(G41-TODAY())&amp;")")))</f>
        <v/>
      </c>
      <c r="I41" s="125" t="n"/>
      <c r="J41" s="125" t="n"/>
      <c r="K41" s="125" t="n"/>
      <c r="L41" s="125" t="n"/>
      <c r="M41" s="126">
        <f>IF(AND(I41="",K41=""),"미완료",IF(AND(I41&lt;&gt;"",K41&lt;&gt;""),"💯 개념+문제 완료",IF(I41&lt;&gt;"","📖 개념완료(문제대기)","✏️ 문제완료(개념미완)")))</f>
        <v/>
      </c>
      <c r="N41" s="130" t="n">
        <v>46417</v>
      </c>
      <c r="O41" s="126">
        <f>IF(K41&lt;&gt;"","✅ 1200제 완료",IF(N41="","-",IF(TODAY()&gt;N41,"⚠️ 지연 ("&amp;INT(TODAY()-N41)&amp;"일)","⏳ 문제예정 (D-"&amp;INT(N41-TODAY())&amp;")")))</f>
        <v/>
      </c>
      <c r="P41" s="283" t="inlineStr">
        <is>
          <t>Java Sandbox 모델, 바이트코드 검증기, 직렬화/역직렬화 취약점</t>
        </is>
      </c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1.75" customHeight="1" s="209">
      <c r="A42" s="118" t="n">
        <v>39</v>
      </c>
      <c r="B42" s="119" t="inlineStr">
        <is>
          <t>PART 07</t>
        </is>
      </c>
      <c r="C42" s="119" t="inlineStr">
        <is>
          <t>SECTION 39</t>
        </is>
      </c>
      <c r="D42" s="120" t="inlineStr">
        <is>
          <t>정보보호 거버넌스 &amp; 관리체계 (1.거버넌스 2.IT보안관리 3.정책/지침/절차/기준선 4.인적보안)</t>
        </is>
      </c>
      <c r="E42" s="118" t="inlineStr">
        <is>
          <t>★★</t>
        </is>
      </c>
      <c r="F42" s="129" t="inlineStr">
        <is>
          <t>W23 (목:개념 / 일:문제)</t>
        </is>
      </c>
      <c r="G42" s="130" t="n">
        <v>46415</v>
      </c>
      <c r="H42" s="123">
        <f>IF(I42&lt;&gt;"","✅ 1회독 완료",IF(G42="","-",IF(TODAY()&gt;G42,"⚠️ 지연 ("&amp;INT(TODAY()-G42)&amp;"일)","⏳ 진행예정 (D-"&amp;INT(G42-TODAY())&amp;")")))</f>
        <v/>
      </c>
      <c r="I42" s="125" t="n"/>
      <c r="J42" s="125" t="n"/>
      <c r="K42" s="125" t="n"/>
      <c r="L42" s="125" t="n"/>
      <c r="M42" s="126">
        <f>IF(AND(I42="",K42=""),"미완료",IF(AND(I42&lt;&gt;"",K42&lt;&gt;""),"💯 개념+문제 완료",IF(I42&lt;&gt;"","📖 개념완료(문제대기)","✏️ 문제완료(개념미완)")))</f>
        <v/>
      </c>
      <c r="N42" s="130" t="n">
        <v>46418</v>
      </c>
      <c r="O42" s="126">
        <f>IF(K42&lt;&gt;"","✅ 1200제 완료",IF(N42="","-",IF(TODAY()&gt;N42,"⚠️ 지연 ("&amp;INT(TODAY()-N42)&amp;"일)","⏳ 문제예정 (D-"&amp;INT(N42-TODAY())&amp;")")))</f>
        <v/>
      </c>
      <c r="P42" s="283" t="inlineStr">
        <is>
          <t>문서계층: 정책(Policy) &gt; 지침/표준(Standard/Guideline) &gt; 절차(Procedure)</t>
        </is>
      </c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1.75" customHeight="1" s="209">
      <c r="A43" s="118" t="n">
        <v>40</v>
      </c>
      <c r="B43" s="119" t="inlineStr">
        <is>
          <t>PART 07</t>
        </is>
      </c>
      <c r="C43" s="119" t="inlineStr">
        <is>
          <t>SECTION 40</t>
        </is>
      </c>
      <c r="D43" s="120" t="inlineStr">
        <is>
          <t>정보보호 위험 관리 (1.위험관리절차 2.위험분석 정량적 ALE=SLE*ARO vs 정성적 델파이/순위)</t>
        </is>
      </c>
      <c r="E43" s="118" t="inlineStr">
        <is>
          <t>★★★</t>
        </is>
      </c>
      <c r="F43" s="129" t="inlineStr">
        <is>
          <t>W24 (화:개념 / 토:문제)</t>
        </is>
      </c>
      <c r="G43" s="130" t="n">
        <v>46420</v>
      </c>
      <c r="H43" s="123">
        <f>IF(I43&lt;&gt;"","✅ 1회독 완료",IF(G43="","-",IF(TODAY()&gt;G43,"⚠️ 지연 ("&amp;INT(TODAY()-G43)&amp;"일)","⏳ 진행예정 (D-"&amp;INT(G43-TODAY())&amp;")")))</f>
        <v/>
      </c>
      <c r="I43" s="125" t="n"/>
      <c r="J43" s="125" t="n"/>
      <c r="K43" s="125" t="n"/>
      <c r="L43" s="125" t="n"/>
      <c r="M43" s="126">
        <f>IF(AND(I43="",K43=""),"미완료",IF(AND(I43&lt;&gt;"",K43&lt;&gt;""),"💯 개념+문제 완료",IF(I43&lt;&gt;"","📖 개념완료(문제대기)","✏️ 문제완료(개념미완)")))</f>
        <v/>
      </c>
      <c r="N43" s="130" t="n">
        <v>46424</v>
      </c>
      <c r="O43" s="126">
        <f>IF(K43&lt;&gt;"","✅ 1200제 완료",IF(N43="","-",IF(TODAY()&gt;N43,"⚠️ 지연 ("&amp;INT(TODAY()-N43)&amp;"일)","⏳ 문제예정 (D-"&amp;INT(N43-TODAY())&amp;")")))</f>
        <v/>
      </c>
      <c r="P43" s="283" t="inlineStr">
        <is>
          <t>위험처리 전략: 회피(Avoid), 감소(Mitigate), 전가(Transfer), 수용(Accept)</t>
        </is>
      </c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1.75" customHeight="1" s="209">
      <c r="A44" s="118" t="n">
        <v>41</v>
      </c>
      <c r="B44" s="119" t="inlineStr">
        <is>
          <t>PART 07</t>
        </is>
      </c>
      <c r="C44" s="119" t="inlineStr">
        <is>
          <t>SECTION 41</t>
        </is>
      </c>
      <c r="D44" s="120" t="inlineStr">
        <is>
          <t>BCP / DRP (1.업무영향분석 BIA 2.RTO/RPO/MTD/WRT 3.재해복구센터 Mirror/Hot/Warm/Cold)</t>
        </is>
      </c>
      <c r="E44" s="118" t="inlineStr">
        <is>
          <t>★★★</t>
        </is>
      </c>
      <c r="F44" s="129" t="inlineStr">
        <is>
          <t>W24 (목:개념 / 일:문제)</t>
        </is>
      </c>
      <c r="G44" s="130" t="n">
        <v>46422</v>
      </c>
      <c r="H44" s="123">
        <f>IF(I44&lt;&gt;"","✅ 1회독 완료",IF(G44="","-",IF(TODAY()&gt;G44,"⚠️ 지연 ("&amp;INT(TODAY()-G44)&amp;"일)","⏳ 진행예정 (D-"&amp;INT(G44-TODAY())&amp;")")))</f>
        <v/>
      </c>
      <c r="I44" s="125" t="n"/>
      <c r="J44" s="125" t="n"/>
      <c r="K44" s="125" t="n"/>
      <c r="L44" s="125" t="n"/>
      <c r="M44" s="126">
        <f>IF(AND(I44="",K44=""),"미완료",IF(AND(I44&lt;&gt;"",K44&lt;&gt;""),"💯 개념+문제 완료",IF(I44&lt;&gt;"","📖 개념완료(문제대기)","✏️ 문제완료(개념미완)")))</f>
        <v/>
      </c>
      <c r="N44" s="130" t="n">
        <v>46425</v>
      </c>
      <c r="O44" s="126">
        <f>IF(K44&lt;&gt;"","✅ 1200제 완료",IF(N44="","-",IF(TODAY()&gt;N44,"⚠️ 지연 ("&amp;INT(TODAY()-N44)&amp;"일)","⏳ 문제예정 (D-"&amp;INT(N44-TODAY())&amp;")")))</f>
        <v/>
      </c>
      <c r="P44" s="283" t="inlineStr">
        <is>
          <t>RTO(복구목표시간), RPO(복구목표시점 데이터손실허용), Mirror(RTO=0) vs Cold(수주)</t>
        </is>
      </c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1.75" customHeight="1" s="209">
      <c r="A45" s="118" t="n">
        <v>42</v>
      </c>
      <c r="B45" s="119" t="inlineStr">
        <is>
          <t>PART 07</t>
        </is>
      </c>
      <c r="C45" s="119" t="inlineStr">
        <is>
          <t>SECTION 42</t>
        </is>
      </c>
      <c r="D45" s="120" t="inlineStr">
        <is>
          <t>정보보호 인증제도 (1.CC인증 PP/ST/EAL1~7 2.ISMS-P 인증기준 3개영역 102개 항목 3.CSAP/ISO27001)</t>
        </is>
      </c>
      <c r="E45" s="118" t="inlineStr">
        <is>
          <t>★★★</t>
        </is>
      </c>
      <c r="F45" s="129" t="inlineStr">
        <is>
          <t>W25 (화:개념 / 토:문제)</t>
        </is>
      </c>
      <c r="G45" s="130" t="n">
        <v>46427</v>
      </c>
      <c r="H45" s="123">
        <f>IF(I45&lt;&gt;"","✅ 1회독 완료",IF(G45="","-",IF(TODAY()&gt;G45,"⚠️ 지연 ("&amp;INT(TODAY()-G45)&amp;"일)","⏳ 진행예정 (D-"&amp;INT(G45-TODAY())&amp;")")))</f>
        <v/>
      </c>
      <c r="I45" s="125" t="n"/>
      <c r="J45" s="125" t="n"/>
      <c r="K45" s="125" t="n"/>
      <c r="L45" s="125" t="n"/>
      <c r="M45" s="126">
        <f>IF(AND(I45="",K45=""),"미완료",IF(AND(I45&lt;&gt;"",K45&lt;&gt;""),"💯 개념+문제 완료",IF(I45&lt;&gt;"","📖 개념완료(문제대기)","✏️ 문제완료(개념미완)")))</f>
        <v/>
      </c>
      <c r="N45" s="130" t="n">
        <v>46431</v>
      </c>
      <c r="O45" s="126">
        <f>IF(K45&lt;&gt;"","✅ 1200제 완료",IF(N45="","-",IF(TODAY()&gt;N45,"⚠️ 지연 ("&amp;INT(TODAY()-N45)&amp;"일)","⏳ 문제예정 (D-"&amp;INT(N45-TODAY())&amp;")")))</f>
        <v/>
      </c>
      <c r="P45" s="283" t="inlineStr">
        <is>
          <t>ISMS-P: 관리체계수립(16) + 보호대책요구사항(64) + 개인정보처리단계별(22) = 총 102개</t>
        </is>
      </c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1.75" customHeight="1" s="209">
      <c r="A46" s="118" t="n">
        <v>43</v>
      </c>
      <c r="B46" s="119" t="inlineStr">
        <is>
          <t>PART 07</t>
        </is>
      </c>
      <c r="C46" s="119" t="inlineStr">
        <is>
          <t>SECTION 43</t>
        </is>
      </c>
      <c r="D46" s="120" t="inlineStr">
        <is>
          <t>정보보호 관련 법규 (1.개인정보보호법 개정사항 2.정보통신망법 3.정보통신기반보호법)</t>
        </is>
      </c>
      <c r="E46" s="118" t="inlineStr">
        <is>
          <t>★★★</t>
        </is>
      </c>
      <c r="F46" s="129" t="inlineStr">
        <is>
          <t>W25 (목:개념 / 일:문제)</t>
        </is>
      </c>
      <c r="G46" s="130" t="n">
        <v>46429</v>
      </c>
      <c r="H46" s="123">
        <f>IF(I46&lt;&gt;"","✅ 1회독 완료",IF(G46="","-",IF(TODAY()&gt;G46,"⚠️ 지연 ("&amp;INT(TODAY()-G46)&amp;"일)","⏳ 진행예정 (D-"&amp;INT(G46-TODAY())&amp;")")))</f>
        <v/>
      </c>
      <c r="I46" s="125" t="n"/>
      <c r="J46" s="125" t="n"/>
      <c r="K46" s="125" t="n"/>
      <c r="L46" s="125" t="n"/>
      <c r="M46" s="126">
        <f>IF(AND(I46="",K46=""),"미완료",IF(AND(I46&lt;&gt;"",K46&lt;&gt;""),"💯 개념+문제 완료",IF(I46&lt;&gt;"","📖 개념완료(문제대기)","✏️ 문제완료(개념미완)")))</f>
        <v/>
      </c>
      <c r="N46" s="130" t="n">
        <v>46432</v>
      </c>
      <c r="O46" s="126">
        <f>IF(K46&lt;&gt;"","✅ 1200제 완료",IF(N46="","-",IF(TODAY()&gt;N46,"⚠️ 지연 ("&amp;INT(TODAY()-N46)&amp;"일)","⏳ 문제예정 (D-"&amp;INT(N46-TODAY())&amp;")")))</f>
        <v/>
      </c>
      <c r="P46" s="283" t="inlineStr">
        <is>
          <t>개인정보보호법(CPO 지정, 안전조치, 과징금 전체매출액 3%), 망법(ISMS의무대상), 기반보호법</t>
        </is>
      </c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1.75" customHeight="1" s="209">
      <c r="A47" s="8" t="n"/>
      <c r="B47" s="8" t="n"/>
      <c r="C47" s="8" t="n"/>
      <c r="D47" s="8" t="n"/>
      <c r="E47" s="8" t="n"/>
      <c r="F47" s="131" t="n"/>
      <c r="G47" s="131" t="n"/>
      <c r="H47" s="131" t="n"/>
      <c r="I47" s="131" t="n"/>
      <c r="J47" s="131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5.75" customHeight="1" s="209">
      <c r="A48" s="8" t="n"/>
      <c r="B48" s="8" t="n"/>
      <c r="C48" s="8" t="n"/>
      <c r="D48" s="8" t="n"/>
      <c r="E48" s="8" t="n"/>
      <c r="F48" s="131" t="n"/>
      <c r="G48" s="131" t="n"/>
      <c r="H48" s="131" t="n"/>
      <c r="I48" s="131" t="n"/>
      <c r="J48" s="131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15.75" customHeight="1" s="209">
      <c r="A49" s="8" t="n"/>
      <c r="B49" s="8" t="n"/>
      <c r="C49" s="8" t="n"/>
      <c r="D49" s="8" t="n"/>
      <c r="E49" s="8" t="n"/>
      <c r="F49" s="131" t="n"/>
      <c r="G49" s="131" t="n"/>
      <c r="H49" s="131" t="n"/>
      <c r="I49" s="131" t="n"/>
      <c r="J49" s="131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5.75" customHeight="1" s="209">
      <c r="A50" s="8" t="n"/>
      <c r="B50" s="8" t="n"/>
      <c r="C50" s="8" t="n"/>
      <c r="D50" s="8" t="n"/>
      <c r="E50" s="8" t="n"/>
      <c r="F50" s="131" t="n"/>
      <c r="G50" s="131" t="n"/>
      <c r="H50" s="131" t="n"/>
      <c r="I50" s="131" t="n"/>
      <c r="J50" s="131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15.75" customHeight="1" s="209">
      <c r="A51" s="8" t="n"/>
      <c r="B51" s="8" t="n"/>
      <c r="C51" s="8" t="n"/>
      <c r="D51" s="8" t="n"/>
      <c r="E51" s="8" t="n"/>
      <c r="F51" s="131" t="n"/>
      <c r="G51" s="131" t="n"/>
      <c r="H51" s="131" t="n"/>
      <c r="I51" s="131" t="n"/>
      <c r="J51" s="131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15.75" customHeight="1" s="209">
      <c r="A52" s="8" t="n"/>
      <c r="B52" s="8" t="n"/>
      <c r="C52" s="8" t="n"/>
      <c r="D52" s="8" t="n"/>
      <c r="E52" s="8" t="n"/>
      <c r="F52" s="131" t="n"/>
      <c r="G52" s="131" t="n"/>
      <c r="H52" s="131" t="n"/>
      <c r="I52" s="131" t="n"/>
      <c r="J52" s="131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15.75" customHeight="1" s="209">
      <c r="A53" s="8" t="n"/>
      <c r="B53" s="8" t="n"/>
      <c r="C53" s="8" t="n"/>
      <c r="D53" s="8" t="n"/>
      <c r="E53" s="8" t="n"/>
      <c r="F53" s="131" t="n"/>
      <c r="G53" s="131" t="n"/>
      <c r="H53" s="131" t="n"/>
      <c r="I53" s="131" t="n"/>
      <c r="J53" s="131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15.75" customHeight="1" s="209">
      <c r="A54" s="8" t="n"/>
      <c r="B54" s="8" t="n"/>
      <c r="C54" s="8" t="n"/>
      <c r="D54" s="8" t="n"/>
      <c r="E54" s="8" t="n"/>
      <c r="F54" s="131" t="n"/>
      <c r="G54" s="131" t="n"/>
      <c r="H54" s="131" t="n"/>
      <c r="I54" s="131" t="n"/>
      <c r="J54" s="131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15.75" customHeight="1" s="209">
      <c r="A55" s="8" t="n"/>
      <c r="B55" s="8" t="n"/>
      <c r="C55" s="8" t="n"/>
      <c r="D55" s="8" t="n"/>
      <c r="E55" s="8" t="n"/>
      <c r="F55" s="131" t="n"/>
      <c r="G55" s="131" t="n"/>
      <c r="H55" s="131" t="n"/>
      <c r="I55" s="131" t="n"/>
      <c r="J55" s="131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15.75" customHeight="1" s="209">
      <c r="A56" s="8" t="n"/>
      <c r="B56" s="8" t="n"/>
      <c r="C56" s="8" t="n"/>
      <c r="D56" s="8" t="n"/>
      <c r="E56" s="8" t="n"/>
      <c r="F56" s="131" t="n"/>
      <c r="G56" s="131" t="n"/>
      <c r="H56" s="131" t="n"/>
      <c r="I56" s="131" t="n"/>
      <c r="J56" s="131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15.75" customHeight="1" s="209">
      <c r="A57" s="8" t="n"/>
      <c r="B57" s="8" t="n"/>
      <c r="C57" s="8" t="n"/>
      <c r="D57" s="8" t="n"/>
      <c r="E57" s="8" t="n"/>
      <c r="F57" s="131" t="n"/>
      <c r="G57" s="131" t="n"/>
      <c r="H57" s="131" t="n"/>
      <c r="I57" s="131" t="n"/>
      <c r="J57" s="131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15.75" customHeight="1" s="209">
      <c r="A58" s="8" t="n"/>
      <c r="B58" s="8" t="n"/>
      <c r="C58" s="8" t="n"/>
      <c r="D58" s="8" t="n"/>
      <c r="E58" s="8" t="n"/>
      <c r="F58" s="131" t="n"/>
      <c r="G58" s="131" t="n"/>
      <c r="H58" s="131" t="n"/>
      <c r="I58" s="131" t="n"/>
      <c r="J58" s="131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15.75" customHeight="1" s="209">
      <c r="A59" s="8" t="n"/>
      <c r="B59" s="8" t="n"/>
      <c r="C59" s="8" t="n"/>
      <c r="D59" s="8" t="n"/>
      <c r="E59" s="8" t="n"/>
      <c r="F59" s="131" t="n"/>
      <c r="G59" s="131" t="n"/>
      <c r="H59" s="131" t="n"/>
      <c r="I59" s="131" t="n"/>
      <c r="J59" s="131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15.75" customHeight="1" s="209">
      <c r="A60" s="8" t="n"/>
      <c r="B60" s="8" t="n"/>
      <c r="C60" s="8" t="n"/>
      <c r="D60" s="8" t="n"/>
      <c r="E60" s="8" t="n"/>
      <c r="F60" s="131" t="n"/>
      <c r="G60" s="131" t="n"/>
      <c r="H60" s="131" t="n"/>
      <c r="I60" s="131" t="n"/>
      <c r="J60" s="131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15.75" customHeight="1" s="209">
      <c r="A61" s="8" t="n"/>
      <c r="B61" s="8" t="n"/>
      <c r="C61" s="8" t="n"/>
      <c r="D61" s="8" t="n"/>
      <c r="E61" s="8" t="n"/>
      <c r="F61" s="131" t="n"/>
      <c r="G61" s="131" t="n"/>
      <c r="H61" s="131" t="n"/>
      <c r="I61" s="131" t="n"/>
      <c r="J61" s="131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15.75" customHeight="1" s="209">
      <c r="A62" s="8" t="n"/>
      <c r="B62" s="8" t="n"/>
      <c r="C62" s="8" t="n"/>
      <c r="D62" s="8" t="n"/>
      <c r="E62" s="8" t="n"/>
      <c r="F62" s="131" t="n"/>
      <c r="G62" s="131" t="n"/>
      <c r="H62" s="131" t="n"/>
      <c r="I62" s="131" t="n"/>
      <c r="J62" s="131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15.75" customHeight="1" s="209">
      <c r="A63" s="8" t="n"/>
      <c r="B63" s="8" t="n"/>
      <c r="C63" s="8" t="n"/>
      <c r="D63" s="8" t="n"/>
      <c r="E63" s="8" t="n"/>
      <c r="F63" s="131" t="n"/>
      <c r="G63" s="131" t="n"/>
      <c r="H63" s="131" t="n"/>
      <c r="I63" s="131" t="n"/>
      <c r="J63" s="131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15.75" customHeight="1" s="209">
      <c r="A64" s="8" t="n"/>
      <c r="B64" s="8" t="n"/>
      <c r="C64" s="8" t="n"/>
      <c r="D64" s="8" t="n"/>
      <c r="E64" s="8" t="n"/>
      <c r="F64" s="131" t="n"/>
      <c r="G64" s="131" t="n"/>
      <c r="H64" s="131" t="n"/>
      <c r="I64" s="131" t="n"/>
      <c r="J64" s="131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15.75" customHeight="1" s="209">
      <c r="A65" s="8" t="n"/>
      <c r="B65" s="8" t="n"/>
      <c r="C65" s="8" t="n"/>
      <c r="D65" s="8" t="n"/>
      <c r="E65" s="8" t="n"/>
      <c r="F65" s="131" t="n"/>
      <c r="G65" s="131" t="n"/>
      <c r="H65" s="131" t="n"/>
      <c r="I65" s="131" t="n"/>
      <c r="J65" s="131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15.75" customHeight="1" s="209">
      <c r="A66" s="8" t="n"/>
      <c r="B66" s="8" t="n"/>
      <c r="C66" s="8" t="n"/>
      <c r="D66" s="8" t="n"/>
      <c r="E66" s="8" t="n"/>
      <c r="F66" s="131" t="n"/>
      <c r="G66" s="131" t="n"/>
      <c r="H66" s="131" t="n"/>
      <c r="I66" s="131" t="n"/>
      <c r="J66" s="131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15.75" customHeight="1" s="209">
      <c r="A67" s="8" t="n"/>
      <c r="B67" s="8" t="n"/>
      <c r="C67" s="8" t="n"/>
      <c r="D67" s="8" t="n"/>
      <c r="E67" s="8" t="n"/>
      <c r="F67" s="131" t="n"/>
      <c r="G67" s="131" t="n"/>
      <c r="H67" s="131" t="n"/>
      <c r="I67" s="131" t="n"/>
      <c r="J67" s="131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15.75" customHeight="1" s="209">
      <c r="A68" s="8" t="n"/>
      <c r="B68" s="8" t="n"/>
      <c r="C68" s="8" t="n"/>
      <c r="D68" s="8" t="n"/>
      <c r="E68" s="8" t="n"/>
      <c r="F68" s="131" t="n"/>
      <c r="G68" s="131" t="n"/>
      <c r="H68" s="131" t="n"/>
      <c r="I68" s="131" t="n"/>
      <c r="J68" s="131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 ht="15.75" customHeight="1" s="209">
      <c r="A69" s="8" t="n"/>
      <c r="B69" s="8" t="n"/>
      <c r="C69" s="8" t="n"/>
      <c r="D69" s="8" t="n"/>
      <c r="E69" s="8" t="n"/>
      <c r="F69" s="131" t="n"/>
      <c r="G69" s="131" t="n"/>
      <c r="H69" s="131" t="n"/>
      <c r="I69" s="131" t="n"/>
      <c r="J69" s="131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15.75" customHeight="1" s="209">
      <c r="A70" s="8" t="n"/>
      <c r="B70" s="8" t="n"/>
      <c r="C70" s="8" t="n"/>
      <c r="D70" s="8" t="n"/>
      <c r="E70" s="8" t="n"/>
      <c r="F70" s="131" t="n"/>
      <c r="G70" s="131" t="n"/>
      <c r="H70" s="131" t="n"/>
      <c r="I70" s="131" t="n"/>
      <c r="J70" s="131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15.75" customHeight="1" s="209">
      <c r="A71" s="8" t="n"/>
      <c r="B71" s="8" t="n"/>
      <c r="C71" s="8" t="n"/>
      <c r="D71" s="8" t="n"/>
      <c r="E71" s="8" t="n"/>
      <c r="F71" s="131" t="n"/>
      <c r="G71" s="131" t="n"/>
      <c r="H71" s="131" t="n"/>
      <c r="I71" s="131" t="n"/>
      <c r="J71" s="131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15.75" customHeight="1" s="209">
      <c r="A72" s="8" t="n"/>
      <c r="B72" s="8" t="n"/>
      <c r="C72" s="8" t="n"/>
      <c r="D72" s="8" t="n"/>
      <c r="E72" s="8" t="n"/>
      <c r="F72" s="131" t="n"/>
      <c r="G72" s="131" t="n"/>
      <c r="H72" s="131" t="n"/>
      <c r="I72" s="131" t="n"/>
      <c r="J72" s="131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 ht="15.75" customHeight="1" s="209">
      <c r="A73" s="8" t="n"/>
      <c r="B73" s="8" t="n"/>
      <c r="C73" s="8" t="n"/>
      <c r="D73" s="8" t="n"/>
      <c r="E73" s="8" t="n"/>
      <c r="F73" s="131" t="n"/>
      <c r="G73" s="131" t="n"/>
      <c r="H73" s="131" t="n"/>
      <c r="I73" s="131" t="n"/>
      <c r="J73" s="131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15.75" customHeight="1" s="209">
      <c r="A74" s="8" t="n"/>
      <c r="B74" s="8" t="n"/>
      <c r="C74" s="8" t="n"/>
      <c r="D74" s="8" t="n"/>
      <c r="E74" s="8" t="n"/>
      <c r="F74" s="131" t="n"/>
      <c r="G74" s="131" t="n"/>
      <c r="H74" s="131" t="n"/>
      <c r="I74" s="131" t="n"/>
      <c r="J74" s="131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15.75" customHeight="1" s="209">
      <c r="A75" s="8" t="n"/>
      <c r="B75" s="8" t="n"/>
      <c r="C75" s="8" t="n"/>
      <c r="D75" s="8" t="n"/>
      <c r="E75" s="8" t="n"/>
      <c r="F75" s="131" t="n"/>
      <c r="G75" s="131" t="n"/>
      <c r="H75" s="131" t="n"/>
      <c r="I75" s="131" t="n"/>
      <c r="J75" s="131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15.75" customHeight="1" s="209">
      <c r="A76" s="8" t="n"/>
      <c r="B76" s="8" t="n"/>
      <c r="C76" s="8" t="n"/>
      <c r="D76" s="8" t="n"/>
      <c r="E76" s="8" t="n"/>
      <c r="F76" s="131" t="n"/>
      <c r="G76" s="131" t="n"/>
      <c r="H76" s="131" t="n"/>
      <c r="I76" s="131" t="n"/>
      <c r="J76" s="131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15.75" customHeight="1" s="209">
      <c r="A77" s="8" t="n"/>
      <c r="B77" s="8" t="n"/>
      <c r="C77" s="8" t="n"/>
      <c r="D77" s="8" t="n"/>
      <c r="E77" s="8" t="n"/>
      <c r="F77" s="131" t="n"/>
      <c r="G77" s="131" t="n"/>
      <c r="H77" s="131" t="n"/>
      <c r="I77" s="131" t="n"/>
      <c r="J77" s="131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15.75" customHeight="1" s="209">
      <c r="A78" s="8" t="n"/>
      <c r="B78" s="8" t="n"/>
      <c r="C78" s="8" t="n"/>
      <c r="D78" s="8" t="n"/>
      <c r="E78" s="8" t="n"/>
      <c r="F78" s="131" t="n"/>
      <c r="G78" s="131" t="n"/>
      <c r="H78" s="131" t="n"/>
      <c r="I78" s="131" t="n"/>
      <c r="J78" s="131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 ht="15.75" customHeight="1" s="209">
      <c r="A79" s="8" t="n"/>
      <c r="B79" s="8" t="n"/>
      <c r="C79" s="8" t="n"/>
      <c r="D79" s="8" t="n"/>
      <c r="E79" s="8" t="n"/>
      <c r="F79" s="131" t="n"/>
      <c r="G79" s="131" t="n"/>
      <c r="H79" s="131" t="n"/>
      <c r="I79" s="131" t="n"/>
      <c r="J79" s="131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15.75" customHeight="1" s="209">
      <c r="A80" s="8" t="n"/>
      <c r="B80" s="8" t="n"/>
      <c r="C80" s="8" t="n"/>
      <c r="D80" s="8" t="n"/>
      <c r="E80" s="8" t="n"/>
      <c r="F80" s="131" t="n"/>
      <c r="G80" s="131" t="n"/>
      <c r="H80" s="131" t="n"/>
      <c r="I80" s="131" t="n"/>
      <c r="J80" s="131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 ht="15.75" customHeight="1" s="209">
      <c r="A81" s="8" t="n"/>
      <c r="B81" s="8" t="n"/>
      <c r="C81" s="8" t="n"/>
      <c r="D81" s="8" t="n"/>
      <c r="E81" s="8" t="n"/>
      <c r="F81" s="131" t="n"/>
      <c r="G81" s="131" t="n"/>
      <c r="H81" s="131" t="n"/>
      <c r="I81" s="131" t="n"/>
      <c r="J81" s="131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15.75" customHeight="1" s="209">
      <c r="A82" s="8" t="n"/>
      <c r="B82" s="8" t="n"/>
      <c r="C82" s="8" t="n"/>
      <c r="D82" s="8" t="n"/>
      <c r="E82" s="8" t="n"/>
      <c r="F82" s="131" t="n"/>
      <c r="G82" s="131" t="n"/>
      <c r="H82" s="131" t="n"/>
      <c r="I82" s="131" t="n"/>
      <c r="J82" s="131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 ht="15.75" customHeight="1" s="209">
      <c r="A83" s="8" t="n"/>
      <c r="B83" s="8" t="n"/>
      <c r="C83" s="8" t="n"/>
      <c r="D83" s="8" t="n"/>
      <c r="E83" s="8" t="n"/>
      <c r="F83" s="131" t="n"/>
      <c r="G83" s="131" t="n"/>
      <c r="H83" s="131" t="n"/>
      <c r="I83" s="131" t="n"/>
      <c r="J83" s="131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4" ht="15.75" customHeight="1" s="209">
      <c r="A84" s="8" t="n"/>
      <c r="B84" s="8" t="n"/>
      <c r="C84" s="8" t="n"/>
      <c r="D84" s="8" t="n"/>
      <c r="E84" s="8" t="n"/>
      <c r="F84" s="131" t="n"/>
      <c r="G84" s="131" t="n"/>
      <c r="H84" s="131" t="n"/>
      <c r="I84" s="131" t="n"/>
      <c r="J84" s="131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</row>
    <row r="85" ht="15.75" customHeight="1" s="209">
      <c r="A85" s="8" t="n"/>
      <c r="B85" s="8" t="n"/>
      <c r="C85" s="8" t="n"/>
      <c r="D85" s="8" t="n"/>
      <c r="E85" s="8" t="n"/>
      <c r="F85" s="131" t="n"/>
      <c r="G85" s="131" t="n"/>
      <c r="H85" s="131" t="n"/>
      <c r="I85" s="131" t="n"/>
      <c r="J85" s="131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15.75" customHeight="1" s="209">
      <c r="A86" s="8" t="n"/>
      <c r="B86" s="8" t="n"/>
      <c r="C86" s="8" t="n"/>
      <c r="D86" s="8" t="n"/>
      <c r="E86" s="8" t="n"/>
      <c r="F86" s="131" t="n"/>
      <c r="G86" s="131" t="n"/>
      <c r="H86" s="131" t="n"/>
      <c r="I86" s="131" t="n"/>
      <c r="J86" s="131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 ht="15.75" customHeight="1" s="209">
      <c r="A87" s="8" t="n"/>
      <c r="B87" s="8" t="n"/>
      <c r="C87" s="8" t="n"/>
      <c r="D87" s="8" t="n"/>
      <c r="E87" s="8" t="n"/>
      <c r="F87" s="131" t="n"/>
      <c r="G87" s="131" t="n"/>
      <c r="H87" s="131" t="n"/>
      <c r="I87" s="131" t="n"/>
      <c r="J87" s="131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15.75" customHeight="1" s="209">
      <c r="A88" s="8" t="n"/>
      <c r="B88" s="8" t="n"/>
      <c r="C88" s="8" t="n"/>
      <c r="D88" s="8" t="n"/>
      <c r="E88" s="8" t="n"/>
      <c r="F88" s="131" t="n"/>
      <c r="G88" s="131" t="n"/>
      <c r="H88" s="131" t="n"/>
      <c r="I88" s="131" t="n"/>
      <c r="J88" s="131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 ht="15.75" customHeight="1" s="209">
      <c r="A89" s="8" t="n"/>
      <c r="B89" s="8" t="n"/>
      <c r="C89" s="8" t="n"/>
      <c r="D89" s="8" t="n"/>
      <c r="E89" s="8" t="n"/>
      <c r="F89" s="131" t="n"/>
      <c r="G89" s="131" t="n"/>
      <c r="H89" s="131" t="n"/>
      <c r="I89" s="131" t="n"/>
      <c r="J89" s="131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15.75" customHeight="1" s="209">
      <c r="A90" s="8" t="n"/>
      <c r="B90" s="8" t="n"/>
      <c r="C90" s="8" t="n"/>
      <c r="D90" s="8" t="n"/>
      <c r="E90" s="8" t="n"/>
      <c r="F90" s="131" t="n"/>
      <c r="G90" s="131" t="n"/>
      <c r="H90" s="131" t="n"/>
      <c r="I90" s="131" t="n"/>
      <c r="J90" s="131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 ht="15.75" customHeight="1" s="209">
      <c r="A91" s="8" t="n"/>
      <c r="B91" s="8" t="n"/>
      <c r="C91" s="8" t="n"/>
      <c r="D91" s="8" t="n"/>
      <c r="E91" s="8" t="n"/>
      <c r="F91" s="131" t="n"/>
      <c r="G91" s="131" t="n"/>
      <c r="H91" s="131" t="n"/>
      <c r="I91" s="131" t="n"/>
      <c r="J91" s="131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15.75" customHeight="1" s="209">
      <c r="A92" s="8" t="n"/>
      <c r="B92" s="8" t="n"/>
      <c r="C92" s="8" t="n"/>
      <c r="D92" s="8" t="n"/>
      <c r="E92" s="8" t="n"/>
      <c r="F92" s="131" t="n"/>
      <c r="G92" s="131" t="n"/>
      <c r="H92" s="131" t="n"/>
      <c r="I92" s="131" t="n"/>
      <c r="J92" s="131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 ht="15.75" customHeight="1" s="209">
      <c r="A93" s="8" t="n"/>
      <c r="B93" s="8" t="n"/>
      <c r="C93" s="8" t="n"/>
      <c r="D93" s="8" t="n"/>
      <c r="E93" s="8" t="n"/>
      <c r="F93" s="131" t="n"/>
      <c r="G93" s="131" t="n"/>
      <c r="H93" s="131" t="n"/>
      <c r="I93" s="131" t="n"/>
      <c r="J93" s="131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15.75" customHeight="1" s="209">
      <c r="A94" s="8" t="n"/>
      <c r="B94" s="8" t="n"/>
      <c r="C94" s="8" t="n"/>
      <c r="D94" s="8" t="n"/>
      <c r="E94" s="8" t="n"/>
      <c r="F94" s="131" t="n"/>
      <c r="G94" s="131" t="n"/>
      <c r="H94" s="131" t="n"/>
      <c r="I94" s="131" t="n"/>
      <c r="J94" s="131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 ht="15.75" customHeight="1" s="209">
      <c r="A95" s="8" t="n"/>
      <c r="B95" s="8" t="n"/>
      <c r="C95" s="8" t="n"/>
      <c r="D95" s="8" t="n"/>
      <c r="E95" s="8" t="n"/>
      <c r="F95" s="131" t="n"/>
      <c r="G95" s="131" t="n"/>
      <c r="H95" s="131" t="n"/>
      <c r="I95" s="131" t="n"/>
      <c r="J95" s="131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15.75" customHeight="1" s="209">
      <c r="A96" s="8" t="n"/>
      <c r="B96" s="8" t="n"/>
      <c r="C96" s="8" t="n"/>
      <c r="D96" s="8" t="n"/>
      <c r="E96" s="8" t="n"/>
      <c r="F96" s="131" t="n"/>
      <c r="G96" s="131" t="n"/>
      <c r="H96" s="131" t="n"/>
      <c r="I96" s="131" t="n"/>
      <c r="J96" s="131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 ht="15.75" customHeight="1" s="209">
      <c r="A97" s="8" t="n"/>
      <c r="B97" s="8" t="n"/>
      <c r="C97" s="8" t="n"/>
      <c r="D97" s="8" t="n"/>
      <c r="E97" s="8" t="n"/>
      <c r="F97" s="131" t="n"/>
      <c r="G97" s="131" t="n"/>
      <c r="H97" s="131" t="n"/>
      <c r="I97" s="131" t="n"/>
      <c r="J97" s="131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15.75" customHeight="1" s="209">
      <c r="A98" s="8" t="n"/>
      <c r="B98" s="8" t="n"/>
      <c r="C98" s="8" t="n"/>
      <c r="D98" s="8" t="n"/>
      <c r="E98" s="8" t="n"/>
      <c r="F98" s="131" t="n"/>
      <c r="G98" s="131" t="n"/>
      <c r="H98" s="131" t="n"/>
      <c r="I98" s="131" t="n"/>
      <c r="J98" s="131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 ht="15.75" customHeight="1" s="209">
      <c r="A99" s="8" t="n"/>
      <c r="B99" s="8" t="n"/>
      <c r="C99" s="8" t="n"/>
      <c r="D99" s="8" t="n"/>
      <c r="E99" s="8" t="n"/>
      <c r="F99" s="131" t="n"/>
      <c r="G99" s="131" t="n"/>
      <c r="H99" s="131" t="n"/>
      <c r="I99" s="131" t="n"/>
      <c r="J99" s="131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15.75" customHeight="1" s="209">
      <c r="A100" s="8" t="n"/>
      <c r="B100" s="8" t="n"/>
      <c r="C100" s="8" t="n"/>
      <c r="D100" s="8" t="n"/>
      <c r="E100" s="8" t="n"/>
      <c r="F100" s="131" t="n"/>
      <c r="G100" s="131" t="n"/>
      <c r="H100" s="131" t="n"/>
      <c r="I100" s="131" t="n"/>
      <c r="J100" s="131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</row>
  </sheetData>
  <mergeCells count="2">
    <mergeCell ref="A1:P1"/>
    <mergeCell ref="A2:P2"/>
  </mergeCells>
  <dataValidations count="1">
    <dataValidation sqref="I4:M100" showDropDown="0" showInputMessage="0" showErrorMessage="0" allowBlank="1" type="date">
      <formula1>45658.0</formula1>
      <formula2>47848.0</formula2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8" defaultColWidth="12.63" defaultRowHeight="15" customHeight="1"/>
  <cols>
    <col width="6" customWidth="1" style="209" min="1" max="1"/>
    <col width="18" customWidth="1" style="209" min="2" max="2"/>
    <col width="16" customWidth="1" style="209" min="3" max="3"/>
    <col width="46" customWidth="1" style="209" min="4" max="4"/>
    <col width="14" customWidth="1" style="209" min="5" max="5"/>
    <col width="12" customWidth="1" style="209" min="6" max="6"/>
    <col width="15" customWidth="1" style="209" min="7" max="7"/>
    <col width="12" customWidth="1" style="209" min="8" max="11"/>
    <col width="52" customWidth="1" style="209" min="12" max="12"/>
    <col width="14.38" customWidth="1" style="209" min="13" max="26"/>
  </cols>
  <sheetData>
    <row r="1" ht="25.5" customHeight="1" s="209">
      <c r="A1" s="284" t="inlineStr">
        <is>
          <t xml:space="preserve"> 🛠️ 2026 알기사 정보보안기사 실기 기본서 + 실무형/서술형/단답형 마스터 DB</t>
        </is>
      </c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21.75" customHeight="1" s="209"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</row>
    <row r="3" ht="25.5" customHeight="1" s="209">
      <c r="A3" s="139" t="inlineStr">
        <is>
          <t>No</t>
        </is>
      </c>
      <c r="B3" s="139" t="inlineStr">
        <is>
          <t>실기 영역 (PART)</t>
        </is>
      </c>
      <c r="C3" s="139" t="inlineStr">
        <is>
          <t>세부 섹션 (SECTION)</t>
        </is>
      </c>
      <c r="D3" s="139" t="inlineStr">
        <is>
          <t>실무 세부 학습 주제 / 주요 타겟</t>
        </is>
      </c>
      <c r="E3" s="139" t="inlineStr">
        <is>
          <t>출제 유형</t>
        </is>
      </c>
      <c r="F3" s="139" t="inlineStr">
        <is>
          <t>실습/명령어 숙지도</t>
        </is>
      </c>
      <c r="G3" s="139" t="inlineStr">
        <is>
          <t>단답형 연습</t>
        </is>
      </c>
      <c r="H3" s="139" t="inlineStr">
        <is>
          <t>서술형 연습</t>
        </is>
      </c>
      <c r="I3" s="139" t="inlineStr">
        <is>
          <t>실무형 연습</t>
        </is>
      </c>
      <c r="J3" s="139" t="inlineStr">
        <is>
          <t>최종 상태</t>
        </is>
      </c>
      <c r="K3" s="140" t="n"/>
      <c r="L3" s="140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21.75" customHeight="1" s="209">
      <c r="A4" s="141" t="n">
        <v>1</v>
      </c>
      <c r="B4" s="141" t="inlineStr">
        <is>
          <t>PART 01 시스템</t>
        </is>
      </c>
      <c r="C4" s="141" t="inlineStr">
        <is>
          <t>SECTION 01~02</t>
        </is>
      </c>
      <c r="D4" s="142" t="inlineStr">
        <is>
          <t>UNIX/Linux 계정 관리 및 취약점 점검 (/etc/passwd, shadow, PAM, su 제한)</t>
        </is>
      </c>
      <c r="E4" s="141" t="inlineStr">
        <is>
          <t>단답/서술/실무</t>
        </is>
      </c>
      <c r="F4" s="141" t="inlineStr">
        <is>
          <t>보통</t>
        </is>
      </c>
      <c r="G4" s="141" t="inlineStr">
        <is>
          <t>미완료</t>
        </is>
      </c>
      <c r="H4" s="141" t="inlineStr">
        <is>
          <t>미완료</t>
        </is>
      </c>
      <c r="I4" s="141" t="inlineStr">
        <is>
          <t>미완료</t>
        </is>
      </c>
      <c r="J4" s="141">
        <f>IF(AND(G4="완료",H4="완료",I4="완료"),"🏆 전영역 마스터",IF(OR(G4="완료",H4="완료",I4="완료"),"진행중","학습필요"))</f>
        <v/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 ht="21.75" customHeight="1" s="209">
      <c r="A5" s="143" t="n">
        <v>2</v>
      </c>
      <c r="B5" s="143" t="inlineStr">
        <is>
          <t>PART 01 시스템</t>
        </is>
      </c>
      <c r="C5" s="143" t="inlineStr">
        <is>
          <t>SECTION 02</t>
        </is>
      </c>
      <c r="D5" s="144" t="inlineStr">
        <is>
          <t>UNIX/Linux 파일/디렉터리 권한 취약점 (SetUID 탐지, umask, 중요파일 권한)</t>
        </is>
      </c>
      <c r="E5" s="143" t="inlineStr">
        <is>
          <t>단답/실무</t>
        </is>
      </c>
      <c r="F5" s="143" t="inlineStr">
        <is>
          <t>보통</t>
        </is>
      </c>
      <c r="G5" s="143" t="inlineStr">
        <is>
          <t>미완료</t>
        </is>
      </c>
      <c r="H5" s="143" t="inlineStr">
        <is>
          <t>미완료</t>
        </is>
      </c>
      <c r="I5" s="143" t="inlineStr">
        <is>
          <t>미완료</t>
        </is>
      </c>
      <c r="J5" s="143">
        <f>IF(AND(G5="완료",H5="완료",I5="완료"),"🏆 전영역 마스터",IF(OR(G5="완료",H5="완료",I5="완료"),"진행중","학습필요"))</f>
        <v/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21.75" customHeight="1" s="209">
      <c r="A6" s="141" t="n">
        <v>3</v>
      </c>
      <c r="B6" s="141" t="inlineStr">
        <is>
          <t>PART 01 시스템</t>
        </is>
      </c>
      <c r="C6" s="141" t="inlineStr">
        <is>
          <t>SECTION 03</t>
        </is>
      </c>
      <c r="D6" s="142" t="inlineStr">
        <is>
          <t>Windows 서버 취약점 점검 (계정/패스워드 정책, 공유폴더, 레지스트리, 서비스)</t>
        </is>
      </c>
      <c r="E6" s="141" t="inlineStr">
        <is>
          <t>단답/서술</t>
        </is>
      </c>
      <c r="F6" s="141" t="inlineStr">
        <is>
          <t>미흡</t>
        </is>
      </c>
      <c r="G6" s="141" t="inlineStr">
        <is>
          <t>미완료</t>
        </is>
      </c>
      <c r="H6" s="141" t="inlineStr">
        <is>
          <t>미완료</t>
        </is>
      </c>
      <c r="I6" s="141" t="inlineStr">
        <is>
          <t>미완료</t>
        </is>
      </c>
      <c r="J6" s="141">
        <f>IF(AND(G6="완료",H6="완료",I6="완료"),"🏆 전영역 마스터",IF(OR(G6="완료",H6="완료",I6="완료"),"진행중","학습필요"))</f>
        <v/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 ht="21.75" customHeight="1" s="209">
      <c r="A7" s="143" t="n">
        <v>4</v>
      </c>
      <c r="B7" s="143" t="inlineStr">
        <is>
          <t>PART 01 시스템</t>
        </is>
      </c>
      <c r="C7" s="143" t="inlineStr">
        <is>
          <t>SECTION 01</t>
        </is>
      </c>
      <c r="D7" s="144" t="inlineStr">
        <is>
          <t>시스템 해킹 공격 분석 (Stack Buffer Overflow, 포맷스트링, Race Condition)</t>
        </is>
      </c>
      <c r="E7" s="143" t="inlineStr">
        <is>
          <t>서술/실무</t>
        </is>
      </c>
      <c r="F7" s="143" t="inlineStr">
        <is>
          <t>보통</t>
        </is>
      </c>
      <c r="G7" s="143" t="inlineStr">
        <is>
          <t>미완료</t>
        </is>
      </c>
      <c r="H7" s="143" t="inlineStr">
        <is>
          <t>미완료</t>
        </is>
      </c>
      <c r="I7" s="143" t="inlineStr">
        <is>
          <t>미완료</t>
        </is>
      </c>
      <c r="J7" s="143">
        <f>IF(AND(G7="완료",H7="완료",I7="완료"),"🏆 전영역 마스터",IF(OR(G7="완료",H7="완료",I7="완료"),"진행중","학습필요"))</f>
        <v/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21.75" customHeight="1" s="209">
      <c r="A8" s="141" t="n">
        <v>5</v>
      </c>
      <c r="B8" s="141" t="inlineStr">
        <is>
          <t>PART 02 네트워크</t>
        </is>
      </c>
      <c r="C8" s="141" t="inlineStr">
        <is>
          <t>SECTION 04</t>
        </is>
      </c>
      <c r="D8" s="142" t="inlineStr">
        <is>
          <t>네트워크 패킷 분석 및 스니핑/스푸핑 탐지 (Wireshark, tcpdump, ARP Spoofing)</t>
        </is>
      </c>
      <c r="E8" s="141" t="inlineStr">
        <is>
          <t>실무/단답</t>
        </is>
      </c>
      <c r="F8" s="141" t="inlineStr">
        <is>
          <t>보통</t>
        </is>
      </c>
      <c r="G8" s="141" t="inlineStr">
        <is>
          <t>미완료</t>
        </is>
      </c>
      <c r="H8" s="141" t="inlineStr">
        <is>
          <t>미완료</t>
        </is>
      </c>
      <c r="I8" s="141" t="inlineStr">
        <is>
          <t>미완료</t>
        </is>
      </c>
      <c r="J8" s="141">
        <f>IF(AND(G8="완료",H8="완료",I8="완료"),"🏆 전영역 마스터",IF(OR(G8="완료",H8="완료",I8="완료"),"진행중","학습필요"))</f>
        <v/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 ht="21.75" customHeight="1" s="209">
      <c r="A9" s="143" t="n">
        <v>6</v>
      </c>
      <c r="B9" s="143" t="inlineStr">
        <is>
          <t>PART 02 네트워크</t>
        </is>
      </c>
      <c r="C9" s="143" t="inlineStr">
        <is>
          <t>SECTION 04</t>
        </is>
      </c>
      <c r="D9" s="144" t="inlineStr">
        <is>
          <t>DoS/DDoS 공격 패킷 분석 (SYN Flooding, Smurf, Land, Slowloris, HTTP GET Flood)</t>
        </is>
      </c>
      <c r="E9" s="143" t="inlineStr">
        <is>
          <t>서술/실무</t>
        </is>
      </c>
      <c r="F9" s="143" t="inlineStr">
        <is>
          <t>보통</t>
        </is>
      </c>
      <c r="G9" s="143" t="inlineStr">
        <is>
          <t>미완료</t>
        </is>
      </c>
      <c r="H9" s="143" t="inlineStr">
        <is>
          <t>미완료</t>
        </is>
      </c>
      <c r="I9" s="143" t="inlineStr">
        <is>
          <t>미완료</t>
        </is>
      </c>
      <c r="J9" s="143">
        <f>IF(AND(G9="완료",H9="완료",I9="완료"),"🏆 전영역 마스터",IF(OR(G9="완료",H9="완료",I9="완료"),"진행중","학습필요"))</f>
        <v/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21.75" customHeight="1" s="209">
      <c r="A10" s="141" t="n">
        <v>7</v>
      </c>
      <c r="B10" s="141" t="inlineStr">
        <is>
          <t>PART 02 네트워크</t>
        </is>
      </c>
      <c r="C10" s="141" t="inlineStr">
        <is>
          <t>SECTION 05</t>
        </is>
      </c>
      <c r="D10" s="142" t="inlineStr">
        <is>
          <t>네트워크 보안 프로토콜 (IPSec AH/ESP 헤더 구조, SSL/TLS 핸드셰이크 분석)</t>
        </is>
      </c>
      <c r="E10" s="141" t="inlineStr">
        <is>
          <t>단답/서술</t>
        </is>
      </c>
      <c r="F10" s="141" t="inlineStr">
        <is>
          <t>보통</t>
        </is>
      </c>
      <c r="G10" s="141" t="inlineStr">
        <is>
          <t>미완료</t>
        </is>
      </c>
      <c r="H10" s="141" t="inlineStr">
        <is>
          <t>미완료</t>
        </is>
      </c>
      <c r="I10" s="141" t="inlineStr">
        <is>
          <t>미완료</t>
        </is>
      </c>
      <c r="J10" s="141">
        <f>IF(AND(G10="완료",H10="완료",I10="완료"),"🏆 전영역 마스터",IF(OR(G10="완료",H10="완료",I10="완료"),"진행중","학습필요"))</f>
        <v/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 ht="21.75" customHeight="1" s="209">
      <c r="A11" s="143" t="n">
        <v>8</v>
      </c>
      <c r="B11" s="143" t="inlineStr">
        <is>
          <t>PART 02 네트워크</t>
        </is>
      </c>
      <c r="C11" s="143" t="inlineStr">
        <is>
          <t>SECTION 06</t>
        </is>
      </c>
      <c r="D11" s="144" t="inlineStr">
        <is>
          <t>라우터 보안 및 접근제어 목록 (Cisco 라우터 Standard/Extended ACL 설정)</t>
        </is>
      </c>
      <c r="E11" s="143" t="inlineStr">
        <is>
          <t>실무/단답</t>
        </is>
      </c>
      <c r="F11" s="143" t="inlineStr">
        <is>
          <t>보통</t>
        </is>
      </c>
      <c r="G11" s="143" t="inlineStr">
        <is>
          <t>미완료</t>
        </is>
      </c>
      <c r="H11" s="143" t="inlineStr">
        <is>
          <t>미완료</t>
        </is>
      </c>
      <c r="I11" s="143" t="inlineStr">
        <is>
          <t>미완료</t>
        </is>
      </c>
      <c r="J11" s="143">
        <f>IF(AND(G11="완료",H11="완료",I11="완료"),"🏆 전영역 마스터",IF(OR(G11="완료",H11="완료",I11="완료"),"진행중","학습필요"))</f>
        <v/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21.75" customHeight="1" s="209">
      <c r="A12" s="141" t="n">
        <v>9</v>
      </c>
      <c r="B12" s="141" t="inlineStr">
        <is>
          <t>PART 03 애플리케이션</t>
        </is>
      </c>
      <c r="C12" s="141" t="inlineStr">
        <is>
          <t>SECTION 08</t>
        </is>
      </c>
      <c r="D12" s="142" t="inlineStr">
        <is>
          <t>웹 애플리케이션 취약점 1 (SQL Injection 공격 탐지 및 PreparedStatement 시큐어코딩)</t>
        </is>
      </c>
      <c r="E12" s="141" t="inlineStr">
        <is>
          <t>단답/서술/실무</t>
        </is>
      </c>
      <c r="F12" s="141" t="inlineStr">
        <is>
          <t>보통</t>
        </is>
      </c>
      <c r="G12" s="141" t="inlineStr">
        <is>
          <t>미완료</t>
        </is>
      </c>
      <c r="H12" s="141" t="inlineStr">
        <is>
          <t>미완료</t>
        </is>
      </c>
      <c r="I12" s="141" t="inlineStr">
        <is>
          <t>미완료</t>
        </is>
      </c>
      <c r="J12" s="141">
        <f>IF(AND(G12="완료",H12="완료",I12="완료"),"🏆 전영역 마스터",IF(OR(G12="완료",H12="완료",I12="완료"),"진행중","학습필요"))</f>
        <v/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21.75" customHeight="1" s="209">
      <c r="A13" s="143" t="n">
        <v>10</v>
      </c>
      <c r="B13" s="143" t="inlineStr">
        <is>
          <t>PART 03 애플리케이션</t>
        </is>
      </c>
      <c r="C13" s="143" t="inlineStr">
        <is>
          <t>SECTION 08</t>
        </is>
      </c>
      <c r="D13" s="144" t="inlineStr">
        <is>
          <t>웹 애플리케이션 취약점 2 (XSS, CSRF, SSRF, Command Injection, 파일업로드/다운로드)</t>
        </is>
      </c>
      <c r="E13" s="143" t="inlineStr">
        <is>
          <t>단답/서술/실무</t>
        </is>
      </c>
      <c r="F13" s="143" t="inlineStr">
        <is>
          <t>보통</t>
        </is>
      </c>
      <c r="G13" s="143" t="inlineStr">
        <is>
          <t>미완료</t>
        </is>
      </c>
      <c r="H13" s="143" t="inlineStr">
        <is>
          <t>미완료</t>
        </is>
      </c>
      <c r="I13" s="143" t="inlineStr">
        <is>
          <t>미완료</t>
        </is>
      </c>
      <c r="J13" s="143">
        <f>IF(AND(G13="완료",H13="완료",I13="완료"),"🏆 전영역 마스터",IF(OR(G13="완료",H13="완료",I13="완료"),"진행중","학습필요"))</f>
        <v/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21.75" customHeight="1" s="209">
      <c r="A14" s="141" t="n">
        <v>11</v>
      </c>
      <c r="B14" s="141" t="inlineStr">
        <is>
          <t>PART 03 애플리케이션</t>
        </is>
      </c>
      <c r="C14" s="141" t="inlineStr">
        <is>
          <t>SECTION 09</t>
        </is>
      </c>
      <c r="D14" s="142" t="inlineStr">
        <is>
          <t>웹 서버 취약점 및 보안 설정 (Apache httpd.conf, 디렉터리 리스팅 차단, 웹로그 분석)</t>
        </is>
      </c>
      <c r="E14" s="141" t="inlineStr">
        <is>
          <t>단답/실무</t>
        </is>
      </c>
      <c r="F14" s="141" t="inlineStr">
        <is>
          <t>보통</t>
        </is>
      </c>
      <c r="G14" s="141" t="inlineStr">
        <is>
          <t>미완료</t>
        </is>
      </c>
      <c r="H14" s="141" t="inlineStr">
        <is>
          <t>미완료</t>
        </is>
      </c>
      <c r="I14" s="141" t="inlineStr">
        <is>
          <t>미완료</t>
        </is>
      </c>
      <c r="J14" s="141">
        <f>IF(AND(G14="완료",H14="완료",I14="완료"),"🏆 전영역 마스터",IF(OR(G14="완료",H14="완료",I14="완료"),"진행중","학습필요"))</f>
        <v/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21.75" customHeight="1" s="209">
      <c r="A15" s="143" t="n">
        <v>12</v>
      </c>
      <c r="B15" s="143" t="inlineStr">
        <is>
          <t>PART 03 애플리케이션</t>
        </is>
      </c>
      <c r="C15" s="143" t="inlineStr">
        <is>
          <t>SECTION 10</t>
        </is>
      </c>
      <c r="D15" s="144" t="inlineStr">
        <is>
          <t>이메일 보안 (sendmail.cf 릴레이 차단, SPF 레코드 작성, DKIM/DMARC)</t>
        </is>
      </c>
      <c r="E15" s="143" t="inlineStr">
        <is>
          <t>단답/실무</t>
        </is>
      </c>
      <c r="F15" s="143" t="inlineStr">
        <is>
          <t>보통</t>
        </is>
      </c>
      <c r="G15" s="143" t="inlineStr">
        <is>
          <t>미완료</t>
        </is>
      </c>
      <c r="H15" s="143" t="inlineStr">
        <is>
          <t>미완료</t>
        </is>
      </c>
      <c r="I15" s="143" t="inlineStr">
        <is>
          <t>미완료</t>
        </is>
      </c>
      <c r="J15" s="143">
        <f>IF(AND(G15="완료",H15="완료",I15="완료"),"🏆 전영역 마스터",IF(OR(G15="완료",H15="완료",I15="완료"),"진행중","학습필요"))</f>
        <v/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21.75" customHeight="1" s="209">
      <c r="A16" s="141" t="n">
        <v>13</v>
      </c>
      <c r="B16" s="141" t="inlineStr">
        <is>
          <t>PART 03 애플리케이션</t>
        </is>
      </c>
      <c r="C16" s="141" t="inlineStr">
        <is>
          <t>SECTION 11</t>
        </is>
      </c>
      <c r="D16" s="142" t="inlineStr">
        <is>
          <t>데이터베이스 보안 (MySQL/Oracle 권한 관리, 접근통제, TDE, DBMS 로그 분석)</t>
        </is>
      </c>
      <c r="E16" s="141" t="inlineStr">
        <is>
          <t>단답/서술</t>
        </is>
      </c>
      <c r="F16" s="141" t="inlineStr">
        <is>
          <t>보통</t>
        </is>
      </c>
      <c r="G16" s="141" t="inlineStr">
        <is>
          <t>미완료</t>
        </is>
      </c>
      <c r="H16" s="141" t="inlineStr">
        <is>
          <t>미완료</t>
        </is>
      </c>
      <c r="I16" s="141" t="inlineStr">
        <is>
          <t>미완료</t>
        </is>
      </c>
      <c r="J16" s="141">
        <f>IF(AND(G16="완료",H16="완료",I16="완료"),"🏆 전영역 마스터",IF(OR(G16="완료",H16="완료",I16="완료"),"진행중","학습필요"))</f>
        <v/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21.75" customHeight="1" s="209">
      <c r="A17" s="143" t="n">
        <v>14</v>
      </c>
      <c r="B17" s="143" t="inlineStr">
        <is>
          <t>PART 04 침해사고</t>
        </is>
      </c>
      <c r="C17" s="143" t="inlineStr">
        <is>
          <t>SECTION 13</t>
        </is>
      </c>
      <c r="D17" s="144" t="inlineStr">
        <is>
          <t>Snort 침입탐지시스템 룰(Rule) 작성 및 로그 분석</t>
        </is>
      </c>
      <c r="E17" s="143" t="inlineStr">
        <is>
          <t>단답/서술/실무</t>
        </is>
      </c>
      <c r="F17" s="143" t="inlineStr">
        <is>
          <t>보통</t>
        </is>
      </c>
      <c r="G17" s="143" t="inlineStr">
        <is>
          <t>미완료</t>
        </is>
      </c>
      <c r="H17" s="143" t="inlineStr">
        <is>
          <t>미완료</t>
        </is>
      </c>
      <c r="I17" s="143" t="inlineStr">
        <is>
          <t>미완료</t>
        </is>
      </c>
      <c r="J17" s="143">
        <f>IF(AND(G17="완료",H17="완료",I17="완료"),"🏆 전영역 마스터",IF(OR(G17="완료",H17="완료",I17="완료"),"진행중","학습필요"))</f>
        <v/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21.75" customHeight="1" s="209">
      <c r="A18" s="141" t="n">
        <v>15</v>
      </c>
      <c r="B18" s="141" t="inlineStr">
        <is>
          <t>PART 04 침해사고</t>
        </is>
      </c>
      <c r="C18" s="141" t="inlineStr">
        <is>
          <t>SECTION 13</t>
        </is>
      </c>
      <c r="D18" s="142" t="inlineStr">
        <is>
          <t>iptables 리눅스 패킷 필터링 방화벽 룰 작성</t>
        </is>
      </c>
      <c r="E18" s="141" t="inlineStr">
        <is>
          <t>단답/실무</t>
        </is>
      </c>
      <c r="F18" s="141" t="inlineStr">
        <is>
          <t>보통</t>
        </is>
      </c>
      <c r="G18" s="141" t="inlineStr">
        <is>
          <t>미완료</t>
        </is>
      </c>
      <c r="H18" s="141" t="inlineStr">
        <is>
          <t>미완료</t>
        </is>
      </c>
      <c r="I18" s="141" t="inlineStr">
        <is>
          <t>미완료</t>
        </is>
      </c>
      <c r="J18" s="141">
        <f>IF(AND(G18="완료",H18="완료",I18="완료"),"🏆 전영역 마스터",IF(OR(G18="완료",H18="완료",I18="완료"),"진행중","학습필요"))</f>
        <v/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21.75" customHeight="1" s="209">
      <c r="A19" s="143" t="n">
        <v>16</v>
      </c>
      <c r="B19" s="143" t="inlineStr">
        <is>
          <t>PART 04 침해사고</t>
        </is>
      </c>
      <c r="C19" s="143" t="inlineStr">
        <is>
          <t>SECTION 14</t>
        </is>
      </c>
      <c r="D19" s="144" t="inlineStr">
        <is>
          <t>시스템 무결성/취약점 점검 도구 (tripwire, chkrootkit, nessus, nikto)</t>
        </is>
      </c>
      <c r="E19" s="143" t="inlineStr">
        <is>
          <t>단답/서술</t>
        </is>
      </c>
      <c r="F19" s="143" t="inlineStr">
        <is>
          <t>보통</t>
        </is>
      </c>
      <c r="G19" s="143" t="inlineStr">
        <is>
          <t>미완료</t>
        </is>
      </c>
      <c r="H19" s="143" t="inlineStr">
        <is>
          <t>미완료</t>
        </is>
      </c>
      <c r="I19" s="143" t="inlineStr">
        <is>
          <t>미완료</t>
        </is>
      </c>
      <c r="J19" s="143">
        <f>IF(AND(G19="완료",H19="완료",I19="완료"),"🏆 전영역 마스터",IF(OR(G19="완료",H19="완료",I19="완료"),"진행중","학습필요"))</f>
        <v/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21.75" customHeight="1" s="209">
      <c r="A20" s="141" t="n">
        <v>17</v>
      </c>
      <c r="B20" s="141" t="inlineStr">
        <is>
          <t>PART 04 침해사고</t>
        </is>
      </c>
      <c r="C20" s="141" t="inlineStr">
        <is>
          <t>SECTION 15~16</t>
        </is>
      </c>
      <c r="D20" s="142" t="inlineStr">
        <is>
          <t>침해사고 시나리오 분석 (리버스쉘 Reverse Shell, 웹쉘, ShellShock, Heartbleed)</t>
        </is>
      </c>
      <c r="E20" s="141" t="inlineStr">
        <is>
          <t>서술/실무</t>
        </is>
      </c>
      <c r="F20" s="141" t="inlineStr">
        <is>
          <t>보통</t>
        </is>
      </c>
      <c r="G20" s="141" t="inlineStr">
        <is>
          <t>미완료</t>
        </is>
      </c>
      <c r="H20" s="141" t="inlineStr">
        <is>
          <t>미완료</t>
        </is>
      </c>
      <c r="I20" s="141" t="inlineStr">
        <is>
          <t>미완료</t>
        </is>
      </c>
      <c r="J20" s="141">
        <f>IF(AND(G20="완료",H20="완료",I20="완료"),"🏆 전영역 마스터",IF(OR(G20="완료",H20="완료",I20="완료"),"진행중","학습필요"))</f>
        <v/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21.75" customHeight="1" s="209">
      <c r="A21" s="143" t="n">
        <v>18</v>
      </c>
      <c r="B21" s="143" t="inlineStr">
        <is>
          <t>PART 05 관리/일반</t>
        </is>
      </c>
      <c r="C21" s="143" t="inlineStr">
        <is>
          <t>SECTION 17</t>
        </is>
      </c>
      <c r="D21" s="144" t="inlineStr">
        <is>
          <t>정보보호 위험관리 (정량적/정성적 위험평가 계산, 위험처리 4가지 전략)</t>
        </is>
      </c>
      <c r="E21" s="143" t="inlineStr">
        <is>
          <t>단답/서술</t>
        </is>
      </c>
      <c r="F21" s="143" t="inlineStr">
        <is>
          <t>보통</t>
        </is>
      </c>
      <c r="G21" s="143" t="inlineStr">
        <is>
          <t>미완료</t>
        </is>
      </c>
      <c r="H21" s="143" t="inlineStr">
        <is>
          <t>미완료</t>
        </is>
      </c>
      <c r="I21" s="143" t="inlineStr">
        <is>
          <t>미완료</t>
        </is>
      </c>
      <c r="J21" s="143">
        <f>IF(AND(G21="완료",H21="완료",I21="완료"),"🏆 전영역 마스터",IF(OR(G21="완료",H21="완료",I21="완료"),"진행중","학습필요"))</f>
        <v/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 ht="21.75" customHeight="1" s="209">
      <c r="A22" s="141" t="n">
        <v>19</v>
      </c>
      <c r="B22" s="141" t="inlineStr">
        <is>
          <t>PART 05 관리/일반</t>
        </is>
      </c>
      <c r="C22" s="141" t="inlineStr">
        <is>
          <t>SECTION 17</t>
        </is>
      </c>
      <c r="D22" s="142" t="inlineStr">
        <is>
          <t>디지털 포렌식 5대 원칙 및 증거 수집/보존 절차</t>
        </is>
      </c>
      <c r="E22" s="141" t="inlineStr">
        <is>
          <t>단답/서술</t>
        </is>
      </c>
      <c r="F22" s="141" t="inlineStr">
        <is>
          <t>보통</t>
        </is>
      </c>
      <c r="G22" s="141" t="inlineStr">
        <is>
          <t>미완료</t>
        </is>
      </c>
      <c r="H22" s="141" t="inlineStr">
        <is>
          <t>미완료</t>
        </is>
      </c>
      <c r="I22" s="141" t="inlineStr">
        <is>
          <t>미완료</t>
        </is>
      </c>
      <c r="J22" s="141">
        <f>IF(AND(G22="완료",H22="완료",I22="완료"),"🏆 전영역 마스터",IF(OR(G22="완료",H22="완료",I22="완료"),"진행중","학습필요"))</f>
        <v/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21.75" customHeight="1" s="209">
      <c r="A23" s="143" t="n">
        <v>20</v>
      </c>
      <c r="B23" s="143" t="inlineStr">
        <is>
          <t>PART 05 관리/일반</t>
        </is>
      </c>
      <c r="C23" s="143" t="inlineStr">
        <is>
          <t>SECTION 17</t>
        </is>
      </c>
      <c r="D23" s="144" t="inlineStr">
        <is>
          <t>ISMS-P 인증기준 세부 항목 및 결함 사례 분석</t>
        </is>
      </c>
      <c r="E23" s="143" t="inlineStr">
        <is>
          <t>서술/실무</t>
        </is>
      </c>
      <c r="F23" s="143" t="inlineStr">
        <is>
          <t>보통</t>
        </is>
      </c>
      <c r="G23" s="143" t="inlineStr">
        <is>
          <t>미완료</t>
        </is>
      </c>
      <c r="H23" s="143" t="inlineStr">
        <is>
          <t>미완료</t>
        </is>
      </c>
      <c r="I23" s="143" t="inlineStr">
        <is>
          <t>미완료</t>
        </is>
      </c>
      <c r="J23" s="143">
        <f>IF(AND(G23="완료",H23="완료",I23="완료"),"🏆 전영역 마스터",IF(OR(G23="완료",H23="완료",I23="완료"),"진행중","학습필요"))</f>
        <v/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 ht="21.75" customHeight="1" s="209">
      <c r="A24" s="141" t="n">
        <v>21</v>
      </c>
      <c r="B24" s="141" t="inlineStr">
        <is>
          <t>PART 06 법규</t>
        </is>
      </c>
      <c r="C24" s="141" t="inlineStr">
        <is>
          <t>SECTION 18</t>
        </is>
      </c>
      <c r="D24" s="142" t="inlineStr">
        <is>
          <t>개인정보 보호법 (개인정보 안전성 확보조치 기준 세부 조항)</t>
        </is>
      </c>
      <c r="E24" s="141" t="inlineStr">
        <is>
          <t>단답/서술</t>
        </is>
      </c>
      <c r="F24" s="141" t="inlineStr">
        <is>
          <t>보통</t>
        </is>
      </c>
      <c r="G24" s="141" t="inlineStr">
        <is>
          <t>미완료</t>
        </is>
      </c>
      <c r="H24" s="141" t="inlineStr">
        <is>
          <t>미완료</t>
        </is>
      </c>
      <c r="I24" s="141" t="inlineStr">
        <is>
          <t>미완료</t>
        </is>
      </c>
      <c r="J24" s="141">
        <f>IF(AND(G24="완료",H24="완료",I24="완료"),"🏆 전영역 마스터",IF(OR(G24="완료",H24="완료",I24="완료"),"진행중","학습필요"))</f>
        <v/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21.75" customHeight="1" s="209">
      <c r="A25" s="143" t="n">
        <v>22</v>
      </c>
      <c r="B25" s="143" t="inlineStr">
        <is>
          <t>PART 06 법규</t>
        </is>
      </c>
      <c r="C25" s="143" t="inlineStr">
        <is>
          <t>SECTION 18</t>
        </is>
      </c>
      <c r="D25" s="144" t="inlineStr">
        <is>
          <t>정보통신망법 &amp; 정보통신기반보호법 (주요정보통신기반시설 취약점 분석평가)</t>
        </is>
      </c>
      <c r="E25" s="143" t="inlineStr">
        <is>
          <t>단답/서술</t>
        </is>
      </c>
      <c r="F25" s="143" t="inlineStr">
        <is>
          <t>보통</t>
        </is>
      </c>
      <c r="G25" s="143" t="inlineStr">
        <is>
          <t>미완료</t>
        </is>
      </c>
      <c r="H25" s="143" t="inlineStr">
        <is>
          <t>미완료</t>
        </is>
      </c>
      <c r="I25" s="143" t="inlineStr">
        <is>
          <t>미완료</t>
        </is>
      </c>
      <c r="J25" s="143">
        <f>IF(AND(G25="완료",H25="완료",I25="완료"),"🏆 전영역 마스터",IF(OR(G25="완료",H25="완료",I25="완료"),"진행중","학습필요"))</f>
        <v/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21.75" customHeight="1" s="20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21.75" customHeight="1" s="20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21.75" customHeight="1" s="20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21.75" customHeight="1" s="20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21.75" customHeight="1" s="20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21.75" customHeight="1" s="20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21.75" customHeight="1" s="20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21.75" customHeight="1" s="20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21.75" customHeight="1" s="20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21.75" customHeight="1" s="20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21.75" customHeight="1" s="20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21.75" customHeight="1" s="20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21.75" customHeight="1" s="20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21.75" customHeight="1" s="20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 ht="21.75" customHeight="1" s="20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21.75" customHeight="1" s="20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21.75" customHeight="1" s="20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21.75" customHeight="1" s="20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21.75" customHeight="1" s="20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21.75" customHeight="1" s="20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21.75" customHeight="1" s="20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21.75" customHeight="1" s="20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21.75" customHeight="1" s="20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21.75" customHeight="1" s="20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21.75" customHeight="1" s="20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5.75" customHeight="1" s="20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5.75" customHeight="1" s="20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 ht="15.75" customHeight="1" s="20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 ht="15.75" customHeight="1" s="20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 ht="15.75" customHeight="1" s="20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15.75" customHeight="1" s="20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15.75" customHeight="1" s="20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 ht="15.75" customHeight="1" s="20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 ht="15.75" customHeight="1" s="20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 ht="15.75" customHeight="1" s="20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15.75" customHeight="1" s="20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 ht="15.75" customHeight="1" s="20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.75" customHeight="1" s="20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15.75" customHeight="1" s="20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5.75" customHeight="1" s="20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15.75" customHeight="1" s="20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5.75" customHeight="1" s="20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15.75" customHeight="1" s="20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5.75" customHeight="1" s="20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15.75" customHeight="1" s="20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15.75" customHeight="1" s="20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15.75" customHeight="1" s="20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15.75" customHeight="1" s="20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5.75" customHeight="1" s="20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15.75" customHeight="1" s="20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5.75" customHeight="1" s="20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15.75" customHeight="1" s="20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5.75" customHeight="1" s="20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15.75" customHeight="1" s="20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15.75" customHeight="1" s="20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15.75" customHeight="1" s="20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15.75" customHeight="1" s="20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5.75" customHeight="1" s="20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15.75" customHeight="1" s="20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15.75" customHeight="1" s="20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5.75" customHeight="1" s="20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15.75" customHeight="1" s="20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15.75" customHeight="1" s="20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15.75" customHeight="1" s="20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15.75" customHeight="1" s="20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15.75" customHeight="1" s="20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15.75" customHeight="1" s="20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15.75" customHeight="1" s="20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15.75" customHeight="1" s="20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15.75" customHeight="1" s="20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15.75" customHeight="1" s="20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15.75" customHeight="1" s="20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15.75" customHeight="1" s="20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15.75" customHeight="1" s="20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15.75" customHeight="1" s="20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</row>
  </sheetData>
  <mergeCells count="1">
    <mergeCell ref="A1:L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209" min="1" max="1"/>
    <col width="16" customWidth="1" style="209" min="2" max="2"/>
    <col width="18" customWidth="1" style="209" min="3" max="3"/>
    <col width="44" customWidth="1" style="209" min="4" max="4"/>
    <col width="10" customWidth="1" style="209" min="5" max="5"/>
    <col width="14" customWidth="1" style="209" min="6" max="6"/>
    <col width="8.630000000000001" customWidth="1" style="209" min="7" max="7"/>
    <col width="18" customWidth="1" style="209" min="8" max="8"/>
    <col width="14" customWidth="1" style="209" min="9" max="9"/>
    <col width="8.630000000000001" customWidth="1" style="209" min="10" max="11"/>
    <col width="15" customWidth="1" style="209" min="12" max="12"/>
    <col width="35" customWidth="1" style="209" min="13" max="13"/>
    <col width="8.75" customWidth="1" style="209" min="14" max="14"/>
    <col width="8.630000000000001" customWidth="1" style="209" min="15" max="26"/>
  </cols>
  <sheetData>
    <row r="1" ht="36" customHeight="1" s="209">
      <c r="A1" s="284" t="inlineStr">
        <is>
          <t>📊 2027 이기적 빅데이터분석기사 필기 기본서 + 기출 10회분 실전 스케줄링 마스터 DB</t>
        </is>
      </c>
      <c r="N1" s="7" t="n"/>
    </row>
    <row r="2" ht="24" customHeight="1" s="209">
      <c r="A2" s="285" t="inlineStr">
        <is>
          <t>📅 [2027 제14회 동차 합격 공식 트랙] 2027.03.01 개시 ~ 2027.04.03 필기 시험 합격 목표 (4개 과목 21개 섹션 + 기출 10회분)</t>
        </is>
      </c>
      <c r="N2" s="7" t="n"/>
    </row>
    <row r="3" ht="27.75" customHeight="1" s="209">
      <c r="A3" s="147" t="inlineStr">
        <is>
          <t>No</t>
        </is>
      </c>
      <c r="B3" s="147" t="inlineStr">
        <is>
          <t>과목 (PART)</t>
        </is>
      </c>
      <c r="C3" s="147" t="inlineStr">
        <is>
          <t>장 (CHAPTER)</t>
        </is>
      </c>
      <c r="D3" s="147" t="inlineStr">
        <is>
          <t>절 (SECTION) / 세부 학습 토픽</t>
        </is>
      </c>
      <c r="E3" s="147" t="inlineStr">
        <is>
          <t>출제빈도</t>
        </is>
      </c>
      <c r="F3" s="147" t="inlineStr">
        <is>
          <t>권장 학습주차</t>
        </is>
      </c>
      <c r="G3" s="147" t="inlineStr">
        <is>
          <t>1회독 목표일자</t>
        </is>
      </c>
      <c r="H3" s="147" t="inlineStr">
        <is>
          <t>일정 준수 현황</t>
        </is>
      </c>
      <c r="I3" s="147" t="inlineStr">
        <is>
          <t>이론 1회독 일자</t>
        </is>
      </c>
      <c r="J3" s="147" t="inlineStr">
        <is>
          <t>이론 2회독 일자</t>
        </is>
      </c>
      <c r="K3" s="147" t="inlineStr">
        <is>
          <t>단원기출 풀이일자</t>
        </is>
      </c>
      <c r="L3" s="147" t="inlineStr">
        <is>
          <t>학습상태</t>
        </is>
      </c>
      <c r="M3" s="147" t="inlineStr">
        <is>
          <t>취약점 분석 및 핵심 요약 메모</t>
        </is>
      </c>
      <c r="N3" s="148" t="n"/>
    </row>
    <row r="4" ht="19.5" customHeight="1" s="209">
      <c r="A4" s="149" t="n">
        <v>1</v>
      </c>
      <c r="B4" s="120" t="inlineStr">
        <is>
          <t>PART 01 빅데이터 분석 기획</t>
        </is>
      </c>
      <c r="C4" s="120" t="inlineStr">
        <is>
          <t>Chapter 01 빅데이터의 이해</t>
        </is>
      </c>
      <c r="D4" s="120" t="inlineStr">
        <is>
          <t>Section 01 빅데이터 개요 및 활용 (정의, 특징 3V/5V, 가치, 영향)</t>
        </is>
      </c>
      <c r="E4" s="149" t="inlineStr">
        <is>
          <t>★★★</t>
        </is>
      </c>
      <c r="F4" s="149" t="inlineStr">
        <is>
          <t>W01 (3월 1주)</t>
        </is>
      </c>
      <c r="G4" s="150" t="n">
        <v>46453</v>
      </c>
      <c r="H4" s="149">
        <f>IF(I4&lt;&gt;"","✅ 1회독 완료",IF(G4="","-",IF(TODAY()&gt;G4,"⚠️ 지연 ("&amp;INT(TODAY()-G4)&amp;"일)","⏳ 진행예정 (D-"&amp;INT(G4-TODAY())&amp;")")))</f>
        <v/>
      </c>
      <c r="I4" s="7" t="n"/>
      <c r="L4" s="149">
        <f>IF(AND(I4="",J4="",K4=""),"미완료",IF(K4&lt;&gt;"","기출완료",IF(J4&lt;&gt;"","이론2회독",IF(I4&lt;&gt;"","이론1회독","미완료"))))</f>
        <v/>
      </c>
      <c r="M4" s="7" t="n"/>
      <c r="N4" s="7" t="n"/>
    </row>
    <row r="5" ht="19.5" customHeight="1" s="209">
      <c r="A5" s="149" t="n">
        <v>2</v>
      </c>
      <c r="B5" s="120" t="inlineStr">
        <is>
          <t>PART 01 빅데이터 분석 기획</t>
        </is>
      </c>
      <c r="C5" s="120" t="inlineStr">
        <is>
          <t>Chapter 01 빅데이터의 이해</t>
        </is>
      </c>
      <c r="D5" s="120" t="inlineStr">
        <is>
          <t>Section 02 빅데이터 기술 및 제도 (분산컴퓨팅, 데이터 3법, 마이데이터)</t>
        </is>
      </c>
      <c r="E5" s="149" t="inlineStr">
        <is>
          <t>★★</t>
        </is>
      </c>
      <c r="F5" s="149" t="inlineStr">
        <is>
          <t>W01 (3월 1주)</t>
        </is>
      </c>
      <c r="G5" s="150" t="n">
        <v>46453</v>
      </c>
      <c r="H5" s="149">
        <f>IF(I5&lt;&gt;"","✅ 1회독 완료",IF(G5="","-",IF(TODAY()&gt;G5,"⚠️ 지연 ("&amp;INT(TODAY()-G5)&amp;"일)","⏳ 진행예정 (D-"&amp;INT(G5-TODAY())&amp;")")))</f>
        <v/>
      </c>
      <c r="I5" s="7" t="n"/>
      <c r="L5" s="149">
        <f>IF(AND(I5="",J5="",K5=""),"미완료",IF(K5&lt;&gt;"","기출완료",IF(J5&lt;&gt;"","이론2회독",IF(I5&lt;&gt;"","이론1회독","미완료"))))</f>
        <v/>
      </c>
      <c r="M5" s="7" t="n"/>
      <c r="N5" s="7" t="n"/>
    </row>
    <row r="6" ht="19.5" customHeight="1" s="209">
      <c r="A6" s="149" t="n">
        <v>3</v>
      </c>
      <c r="B6" s="120" t="inlineStr">
        <is>
          <t>PART 01 빅데이터 분석 기획</t>
        </is>
      </c>
      <c r="C6" s="120" t="inlineStr">
        <is>
          <t>Chapter 02 데이터 분석 계획</t>
        </is>
      </c>
      <c r="D6" s="120" t="inlineStr">
        <is>
          <t>Section 01 분석 방안 수립 (분석 기획 유형, 분석 절차 및 방법론 KDD/CRISP-DM)</t>
        </is>
      </c>
      <c r="E6" s="149" t="inlineStr">
        <is>
          <t>★★★</t>
        </is>
      </c>
      <c r="F6" s="149" t="inlineStr">
        <is>
          <t>W01 (3월 1주)</t>
        </is>
      </c>
      <c r="G6" s="150" t="n">
        <v>46453</v>
      </c>
      <c r="H6" s="149">
        <f>IF(I6&lt;&gt;"","✅ 1회독 완료",IF(G6="","-",IF(TODAY()&gt;G6,"⚠️ 지연 ("&amp;INT(TODAY()-G6)&amp;"일)","⏳ 진행예정 (D-"&amp;INT(G6-TODAY())&amp;")")))</f>
        <v/>
      </c>
      <c r="I6" s="7" t="n"/>
      <c r="L6" s="149">
        <f>IF(AND(I6="",J6="",K6=""),"미완료",IF(K6&lt;&gt;"","기출완료",IF(J6&lt;&gt;"","이론2회독",IF(I6&lt;&gt;"","이론1회독","미완료"))))</f>
        <v/>
      </c>
      <c r="M6" s="7" t="n"/>
      <c r="N6" s="7" t="n"/>
    </row>
    <row r="7" ht="19.5" customHeight="1" s="209">
      <c r="A7" s="149" t="n">
        <v>4</v>
      </c>
      <c r="B7" s="120" t="inlineStr">
        <is>
          <t>PART 01 빅데이터 분석 기획</t>
        </is>
      </c>
      <c r="C7" s="120" t="inlineStr">
        <is>
          <t>Chapter 02 데이터 분석 계획</t>
        </is>
      </c>
      <c r="D7" s="120" t="inlineStr">
        <is>
          <t>Section 02 분석 작업 계획 (분석 과제 정의, 위험 관리 계획, 분석 거버넌스)</t>
        </is>
      </c>
      <c r="E7" s="149" t="inlineStr">
        <is>
          <t>★★</t>
        </is>
      </c>
      <c r="F7" s="149" t="inlineStr">
        <is>
          <t>W01 (3월 1주)</t>
        </is>
      </c>
      <c r="G7" s="150" t="n">
        <v>46453</v>
      </c>
      <c r="H7" s="149">
        <f>IF(I7&lt;&gt;"","✅ 1회독 완료",IF(G7="","-",IF(TODAY()&gt;G7,"⚠️ 지연 ("&amp;INT(TODAY()-G7)&amp;"일)","⏳ 진행예정 (D-"&amp;INT(G7-TODAY())&amp;")")))</f>
        <v/>
      </c>
      <c r="I7" s="7" t="n"/>
      <c r="L7" s="149">
        <f>IF(AND(I7="",J7="",K7=""),"미완료",IF(K7&lt;&gt;"","기출완료",IF(J7&lt;&gt;"","이론2회독",IF(I7&lt;&gt;"","이론1회독","미완료"))))</f>
        <v/>
      </c>
      <c r="M7" s="7" t="n"/>
      <c r="N7" s="7" t="n"/>
    </row>
    <row r="8" ht="19.5" customHeight="1" s="209">
      <c r="A8" s="149" t="n">
        <v>5</v>
      </c>
      <c r="B8" s="120" t="inlineStr">
        <is>
          <t>PART 01 빅데이터 분석 기획</t>
        </is>
      </c>
      <c r="C8" s="120" t="inlineStr">
        <is>
          <t>Chapter 03 데이터 수집 및 저장 계획</t>
        </is>
      </c>
      <c r="D8" s="120" t="inlineStr">
        <is>
          <t>Section 01 데이터 수집 및 전환 (정형/반정형/비정형, ETL, 크롤링, Kafka/Flume)</t>
        </is>
      </c>
      <c r="E8" s="149" t="inlineStr">
        <is>
          <t>★★★</t>
        </is>
      </c>
      <c r="F8" s="149" t="inlineStr">
        <is>
          <t>W01 (3월 1주)</t>
        </is>
      </c>
      <c r="G8" s="150" t="n">
        <v>46453</v>
      </c>
      <c r="H8" s="149">
        <f>IF(I8&lt;&gt;"","✅ 1회독 완료",IF(G8="","-",IF(TODAY()&gt;G8,"⚠️ 지연 ("&amp;INT(TODAY()-G8)&amp;"일)","⏳ 진행예정 (D-"&amp;INT(G8-TODAY())&amp;")")))</f>
        <v/>
      </c>
      <c r="I8" s="7" t="n"/>
      <c r="L8" s="149">
        <f>IF(AND(I8="",J8="",K8=""),"미완료",IF(K8&lt;&gt;"","기출완료",IF(J8&lt;&gt;"","이론2회독",IF(I8&lt;&gt;"","이론1회독","미완료"))))</f>
        <v/>
      </c>
      <c r="M8" s="7" t="n"/>
      <c r="N8" s="7" t="n"/>
    </row>
    <row r="9" ht="19.5" customHeight="1" s="209">
      <c r="A9" s="149" t="n">
        <v>6</v>
      </c>
      <c r="B9" s="120" t="inlineStr">
        <is>
          <t>PART 01 빅데이터 분석 기획</t>
        </is>
      </c>
      <c r="C9" s="120" t="inlineStr">
        <is>
          <t>Chapter 03 데이터 수집 및 저장 계획</t>
        </is>
      </c>
      <c r="D9" s="120" t="inlineStr">
        <is>
          <t>Section 02 데이터 적재 및 저장 (Hadoop HDFS, NoSQL, DW/Data Lake)</t>
        </is>
      </c>
      <c r="E9" s="149" t="inlineStr">
        <is>
          <t>★★</t>
        </is>
      </c>
      <c r="F9" s="149" t="inlineStr">
        <is>
          <t>W01 (3월 1주)</t>
        </is>
      </c>
      <c r="G9" s="150" t="n">
        <v>46453</v>
      </c>
      <c r="H9" s="149">
        <f>IF(I9&lt;&gt;"","✅ 1회독 완료",IF(G9="","-",IF(TODAY()&gt;G9,"⚠️ 지연 ("&amp;INT(TODAY()-G9)&amp;"일)","⏳ 진행예정 (D-"&amp;INT(G9-TODAY())&amp;")")))</f>
        <v/>
      </c>
      <c r="I9" s="7" t="n"/>
      <c r="L9" s="149">
        <f>IF(AND(I9="",J9="",K9=""),"미완료",IF(K9&lt;&gt;"","기출완료",IF(J9&lt;&gt;"","이론2회독",IF(I9&lt;&gt;"","이론1회독","미완료"))))</f>
        <v/>
      </c>
      <c r="M9" s="7" t="n"/>
      <c r="N9" s="7" t="n"/>
    </row>
    <row r="10" ht="19.5" customHeight="1" s="209">
      <c r="A10" s="151" t="n">
        <v>7</v>
      </c>
      <c r="B10" s="120" t="inlineStr">
        <is>
          <t>PART 02 빅데이터 탐색</t>
        </is>
      </c>
      <c r="C10" s="120" t="inlineStr">
        <is>
          <t>Chapter 01 데이터 전처리</t>
        </is>
      </c>
      <c r="D10" s="120" t="inlineStr">
        <is>
          <t>Section 01 데이터 정제 (결측치 대체/제거, 이상치 IQR/Z-score 탐지)</t>
        </is>
      </c>
      <c r="E10" s="151" t="inlineStr">
        <is>
          <t>★★★</t>
        </is>
      </c>
      <c r="F10" s="151" t="inlineStr">
        <is>
          <t>W02 (3월 2주)</t>
        </is>
      </c>
      <c r="G10" s="152" t="n">
        <v>46460</v>
      </c>
      <c r="H10" s="151">
        <f>IF(I10&lt;&gt;"","✅ 1회독 완료",IF(G10="","-",IF(TODAY()&gt;G10,"⚠️ 지연 ("&amp;INT(TODAY()-G10)&amp;"일)","⏳ 진행예정 (D-"&amp;INT(G10-TODAY())&amp;")")))</f>
        <v/>
      </c>
      <c r="I10" s="7" t="n"/>
      <c r="L10" s="151">
        <f>IF(AND(I10="",J10="",K10=""),"미완료",IF(K10&lt;&gt;"","기출완료",IF(J10&lt;&gt;"","이론2회독",IF(I10&lt;&gt;"","이론1회독","미완료"))))</f>
        <v/>
      </c>
      <c r="M10" s="7" t="n"/>
      <c r="N10" s="7" t="n"/>
    </row>
    <row r="11" ht="19.5" customHeight="1" s="209">
      <c r="A11" s="151" t="n">
        <v>8</v>
      </c>
      <c r="B11" s="120" t="inlineStr">
        <is>
          <t>PART 02 빅데이터 탐색</t>
        </is>
      </c>
      <c r="C11" s="120" t="inlineStr">
        <is>
          <t>Chapter 01 데이터 전처리</t>
        </is>
      </c>
      <c r="D11" s="120" t="inlineStr">
        <is>
          <t>Section 02 분석 변수 처리 (원-핫 인코딩, MinMax/Standard 스케일링, PCA)</t>
        </is>
      </c>
      <c r="E11" s="151" t="inlineStr">
        <is>
          <t>★★★</t>
        </is>
      </c>
      <c r="F11" s="151" t="inlineStr">
        <is>
          <t>W02 (3월 2주)</t>
        </is>
      </c>
      <c r="G11" s="152" t="n">
        <v>46460</v>
      </c>
      <c r="H11" s="151">
        <f>IF(I11&lt;&gt;"","✅ 1회독 완료",IF(G11="","-",IF(TODAY()&gt;G11,"⚠️ 지연 ("&amp;INT(TODAY()-G11)&amp;"일)","⏳ 진행예정 (D-"&amp;INT(G11-TODAY())&amp;")")))</f>
        <v/>
      </c>
      <c r="I11" s="7" t="n"/>
      <c r="L11" s="151">
        <f>IF(AND(I11="",J11="",K11=""),"미완료",IF(K11&lt;&gt;"","기출완료",IF(J11&lt;&gt;"","이론2회독",IF(I11&lt;&gt;"","이론1회독","미완료"))))</f>
        <v/>
      </c>
      <c r="M11" s="7" t="n"/>
      <c r="N11" s="7" t="n"/>
    </row>
    <row r="12" ht="19.5" customHeight="1" s="209">
      <c r="A12" s="151" t="n">
        <v>9</v>
      </c>
      <c r="B12" s="120" t="inlineStr">
        <is>
          <t>PART 02 빅데이터 탐색</t>
        </is>
      </c>
      <c r="C12" s="120" t="inlineStr">
        <is>
          <t>Chapter 02 데이터 탐색</t>
        </is>
      </c>
      <c r="D12" s="120" t="inlineStr">
        <is>
          <t>Section 01 데이터 탐색의 기초 (EDA 절차, 공분산, 상관계수 Pearson/Spearman)</t>
        </is>
      </c>
      <c r="E12" s="151" t="inlineStr">
        <is>
          <t>★★★</t>
        </is>
      </c>
      <c r="F12" s="151" t="inlineStr">
        <is>
          <t>W02 (3월 2주)</t>
        </is>
      </c>
      <c r="G12" s="152" t="n">
        <v>46460</v>
      </c>
      <c r="H12" s="151">
        <f>IF(I12&lt;&gt;"","✅ 1회독 완료",IF(G12="","-",IF(TODAY()&gt;G12,"⚠️ 지연 ("&amp;INT(TODAY()-G12)&amp;"일)","⏳ 진행예정 (D-"&amp;INT(G12-TODAY())&amp;")")))</f>
        <v/>
      </c>
      <c r="I12" s="7" t="n"/>
      <c r="L12" s="151">
        <f>IF(AND(I12="",J12="",K12=""),"미완료",IF(K12&lt;&gt;"","기출완료",IF(J12&lt;&gt;"","이론2회독",IF(I12&lt;&gt;"","이론1회독","미완료"))))</f>
        <v/>
      </c>
      <c r="M12" s="7" t="n"/>
      <c r="N12" s="7" t="n"/>
    </row>
    <row r="13" ht="19.5" customHeight="1" s="209">
      <c r="A13" s="151" t="n">
        <v>10</v>
      </c>
      <c r="B13" s="120" t="inlineStr">
        <is>
          <t>PART 02 빅데이터 탐색</t>
        </is>
      </c>
      <c r="C13" s="120" t="inlineStr">
        <is>
          <t>Chapter 02 데이터 탐색</t>
        </is>
      </c>
      <c r="D13" s="120" t="inlineStr">
        <is>
          <t>Section 02 고급 데이터 탐색 (시각화 기법, 공간정보 시각화, 비정형 탐색)</t>
        </is>
      </c>
      <c r="E13" s="151" t="inlineStr">
        <is>
          <t>★★</t>
        </is>
      </c>
      <c r="F13" s="151" t="inlineStr">
        <is>
          <t>W02 (3월 2주)</t>
        </is>
      </c>
      <c r="G13" s="152" t="n">
        <v>46460</v>
      </c>
      <c r="H13" s="151">
        <f>IF(I13&lt;&gt;"","✅ 1회독 완료",IF(G13="","-",IF(TODAY()&gt;G13,"⚠️ 지연 ("&amp;INT(TODAY()-G13)&amp;"일)","⏳ 진행예정 (D-"&amp;INT(G13-TODAY())&amp;")")))</f>
        <v/>
      </c>
      <c r="I13" s="7" t="n"/>
      <c r="L13" s="151">
        <f>IF(AND(I13="",J13="",K13=""),"미완료",IF(K13&lt;&gt;"","기출완료",IF(J13&lt;&gt;"","이론2회독",IF(I13&lt;&gt;"","이론1회독","미완료"))))</f>
        <v/>
      </c>
      <c r="M13" s="7" t="n"/>
      <c r="N13" s="7" t="n"/>
    </row>
    <row r="14" ht="19.5" customHeight="1" s="209">
      <c r="A14" s="151" t="n">
        <v>11</v>
      </c>
      <c r="B14" s="120" t="inlineStr">
        <is>
          <t>PART 02 빅데이터 탐색</t>
        </is>
      </c>
      <c r="C14" s="120" t="inlineStr">
        <is>
          <t>Chapter 03 통계기법의 이해</t>
        </is>
      </c>
      <c r="D14" s="120" t="inlineStr">
        <is>
          <t>Section 01 기술통계 (평균/중앙값/최빈값, 분산/표준편차, 왜도/첨도)</t>
        </is>
      </c>
      <c r="E14" s="151" t="inlineStr">
        <is>
          <t>★★★</t>
        </is>
      </c>
      <c r="F14" s="151" t="inlineStr">
        <is>
          <t>W02 (3월 2주)</t>
        </is>
      </c>
      <c r="G14" s="152" t="n">
        <v>46460</v>
      </c>
      <c r="H14" s="151">
        <f>IF(I14&lt;&gt;"","✅ 1회독 완료",IF(G14="","-",IF(TODAY()&gt;G14,"⚠️ 지연 ("&amp;INT(TODAY()-G14)&amp;"일)","⏳ 진행예정 (D-"&amp;INT(G14-TODAY())&amp;")")))</f>
        <v/>
      </c>
      <c r="I14" s="7" t="n"/>
      <c r="L14" s="151">
        <f>IF(AND(I14="",J14="",K14=""),"미완료",IF(K14&lt;&gt;"","기출완료",IF(J14&lt;&gt;"","이론2회독",IF(I14&lt;&gt;"","이론1회독","미완료"))))</f>
        <v/>
      </c>
      <c r="M14" s="7" t="n"/>
      <c r="N14" s="7" t="n"/>
    </row>
    <row r="15" ht="19.5" customHeight="1" s="209">
      <c r="A15" s="151" t="n">
        <v>12</v>
      </c>
      <c r="B15" s="120" t="inlineStr">
        <is>
          <t>PART 02 빅데이터 탐색</t>
        </is>
      </c>
      <c r="C15" s="120" t="inlineStr">
        <is>
          <t>Chapter 03 통계기법의 이해</t>
        </is>
      </c>
      <c r="D15" s="120" t="inlineStr">
        <is>
          <t>Section 02 추론통계 (표본분포, 중심극한정리, 정규/t/카이제곱/F분포, 모평균 추정)</t>
        </is>
      </c>
      <c r="E15" s="151" t="inlineStr">
        <is>
          <t>★★★</t>
        </is>
      </c>
      <c r="F15" s="151" t="inlineStr">
        <is>
          <t>W02 (3월 2주)</t>
        </is>
      </c>
      <c r="G15" s="152" t="n">
        <v>46460</v>
      </c>
      <c r="H15" s="151">
        <f>IF(I15&lt;&gt;"","✅ 1회독 완료",IF(G15="","-",IF(TODAY()&gt;G15,"⚠️ 지연 ("&amp;INT(TODAY()-G15)&amp;"일)","⏳ 진행예정 (D-"&amp;INT(G15-TODAY())&amp;")")))</f>
        <v/>
      </c>
      <c r="I15" s="7" t="n"/>
      <c r="L15" s="151">
        <f>IF(AND(I15="",J15="",K15=""),"미완료",IF(K15&lt;&gt;"","기출완료",IF(J15&lt;&gt;"","이론2회독",IF(I15&lt;&gt;"","이론1회독","미완료"))))</f>
        <v/>
      </c>
      <c r="M15" s="7" t="n"/>
      <c r="N15" s="7" t="n"/>
    </row>
    <row r="16" ht="19.5" customHeight="1" s="209">
      <c r="A16" s="153" t="n">
        <v>13</v>
      </c>
      <c r="B16" s="120" t="inlineStr">
        <is>
          <t>PART 03 빅데이터 모델링</t>
        </is>
      </c>
      <c r="C16" s="120" t="inlineStr">
        <is>
          <t>Chapter 01 분석모형 설계</t>
        </is>
      </c>
      <c r="D16" s="120" t="inlineStr">
        <is>
          <t>Section 01 분석 절차 수립 (분석 모형 선정, 데이터 분할 train/val/test)</t>
        </is>
      </c>
      <c r="E16" s="153" t="inlineStr">
        <is>
          <t>★★★</t>
        </is>
      </c>
      <c r="F16" s="153" t="inlineStr">
        <is>
          <t>W03 (3월 3주)</t>
        </is>
      </c>
      <c r="G16" s="154" t="n">
        <v>46467</v>
      </c>
      <c r="H16" s="153">
        <f>IF(I16&lt;&gt;"","✅ 1회독 완료",IF(G16="","-",IF(TODAY()&gt;G16,"⚠️ 지연 ("&amp;INT(TODAY()-G16)&amp;"일)","⏳ 진행예정 (D-"&amp;INT(G16-TODAY())&amp;")")))</f>
        <v/>
      </c>
      <c r="I16" s="7" t="n"/>
      <c r="L16" s="153">
        <f>IF(AND(I16="",J16="",K16=""),"미완료",IF(K16&lt;&gt;"","기출완료",IF(J16&lt;&gt;"","이론2회독",IF(I16&lt;&gt;"","이론1회독","미완료"))))</f>
        <v/>
      </c>
      <c r="M16" s="7" t="n"/>
      <c r="N16" s="7" t="n"/>
    </row>
    <row r="17" ht="19.5" customHeight="1" s="209">
      <c r="A17" s="153" t="n">
        <v>14</v>
      </c>
      <c r="B17" s="120" t="inlineStr">
        <is>
          <t>PART 03 빅데이터 모델링</t>
        </is>
      </c>
      <c r="C17" s="120" t="inlineStr">
        <is>
          <t>Chapter 01 분석모형 설계</t>
        </is>
      </c>
      <c r="D17" s="120" t="inlineStr">
        <is>
          <t>Section 02 분석 환경 구축 (하드웨어/소프트웨어 스택, 프레임워크)</t>
        </is>
      </c>
      <c r="E17" s="153" t="inlineStr">
        <is>
          <t>★</t>
        </is>
      </c>
      <c r="F17" s="153" t="inlineStr">
        <is>
          <t>W03 (3월 3주)</t>
        </is>
      </c>
      <c r="G17" s="154" t="n">
        <v>46467</v>
      </c>
      <c r="H17" s="153">
        <f>IF(I17&lt;&gt;"","✅ 1회독 완료",IF(G17="","-",IF(TODAY()&gt;G17,"⚠️ 지연 ("&amp;INT(TODAY()-G17)&amp;"일)","⏳ 진행예정 (D-"&amp;INT(G17-TODAY())&amp;")")))</f>
        <v/>
      </c>
      <c r="I17" s="7" t="n"/>
      <c r="L17" s="153">
        <f>IF(AND(I17="",J17="",K17=""),"미완료",IF(K17&lt;&gt;"","기출완료",IF(J17&lt;&gt;"","이론2회독",IF(I17&lt;&gt;"","이론1회독","미완료"))))</f>
        <v/>
      </c>
      <c r="M17" s="7" t="n"/>
      <c r="N17" s="7" t="n"/>
    </row>
    <row r="18" ht="19.5" customHeight="1" s="209">
      <c r="A18" s="153" t="n">
        <v>15</v>
      </c>
      <c r="B18" s="120" t="inlineStr">
        <is>
          <t>PART 03 빅데이터 모델링</t>
        </is>
      </c>
      <c r="C18" s="120" t="inlineStr">
        <is>
          <t>Chapter 02 분석기법 적용</t>
        </is>
      </c>
      <c r="D18" s="120" t="inlineStr">
        <is>
          <t>Section 01 분석기법 (단순/다중 선형회귀, 로지스틱 회귀, 의사결정나무, KNN, SVM)</t>
        </is>
      </c>
      <c r="E18" s="153" t="inlineStr">
        <is>
          <t>★★★</t>
        </is>
      </c>
      <c r="F18" s="153" t="inlineStr">
        <is>
          <t>W03 (3월 3주)</t>
        </is>
      </c>
      <c r="G18" s="154" t="n">
        <v>46467</v>
      </c>
      <c r="H18" s="153">
        <f>IF(I18&lt;&gt;"","✅ 1회독 완료",IF(G18="","-",IF(TODAY()&gt;G18,"⚠️ 지연 ("&amp;INT(TODAY()-G18)&amp;"일)","⏳ 진행예정 (D-"&amp;INT(G18-TODAY())&amp;")")))</f>
        <v/>
      </c>
      <c r="I18" s="7" t="n"/>
      <c r="L18" s="153">
        <f>IF(AND(I18="",J18="",K18=""),"미완료",IF(K18&lt;&gt;"","기출완료",IF(J18&lt;&gt;"","이론2회독",IF(I18&lt;&gt;"","이론1회독","미완료"))))</f>
        <v/>
      </c>
      <c r="M18" s="7" t="n"/>
      <c r="N18" s="7" t="n"/>
    </row>
    <row r="19" ht="19.5" customHeight="1" s="209">
      <c r="A19" s="153" t="n">
        <v>16</v>
      </c>
      <c r="B19" s="120" t="inlineStr">
        <is>
          <t>PART 03 빅데이터 모델링</t>
        </is>
      </c>
      <c r="C19" s="120" t="inlineStr">
        <is>
          <t>Chapter 02 분석기법 적용</t>
        </is>
      </c>
      <c r="D19" s="120" t="inlineStr">
        <is>
          <t>Section 02 고급 분석기법 (RandomForest, XGBoost, LightGBM, 딥러닝 MLP/CNN/RNN, 군집 K-Means)</t>
        </is>
      </c>
      <c r="E19" s="153" t="inlineStr">
        <is>
          <t>★★★</t>
        </is>
      </c>
      <c r="F19" s="153" t="inlineStr">
        <is>
          <t>W03 (3월 3주)</t>
        </is>
      </c>
      <c r="G19" s="154" t="n">
        <v>46467</v>
      </c>
      <c r="H19" s="153">
        <f>IF(I19&lt;&gt;"","✅ 1회독 완료",IF(G19="","-",IF(TODAY()&gt;G19,"⚠️ 지연 ("&amp;INT(TODAY()-G19)&amp;"일)","⏳ 진행예정 (D-"&amp;INT(G19-TODAY())&amp;")")))</f>
        <v/>
      </c>
      <c r="I19" s="7" t="n"/>
      <c r="L19" s="153">
        <f>IF(AND(I19="",J19="",K19=""),"미완료",IF(K19&lt;&gt;"","기출완료",IF(J19&lt;&gt;"","이론2회독",IF(I19&lt;&gt;"","이론1회독","미완료"))))</f>
        <v/>
      </c>
      <c r="M19" s="7" t="n"/>
      <c r="N19" s="7" t="n"/>
    </row>
    <row r="20" ht="19.5" customHeight="1" s="209">
      <c r="A20" s="155" t="n">
        <v>17</v>
      </c>
      <c r="B20" s="120" t="inlineStr">
        <is>
          <t>PART 04 빅데이터 결과 해석</t>
        </is>
      </c>
      <c r="C20" s="120" t="inlineStr">
        <is>
          <t>Chapter 01 분석 모형 평가 및 개선</t>
        </is>
      </c>
      <c r="D20" s="120" t="inlineStr">
        <is>
          <t>Section 01 분석모형 평가 (혼동행렬, 정확도/정밀도/재현율/F1, ROC-AUC, RMSE/MAE)</t>
        </is>
      </c>
      <c r="E20" s="155" t="inlineStr">
        <is>
          <t>★★★</t>
        </is>
      </c>
      <c r="F20" s="155" t="inlineStr">
        <is>
          <t>W03 (3월 3주)</t>
        </is>
      </c>
      <c r="G20" s="156" t="n">
        <v>46467</v>
      </c>
      <c r="H20" s="155">
        <f>IF(I20&lt;&gt;"","✅ 1회독 완료",IF(G20="","-",IF(TODAY()&gt;G20,"⚠️ 지연 ("&amp;INT(TODAY()-G20)&amp;"일)","⏳ 진행예정 (D-"&amp;INT(G20-TODAY())&amp;")")))</f>
        <v/>
      </c>
      <c r="I20" s="7" t="n"/>
      <c r="L20" s="155">
        <f>IF(AND(I20="",J20="",K20=""),"미완료",IF(K20&lt;&gt;"","기출완료",IF(J20&lt;&gt;"","이론2회독",IF(I20&lt;&gt;"","이론1회독","미완료"))))</f>
        <v/>
      </c>
      <c r="M20" s="7" t="n"/>
      <c r="N20" s="7" t="n"/>
    </row>
    <row r="21" ht="19.5" customHeight="1" s="209">
      <c r="A21" s="155" t="n">
        <v>18</v>
      </c>
      <c r="B21" s="120" t="inlineStr">
        <is>
          <t>PART 04 빅데이터 결과 해석</t>
        </is>
      </c>
      <c r="C21" s="120" t="inlineStr">
        <is>
          <t>Chapter 01 분석 모형 평가 및 개선</t>
        </is>
      </c>
      <c r="D21" s="120" t="inlineStr">
        <is>
          <t>Section 02 분석모형 개선 (과적합 방지, 정규화 L1/L2, 교차검증 K-Fold, 하이퍼파라미터 튜닝)</t>
        </is>
      </c>
      <c r="E21" s="155" t="inlineStr">
        <is>
          <t>★★★</t>
        </is>
      </c>
      <c r="F21" s="155" t="inlineStr">
        <is>
          <t>W03 (3월 3주)</t>
        </is>
      </c>
      <c r="G21" s="156" t="n">
        <v>46467</v>
      </c>
      <c r="H21" s="155">
        <f>IF(I21&lt;&gt;"","✅ 1회독 완료",IF(G21="","-",IF(TODAY()&gt;G21,"⚠️ 지연 ("&amp;INT(TODAY()-G21)&amp;"일)","⏳ 진행예정 (D-"&amp;INT(G21-TODAY())&amp;")")))</f>
        <v/>
      </c>
      <c r="I21" s="7" t="n"/>
      <c r="L21" s="155">
        <f>IF(AND(I21="",J21="",K21=""),"미완료",IF(K21&lt;&gt;"","기출완료",IF(J21&lt;&gt;"","이론2회독",IF(I21&lt;&gt;"","이론1회독","미완료"))))</f>
        <v/>
      </c>
      <c r="M21" s="7" t="n"/>
      <c r="N21" s="7" t="n"/>
    </row>
    <row r="22" ht="19.5" customHeight="1" s="209">
      <c r="A22" s="155" t="n">
        <v>19</v>
      </c>
      <c r="B22" s="120" t="inlineStr">
        <is>
          <t>PART 04 빅데이터 결과 해석</t>
        </is>
      </c>
      <c r="C22" s="120" t="inlineStr">
        <is>
          <t>Chapter 02 분석결과 해석 및 활용</t>
        </is>
      </c>
      <c r="D22" s="120" t="inlineStr">
        <is>
          <t>Section 01 분석결과 해석 (모델 기여도, 변수 중요도 Feature Importance)</t>
        </is>
      </c>
      <c r="E22" s="155" t="inlineStr">
        <is>
          <t>★★</t>
        </is>
      </c>
      <c r="F22" s="155" t="inlineStr">
        <is>
          <t>W03 (3월 3주)</t>
        </is>
      </c>
      <c r="G22" s="156" t="n">
        <v>46467</v>
      </c>
      <c r="H22" s="155">
        <f>IF(I22&lt;&gt;"","✅ 1회독 완료",IF(G22="","-",IF(TODAY()&gt;G22,"⚠️ 지연 ("&amp;INT(TODAY()-G22)&amp;"일)","⏳ 진행예정 (D-"&amp;INT(G22-TODAY())&amp;")")))</f>
        <v/>
      </c>
      <c r="I22" s="7" t="n"/>
      <c r="L22" s="155">
        <f>IF(AND(I22="",J22="",K22=""),"미완료",IF(K22&lt;&gt;"","기출완료",IF(J22&lt;&gt;"","이론2회독",IF(I22&lt;&gt;"","이론1회독","미완료"))))</f>
        <v/>
      </c>
      <c r="M22" s="7" t="n"/>
      <c r="N22" s="7" t="n"/>
    </row>
    <row r="23" ht="19.5" customHeight="1" s="209">
      <c r="A23" s="155" t="n">
        <v>20</v>
      </c>
      <c r="B23" s="120" t="inlineStr">
        <is>
          <t>PART 04 빅데이터 결과 해석</t>
        </is>
      </c>
      <c r="C23" s="120" t="inlineStr">
        <is>
          <t>Chapter 02 분석결과 해석 및 활용</t>
        </is>
      </c>
      <c r="D23" s="120" t="inlineStr">
        <is>
          <t>Section 02 분석결과 시각화 (비즈니스 대시보드 및 리포팅)</t>
        </is>
      </c>
      <c r="E23" s="155" t="inlineStr">
        <is>
          <t>★★</t>
        </is>
      </c>
      <c r="F23" s="155" t="inlineStr">
        <is>
          <t>W03 (3월 3주)</t>
        </is>
      </c>
      <c r="G23" s="156" t="n">
        <v>46467</v>
      </c>
      <c r="H23" s="155">
        <f>IF(I23&lt;&gt;"","✅ 1회독 완료",IF(G23="","-",IF(TODAY()&gt;G23,"⚠️ 지연 ("&amp;INT(TODAY()-G23)&amp;"일)","⏳ 진행예정 (D-"&amp;INT(G23-TODAY())&amp;")")))</f>
        <v/>
      </c>
      <c r="I23" s="7" t="n"/>
      <c r="L23" s="155">
        <f>IF(AND(I23="",J23="",K23=""),"미완료",IF(K23&lt;&gt;"","기출완료",IF(J23&lt;&gt;"","이론2회독",IF(I23&lt;&gt;"","이론1회독","미완료"))))</f>
        <v/>
      </c>
      <c r="M23" s="7" t="n"/>
      <c r="N23" s="7" t="n"/>
    </row>
    <row r="24" ht="19.5" customHeight="1" s="209">
      <c r="A24" s="155" t="n">
        <v>21</v>
      </c>
      <c r="B24" s="120" t="inlineStr">
        <is>
          <t>PART 04 빅데이터 결과 해석</t>
        </is>
      </c>
      <c r="C24" s="120" t="inlineStr">
        <is>
          <t>Chapter 02 분석결과 해석 및 활용</t>
        </is>
      </c>
      <c r="D24" s="120" t="inlineStr">
        <is>
          <t>Section 03 분석결과 활용 (모니터링, 데이터 파이프라인 유지보수)</t>
        </is>
      </c>
      <c r="E24" s="155" t="inlineStr">
        <is>
          <t>★★</t>
        </is>
      </c>
      <c r="F24" s="155" t="inlineStr">
        <is>
          <t>W03 (3월 3주)</t>
        </is>
      </c>
      <c r="G24" s="156" t="n">
        <v>46467</v>
      </c>
      <c r="H24" s="155">
        <f>IF(I24&lt;&gt;"","✅ 1회독 완료",IF(G24="","-",IF(TODAY()&gt;G24,"⚠️ 지연 ("&amp;INT(TODAY()-G24)&amp;"일)","⏳ 진행예정 (D-"&amp;INT(G24-TODAY())&amp;")")))</f>
        <v/>
      </c>
      <c r="I24" s="7" t="n"/>
      <c r="L24" s="155">
        <f>IF(AND(I24="",J24="",K24=""),"미완료",IF(K24&lt;&gt;"","기출완료",IF(J24&lt;&gt;"","이론2회독",IF(I24&lt;&gt;"","이론1회독","미완료"))))</f>
        <v/>
      </c>
      <c r="M24" s="7" t="n"/>
      <c r="N24" s="7" t="n"/>
    </row>
    <row r="25" ht="19.5" customHeight="1" s="209">
      <c r="A25" s="157" t="n">
        <v>22</v>
      </c>
      <c r="B25" s="120" t="inlineStr">
        <is>
          <t>기출공략집 (10회분)</t>
        </is>
      </c>
      <c r="C25" s="120" t="inlineStr">
        <is>
          <t>최신 기출 복원 모의고사</t>
        </is>
      </c>
      <c r="D25" s="120" t="inlineStr">
        <is>
          <t>기출문제 제03회 전수 풀이 및 오답노트 (80문항)</t>
        </is>
      </c>
      <c r="E25" s="157" t="inlineStr">
        <is>
          <t>★★★</t>
        </is>
      </c>
      <c r="F25" s="157" t="inlineStr">
        <is>
          <t>W04 (3월 4주)</t>
        </is>
      </c>
      <c r="G25" s="158" t="n">
        <v>46474</v>
      </c>
      <c r="H25" s="157">
        <f>IF(I25&lt;&gt;"","✅ 1회독 완료",IF(G25="","-",IF(TODAY()&gt;G25,"⚠️ 지연 ("&amp;INT(TODAY()-G25)&amp;"일)","⏳ 진행예정 (D-"&amp;INT(G25-TODAY())&amp;")")))</f>
        <v/>
      </c>
      <c r="I25" s="7" t="n"/>
      <c r="L25" s="157">
        <f>IF(AND(I25="",J25="",K25=""),"미완료",IF(K25&lt;&gt;"","기출완료",IF(J25&lt;&gt;"","이론2회독",IF(I25&lt;&gt;"","이론1회독","미완료"))))</f>
        <v/>
      </c>
      <c r="M25" s="7" t="n"/>
      <c r="N25" s="7" t="n"/>
    </row>
    <row r="26" ht="19.5" customHeight="1" s="209">
      <c r="A26" s="157" t="n">
        <v>23</v>
      </c>
      <c r="B26" s="120" t="inlineStr">
        <is>
          <t>기출공략집 (10회분)</t>
        </is>
      </c>
      <c r="C26" s="120" t="inlineStr">
        <is>
          <t>최신 기출 복원 모의고사</t>
        </is>
      </c>
      <c r="D26" s="120" t="inlineStr">
        <is>
          <t>기출문제 제04회 전수 풀이 및 오답노트 (80문항)</t>
        </is>
      </c>
      <c r="E26" s="157" t="inlineStr">
        <is>
          <t>★★★</t>
        </is>
      </c>
      <c r="F26" s="157" t="inlineStr">
        <is>
          <t>W04 (3월 4주)</t>
        </is>
      </c>
      <c r="G26" s="158" t="n">
        <v>46474</v>
      </c>
      <c r="H26" s="157">
        <f>IF(I26&lt;&gt;"","✅ 1회독 완료",IF(G26="","-",IF(TODAY()&gt;G26,"⚠️ 지연 ("&amp;INT(TODAY()-G26)&amp;"일)","⏳ 진행예정 (D-"&amp;INT(G26-TODAY())&amp;")")))</f>
        <v/>
      </c>
      <c r="I26" s="7" t="n"/>
      <c r="L26" s="157">
        <f>IF(AND(I26="",J26="",K26=""),"미완료",IF(K26&lt;&gt;"","기출완료",IF(J26&lt;&gt;"","이론2회독",IF(I26&lt;&gt;"","이론1회독","미완료"))))</f>
        <v/>
      </c>
      <c r="M26" s="7" t="n"/>
      <c r="N26" s="7" t="n"/>
    </row>
    <row r="27" ht="19.5" customHeight="1" s="209">
      <c r="A27" s="157" t="n">
        <v>24</v>
      </c>
      <c r="B27" s="120" t="inlineStr">
        <is>
          <t>기출공략집 (10회분)</t>
        </is>
      </c>
      <c r="C27" s="120" t="inlineStr">
        <is>
          <t>최신 기출 복원 모의고사</t>
        </is>
      </c>
      <c r="D27" s="120" t="inlineStr">
        <is>
          <t>기출문제 제05회 전수 풀이 및 오답노트 (80문항)</t>
        </is>
      </c>
      <c r="E27" s="157" t="inlineStr">
        <is>
          <t>★★★</t>
        </is>
      </c>
      <c r="F27" s="157" t="inlineStr">
        <is>
          <t>W04 (3월 4주)</t>
        </is>
      </c>
      <c r="G27" s="158" t="n">
        <v>46474</v>
      </c>
      <c r="H27" s="157">
        <f>IF(I27&lt;&gt;"","✅ 1회독 완료",IF(G27="","-",IF(TODAY()&gt;G27,"⚠️ 지연 ("&amp;INT(TODAY()-G27)&amp;"일)","⏳ 진행예정 (D-"&amp;INT(G27-TODAY())&amp;")")))</f>
        <v/>
      </c>
      <c r="I27" s="7" t="n"/>
      <c r="L27" s="157">
        <f>IF(AND(I27="",J27="",K27=""),"미완료",IF(K27&lt;&gt;"","기출완료",IF(J27&lt;&gt;"","이론2회독",IF(I27&lt;&gt;"","이론1회독","미완료"))))</f>
        <v/>
      </c>
      <c r="M27" s="7" t="n"/>
      <c r="N27" s="7" t="n"/>
    </row>
    <row r="28" ht="19.5" customHeight="1" s="209">
      <c r="A28" s="157" t="n">
        <v>25</v>
      </c>
      <c r="B28" s="120" t="inlineStr">
        <is>
          <t>기출공략집 (10회분)</t>
        </is>
      </c>
      <c r="C28" s="120" t="inlineStr">
        <is>
          <t>최신 기출 복원 모의고사</t>
        </is>
      </c>
      <c r="D28" s="120" t="inlineStr">
        <is>
          <t>기출문제 제06회 전수 풀이 및 오답노트 (80문항)</t>
        </is>
      </c>
      <c r="E28" s="157" t="inlineStr">
        <is>
          <t>★★★</t>
        </is>
      </c>
      <c r="F28" s="157" t="inlineStr">
        <is>
          <t>W04 (3월 4주)</t>
        </is>
      </c>
      <c r="G28" s="158" t="n">
        <v>46474</v>
      </c>
      <c r="H28" s="157">
        <f>IF(I28&lt;&gt;"","✅ 1회독 완료",IF(G28="","-",IF(TODAY()&gt;G28,"⚠️ 지연 ("&amp;INT(TODAY()-G28)&amp;"일)","⏳ 진행예정 (D-"&amp;INT(G28-TODAY())&amp;")")))</f>
        <v/>
      </c>
      <c r="I28" s="7" t="n"/>
      <c r="L28" s="157">
        <f>IF(AND(I28="",J28="",K28=""),"미완료",IF(K28&lt;&gt;"","기출완료",IF(J28&lt;&gt;"","이론2회독",IF(I28&lt;&gt;"","이론1회독","미완료"))))</f>
        <v/>
      </c>
      <c r="M28" s="7" t="n"/>
      <c r="N28" s="7" t="n"/>
    </row>
    <row r="29" ht="19.5" customHeight="1" s="209">
      <c r="A29" s="157" t="n">
        <v>26</v>
      </c>
      <c r="B29" s="120" t="inlineStr">
        <is>
          <t>기출공략집 (10회분)</t>
        </is>
      </c>
      <c r="C29" s="120" t="inlineStr">
        <is>
          <t>최신 기출 복원 모의고사</t>
        </is>
      </c>
      <c r="D29" s="120" t="inlineStr">
        <is>
          <t>기출문제 제07회 전수 풀이 및 오답노트 (80문항)</t>
        </is>
      </c>
      <c r="E29" s="157" t="inlineStr">
        <is>
          <t>★★★</t>
        </is>
      </c>
      <c r="F29" s="157" t="inlineStr">
        <is>
          <t>W04 (3월 4주)</t>
        </is>
      </c>
      <c r="G29" s="158" t="n">
        <v>46474</v>
      </c>
      <c r="H29" s="157">
        <f>IF(I29&lt;&gt;"","✅ 1회독 완료",IF(G29="","-",IF(TODAY()&gt;G29,"⚠️ 지연 ("&amp;INT(TODAY()-G29)&amp;"일)","⏳ 진행예정 (D-"&amp;INT(G29-TODAY())&amp;")")))</f>
        <v/>
      </c>
      <c r="I29" s="7" t="n"/>
      <c r="L29" s="157">
        <f>IF(AND(I29="",J29="",K29=""),"미완료",IF(K29&lt;&gt;"","기출완료",IF(J29&lt;&gt;"","이론2회독",IF(I29&lt;&gt;"","이론1회독","미완료"))))</f>
        <v/>
      </c>
      <c r="M29" s="7" t="n"/>
      <c r="N29" s="7" t="n"/>
    </row>
    <row r="30" ht="19.5" customHeight="1" s="209">
      <c r="A30" s="157" t="n">
        <v>27</v>
      </c>
      <c r="B30" s="120" t="inlineStr">
        <is>
          <t>기출공략집 (10회분)</t>
        </is>
      </c>
      <c r="C30" s="120" t="inlineStr">
        <is>
          <t>최신 기출 복원 모의고사</t>
        </is>
      </c>
      <c r="D30" s="120" t="inlineStr">
        <is>
          <t>기출문제 제08회 전수 풀이 및 오답노트 (80문항)</t>
        </is>
      </c>
      <c r="E30" s="157" t="inlineStr">
        <is>
          <t>★★★</t>
        </is>
      </c>
      <c r="F30" s="157" t="inlineStr">
        <is>
          <t>W05 (시험직전)</t>
        </is>
      </c>
      <c r="G30" s="158" t="n">
        <v>46479</v>
      </c>
      <c r="H30" s="157">
        <f>IF(I30&lt;&gt;"","✅ 1회독 완료",IF(G30="","-",IF(TODAY()&gt;G30,"⚠️ 지연 ("&amp;INT(TODAY()-G30)&amp;"일)","⏳ 진행예정 (D-"&amp;INT(G30-TODAY())&amp;")")))</f>
        <v/>
      </c>
      <c r="I30" s="7" t="n"/>
      <c r="L30" s="157">
        <f>IF(AND(I30="",J30="",K30=""),"미완료",IF(K30&lt;&gt;"","기출완료",IF(J30&lt;&gt;"","이론2회독",IF(I30&lt;&gt;"","이론1회독","미완료"))))</f>
        <v/>
      </c>
      <c r="M30" s="7" t="n"/>
      <c r="N30" s="7" t="n"/>
    </row>
    <row r="31" ht="19.5" customHeight="1" s="209">
      <c r="A31" s="157" t="n">
        <v>28</v>
      </c>
      <c r="B31" s="120" t="inlineStr">
        <is>
          <t>기출공략집 (10회분)</t>
        </is>
      </c>
      <c r="C31" s="120" t="inlineStr">
        <is>
          <t>최신 기출 복원 모의고사</t>
        </is>
      </c>
      <c r="D31" s="120" t="inlineStr">
        <is>
          <t>기출문제 제09회 전수 풀이 및 오답노트 (80문항)</t>
        </is>
      </c>
      <c r="E31" s="157" t="inlineStr">
        <is>
          <t>★★★</t>
        </is>
      </c>
      <c r="F31" s="157" t="inlineStr">
        <is>
          <t>W05 (시험직전)</t>
        </is>
      </c>
      <c r="G31" s="158" t="n">
        <v>46479</v>
      </c>
      <c r="H31" s="157">
        <f>IF(I31&lt;&gt;"","✅ 1회독 완료",IF(G31="","-",IF(TODAY()&gt;G31,"⚠️ 지연 ("&amp;INT(TODAY()-G31)&amp;"일)","⏳ 진행예정 (D-"&amp;INT(G31-TODAY())&amp;")")))</f>
        <v/>
      </c>
      <c r="I31" s="7" t="n"/>
      <c r="L31" s="157">
        <f>IF(AND(I31="",J31="",K31=""),"미완료",IF(K31&lt;&gt;"","기출완료",IF(J31&lt;&gt;"","이론2회독",IF(I31&lt;&gt;"","이론1회독","미완료"))))</f>
        <v/>
      </c>
      <c r="M31" s="7" t="n"/>
      <c r="N31" s="7" t="n"/>
    </row>
    <row r="32" ht="19.5" customHeight="1" s="209">
      <c r="A32" s="157" t="n">
        <v>29</v>
      </c>
      <c r="B32" s="120" t="inlineStr">
        <is>
          <t>기출공략집 (10회분)</t>
        </is>
      </c>
      <c r="C32" s="120" t="inlineStr">
        <is>
          <t>최신 기출 복원 모의고사</t>
        </is>
      </c>
      <c r="D32" s="120" t="inlineStr">
        <is>
          <t>기출문제 제10회 전수 풀이 및 오답노트 (80문항)</t>
        </is>
      </c>
      <c r="E32" s="157" t="inlineStr">
        <is>
          <t>★★★</t>
        </is>
      </c>
      <c r="F32" s="157" t="inlineStr">
        <is>
          <t>W05 (시험직전)</t>
        </is>
      </c>
      <c r="G32" s="158" t="n">
        <v>46479</v>
      </c>
      <c r="H32" s="157">
        <f>IF(I32&lt;&gt;"","✅ 1회독 완료",IF(G32="","-",IF(TODAY()&gt;G32,"⚠️ 지연 ("&amp;INT(TODAY()-G32)&amp;"일)","⏳ 진행예정 (D-"&amp;INT(G32-TODAY())&amp;")")))</f>
        <v/>
      </c>
      <c r="I32" s="7" t="n"/>
      <c r="L32" s="157">
        <f>IF(AND(I32="",J32="",K32=""),"미완료",IF(K32&lt;&gt;"","기출완료",IF(J32&lt;&gt;"","이론2회독",IF(I32&lt;&gt;"","이론1회독","미완료"))))</f>
        <v/>
      </c>
      <c r="M32" s="7" t="n"/>
      <c r="N32" s="7" t="n"/>
    </row>
    <row r="33" ht="19.5" customHeight="1" s="209">
      <c r="A33" s="157" t="n">
        <v>30</v>
      </c>
      <c r="B33" s="120" t="inlineStr">
        <is>
          <t>기출공략집 (10회분)</t>
        </is>
      </c>
      <c r="C33" s="120" t="inlineStr">
        <is>
          <t>최신 기출 복원 모의고사</t>
        </is>
      </c>
      <c r="D33" s="120" t="inlineStr">
        <is>
          <t>기출문제 제11회 전수 풀이 및 오답노트 (80문항)</t>
        </is>
      </c>
      <c r="E33" s="157" t="inlineStr">
        <is>
          <t>★★★</t>
        </is>
      </c>
      <c r="F33" s="157" t="inlineStr">
        <is>
          <t>W05 (시험직전)</t>
        </is>
      </c>
      <c r="G33" s="158" t="n">
        <v>46479</v>
      </c>
      <c r="H33" s="157">
        <f>IF(I33&lt;&gt;"","✅ 1회독 완료",IF(G33="","-",IF(TODAY()&gt;G33,"⚠️ 지연 ("&amp;INT(TODAY()-G33)&amp;"일)","⏳ 진행예정 (D-"&amp;INT(G33-TODAY())&amp;")")))</f>
        <v/>
      </c>
      <c r="I33" s="7" t="n"/>
      <c r="L33" s="157">
        <f>IF(AND(I33="",J33="",K33=""),"미완료",IF(K33&lt;&gt;"","기출완료",IF(J33&lt;&gt;"","이론2회독",IF(I33&lt;&gt;"","이론1회독","미완료"))))</f>
        <v/>
      </c>
      <c r="M33" s="7" t="n"/>
      <c r="N33" s="7" t="n"/>
    </row>
    <row r="34" ht="19.5" customHeight="1" s="209">
      <c r="A34" s="157" t="n">
        <v>31</v>
      </c>
      <c r="B34" s="120" t="inlineStr">
        <is>
          <t>기출공략집 (10회분)</t>
        </is>
      </c>
      <c r="C34" s="120" t="inlineStr">
        <is>
          <t>최신 기출 복원 모의고사</t>
        </is>
      </c>
      <c r="D34" s="120" t="inlineStr">
        <is>
          <t>기출문제 제12회 (2026 최신 기출) 전수 풀이 및 오답노트</t>
        </is>
      </c>
      <c r="E34" s="157" t="inlineStr">
        <is>
          <t>★★★</t>
        </is>
      </c>
      <c r="F34" s="157" t="inlineStr">
        <is>
          <t>W05 (시험직전)</t>
        </is>
      </c>
      <c r="G34" s="158" t="n">
        <v>46479</v>
      </c>
      <c r="H34" s="157">
        <f>IF(I34&lt;&gt;"","✅ 1회독 완료",IF(G34="","-",IF(TODAY()&gt;G34,"⚠️ 지연 ("&amp;INT(TODAY()-G34)&amp;"일)","⏳ 진행예정 (D-"&amp;INT(G34-TODAY())&amp;")")))</f>
        <v/>
      </c>
      <c r="I34" s="7" t="n"/>
      <c r="L34" s="157">
        <f>IF(AND(I34="",J34="",K34=""),"미완료",IF(K34&lt;&gt;"","기출완료",IF(J34&lt;&gt;"","이론2회독",IF(I34&lt;&gt;"","이론1회독","미완료"))))</f>
        <v/>
      </c>
      <c r="M34" s="7" t="n"/>
      <c r="N34" s="7" t="n"/>
    </row>
    <row r="35" ht="15.75" customHeight="1" s="209">
      <c r="A35" s="7" t="n"/>
      <c r="B35" s="7" t="n"/>
      <c r="C35" s="7" t="n"/>
      <c r="D35" s="7" t="n"/>
      <c r="E35" s="7" t="n"/>
      <c r="F35" s="7" t="n"/>
      <c r="H35" s="7" t="n"/>
      <c r="I35" s="7" t="n"/>
      <c r="L35" s="7" t="n"/>
      <c r="M35" s="7" t="n"/>
      <c r="N35" s="7" t="n"/>
    </row>
    <row r="36" ht="15.75" customHeight="1" s="209">
      <c r="A36" s="7" t="n"/>
      <c r="B36" s="7" t="n"/>
      <c r="C36" s="7" t="n"/>
      <c r="D36" s="7" t="n"/>
      <c r="E36" s="7" t="n"/>
      <c r="F36" s="7" t="n"/>
      <c r="H36" s="7" t="n"/>
      <c r="I36" s="7" t="n"/>
      <c r="L36" s="7" t="n"/>
      <c r="M36" s="7" t="n"/>
      <c r="N36" s="7" t="n"/>
    </row>
    <row r="37" ht="15.75" customHeight="1" s="209">
      <c r="A37" s="7" t="n"/>
      <c r="B37" s="7" t="n"/>
      <c r="C37" s="7" t="n"/>
      <c r="D37" s="7" t="n"/>
      <c r="E37" s="7" t="n"/>
      <c r="F37" s="7" t="n"/>
      <c r="H37" s="7" t="n"/>
      <c r="I37" s="7" t="n"/>
      <c r="L37" s="7" t="n"/>
      <c r="M37" s="7" t="n"/>
      <c r="N37" s="7" t="n"/>
    </row>
    <row r="38" ht="15.75" customHeight="1" s="209">
      <c r="A38" s="7" t="n"/>
      <c r="B38" s="7" t="n"/>
      <c r="C38" s="7" t="n"/>
      <c r="D38" s="7" t="n"/>
      <c r="E38" s="7" t="n"/>
      <c r="F38" s="7" t="n"/>
      <c r="H38" s="7" t="n"/>
      <c r="I38" s="7" t="n"/>
      <c r="L38" s="7" t="n"/>
      <c r="M38" s="7" t="n"/>
      <c r="N38" s="7" t="n"/>
    </row>
    <row r="39" ht="15.75" customHeight="1" s="209">
      <c r="A39" s="7" t="n"/>
      <c r="B39" s="7" t="n"/>
      <c r="C39" s="7" t="n"/>
      <c r="D39" s="7" t="n"/>
      <c r="E39" s="7" t="n"/>
      <c r="F39" s="7" t="n"/>
      <c r="H39" s="7" t="n"/>
      <c r="I39" s="7" t="n"/>
      <c r="L39" s="7" t="n"/>
      <c r="M39" s="7" t="n"/>
      <c r="N39" s="7" t="n"/>
    </row>
    <row r="40" ht="15.75" customHeight="1" s="209">
      <c r="A40" s="7" t="n"/>
      <c r="B40" s="7" t="n"/>
      <c r="C40" s="7" t="n"/>
      <c r="D40" s="7" t="n"/>
      <c r="E40" s="7" t="n"/>
      <c r="F40" s="7" t="n"/>
      <c r="H40" s="7" t="n"/>
      <c r="I40" s="7" t="n"/>
      <c r="L40" s="7" t="n"/>
      <c r="M40" s="7" t="n"/>
      <c r="N40" s="7" t="n"/>
    </row>
    <row r="41" ht="15.75" customHeight="1" s="209">
      <c r="A41" s="7" t="n"/>
      <c r="B41" s="7" t="n"/>
      <c r="C41" s="7" t="n"/>
      <c r="D41" s="7" t="n"/>
      <c r="E41" s="7" t="n"/>
      <c r="F41" s="7" t="n"/>
      <c r="H41" s="7" t="n"/>
      <c r="I41" s="7" t="n"/>
      <c r="L41" s="7" t="n"/>
      <c r="M41" s="7" t="n"/>
      <c r="N41" s="7" t="n"/>
    </row>
    <row r="42" ht="15.75" customHeight="1" s="209">
      <c r="A42" s="7" t="n"/>
      <c r="B42" s="7" t="n"/>
      <c r="C42" s="7" t="n"/>
      <c r="D42" s="7" t="n"/>
      <c r="E42" s="7" t="n"/>
      <c r="F42" s="7" t="n"/>
      <c r="H42" s="7" t="n"/>
      <c r="I42" s="7" t="n"/>
      <c r="L42" s="7" t="n"/>
      <c r="M42" s="7" t="n"/>
      <c r="N42" s="7" t="n"/>
    </row>
    <row r="43" ht="15.75" customHeight="1" s="209">
      <c r="A43" s="7" t="n"/>
      <c r="B43" s="7" t="n"/>
      <c r="C43" s="7" t="n"/>
      <c r="D43" s="7" t="n"/>
      <c r="E43" s="7" t="n"/>
      <c r="F43" s="7" t="n"/>
      <c r="H43" s="7" t="n"/>
      <c r="I43" s="7" t="n"/>
      <c r="L43" s="7" t="n"/>
      <c r="M43" s="7" t="n"/>
      <c r="N43" s="7" t="n"/>
    </row>
    <row r="44" ht="15.75" customHeight="1" s="209">
      <c r="A44" s="7" t="n"/>
      <c r="B44" s="7" t="n"/>
      <c r="C44" s="7" t="n"/>
      <c r="D44" s="7" t="n"/>
      <c r="E44" s="7" t="n"/>
      <c r="F44" s="7" t="n"/>
      <c r="H44" s="7" t="n"/>
      <c r="I44" s="7" t="n"/>
      <c r="L44" s="7" t="n"/>
      <c r="M44" s="7" t="n"/>
      <c r="N44" s="7" t="n"/>
    </row>
    <row r="45" ht="15.75" customHeight="1" s="209">
      <c r="A45" s="7" t="n"/>
      <c r="B45" s="7" t="n"/>
      <c r="C45" s="7" t="n"/>
      <c r="D45" s="7" t="n"/>
      <c r="E45" s="7" t="n"/>
      <c r="F45" s="7" t="n"/>
      <c r="H45" s="7" t="n"/>
      <c r="I45" s="7" t="n"/>
      <c r="L45" s="7" t="n"/>
      <c r="M45" s="7" t="n"/>
      <c r="N45" s="7" t="n"/>
    </row>
    <row r="46" ht="15.75" customHeight="1" s="209">
      <c r="A46" s="7" t="n"/>
      <c r="B46" s="7" t="n"/>
      <c r="C46" s="7" t="n"/>
      <c r="D46" s="7" t="n"/>
      <c r="E46" s="7" t="n"/>
      <c r="F46" s="7" t="n"/>
      <c r="H46" s="7" t="n"/>
      <c r="I46" s="7" t="n"/>
      <c r="L46" s="7" t="n"/>
      <c r="M46" s="7" t="n"/>
      <c r="N46" s="7" t="n"/>
    </row>
    <row r="47" ht="15.75" customHeight="1" s="209">
      <c r="A47" s="7" t="n"/>
      <c r="B47" s="7" t="n"/>
      <c r="C47" s="7" t="n"/>
      <c r="D47" s="7" t="n"/>
      <c r="E47" s="7" t="n"/>
      <c r="F47" s="7" t="n"/>
      <c r="H47" s="7" t="n"/>
      <c r="I47" s="7" t="n"/>
      <c r="L47" s="7" t="n"/>
      <c r="M47" s="7" t="n"/>
      <c r="N47" s="7" t="n"/>
    </row>
    <row r="48" ht="15.75" customHeight="1" s="209">
      <c r="A48" s="7" t="n"/>
      <c r="B48" s="7" t="n"/>
      <c r="C48" s="7" t="n"/>
      <c r="D48" s="7" t="n"/>
      <c r="E48" s="7" t="n"/>
      <c r="F48" s="7" t="n"/>
      <c r="H48" s="7" t="n"/>
      <c r="I48" s="7" t="n"/>
      <c r="L48" s="7" t="n"/>
      <c r="M48" s="7" t="n"/>
      <c r="N48" s="7" t="n"/>
    </row>
    <row r="49" ht="15.75" customHeight="1" s="209">
      <c r="A49" s="7" t="n"/>
      <c r="B49" s="7" t="n"/>
      <c r="C49" s="7" t="n"/>
      <c r="D49" s="7" t="n"/>
      <c r="E49" s="7" t="n"/>
      <c r="F49" s="7" t="n"/>
      <c r="H49" s="7" t="n"/>
      <c r="I49" s="7" t="n"/>
      <c r="L49" s="7" t="n"/>
      <c r="M49" s="7" t="n"/>
      <c r="N49" s="7" t="n"/>
    </row>
    <row r="50" ht="15.75" customHeight="1" s="209">
      <c r="A50" s="7" t="n"/>
      <c r="B50" s="7" t="n"/>
      <c r="C50" s="7" t="n"/>
      <c r="D50" s="7" t="n"/>
      <c r="E50" s="7" t="n"/>
      <c r="F50" s="7" t="n"/>
      <c r="H50" s="7" t="n"/>
      <c r="I50" s="7" t="n"/>
      <c r="L50" s="7" t="n"/>
      <c r="M50" s="7" t="n"/>
      <c r="N50" s="7" t="n"/>
    </row>
    <row r="51" ht="15.75" customHeight="1" s="209">
      <c r="A51" s="7" t="n"/>
      <c r="B51" s="7" t="n"/>
      <c r="C51" s="7" t="n"/>
      <c r="D51" s="7" t="n"/>
      <c r="E51" s="7" t="n"/>
      <c r="F51" s="7" t="n"/>
      <c r="H51" s="7" t="n"/>
      <c r="I51" s="7" t="n"/>
      <c r="L51" s="7" t="n"/>
      <c r="M51" s="7" t="n"/>
      <c r="N51" s="7" t="n"/>
    </row>
    <row r="52" ht="15.75" customHeight="1" s="209">
      <c r="A52" s="7" t="n"/>
      <c r="B52" s="7" t="n"/>
      <c r="C52" s="7" t="n"/>
      <c r="D52" s="7" t="n"/>
      <c r="E52" s="7" t="n"/>
      <c r="F52" s="7" t="n"/>
      <c r="H52" s="7" t="n"/>
      <c r="I52" s="7" t="n"/>
      <c r="L52" s="7" t="n"/>
      <c r="M52" s="7" t="n"/>
      <c r="N52" s="7" t="n"/>
    </row>
    <row r="53" ht="15.75" customHeight="1" s="209">
      <c r="A53" s="7" t="n"/>
      <c r="B53" s="7" t="n"/>
      <c r="C53" s="7" t="n"/>
      <c r="D53" s="7" t="n"/>
      <c r="E53" s="7" t="n"/>
      <c r="F53" s="7" t="n"/>
      <c r="H53" s="7" t="n"/>
      <c r="I53" s="7" t="n"/>
      <c r="L53" s="7" t="n"/>
      <c r="M53" s="7" t="n"/>
      <c r="N53" s="7" t="n"/>
    </row>
    <row r="54" ht="15.75" customHeight="1" s="209">
      <c r="A54" s="7" t="n"/>
      <c r="B54" s="7" t="n"/>
      <c r="C54" s="7" t="n"/>
      <c r="D54" s="7" t="n"/>
      <c r="E54" s="7" t="n"/>
      <c r="F54" s="7" t="n"/>
      <c r="H54" s="7" t="n"/>
      <c r="I54" s="7" t="n"/>
      <c r="L54" s="7" t="n"/>
      <c r="M54" s="7" t="n"/>
      <c r="N54" s="7" t="n"/>
    </row>
    <row r="55" ht="15.75" customHeight="1" s="209">
      <c r="A55" s="7" t="n"/>
      <c r="B55" s="7" t="n"/>
      <c r="C55" s="7" t="n"/>
      <c r="D55" s="7" t="n"/>
      <c r="E55" s="7" t="n"/>
      <c r="F55" s="7" t="n"/>
      <c r="H55" s="7" t="n"/>
      <c r="I55" s="7" t="n"/>
      <c r="L55" s="7" t="n"/>
      <c r="M55" s="7" t="n"/>
      <c r="N55" s="7" t="n"/>
    </row>
    <row r="56" ht="15.75" customHeight="1" s="209">
      <c r="A56" s="7" t="n"/>
      <c r="B56" s="7" t="n"/>
      <c r="C56" s="7" t="n"/>
      <c r="D56" s="7" t="n"/>
      <c r="E56" s="7" t="n"/>
      <c r="F56" s="7" t="n"/>
      <c r="H56" s="7" t="n"/>
      <c r="I56" s="7" t="n"/>
      <c r="L56" s="7" t="n"/>
      <c r="M56" s="7" t="n"/>
      <c r="N56" s="7" t="n"/>
    </row>
    <row r="57" ht="15.75" customHeight="1" s="209">
      <c r="A57" s="7" t="n"/>
      <c r="B57" s="7" t="n"/>
      <c r="C57" s="7" t="n"/>
      <c r="D57" s="7" t="n"/>
      <c r="E57" s="7" t="n"/>
      <c r="F57" s="7" t="n"/>
      <c r="H57" s="7" t="n"/>
      <c r="I57" s="7" t="n"/>
      <c r="L57" s="7" t="n"/>
      <c r="M57" s="7" t="n"/>
      <c r="N57" s="7" t="n"/>
    </row>
    <row r="58" ht="15.75" customHeight="1" s="209">
      <c r="A58" s="7" t="n"/>
      <c r="B58" s="7" t="n"/>
      <c r="C58" s="7" t="n"/>
      <c r="D58" s="7" t="n"/>
      <c r="E58" s="7" t="n"/>
      <c r="F58" s="7" t="n"/>
      <c r="H58" s="7" t="n"/>
      <c r="I58" s="7" t="n"/>
      <c r="L58" s="7" t="n"/>
      <c r="M58" s="7" t="n"/>
      <c r="N58" s="7" t="n"/>
    </row>
    <row r="59" ht="15.75" customHeight="1" s="209">
      <c r="A59" s="7" t="n"/>
      <c r="B59" s="7" t="n"/>
      <c r="C59" s="7" t="n"/>
      <c r="D59" s="7" t="n"/>
      <c r="E59" s="7" t="n"/>
      <c r="F59" s="7" t="n"/>
      <c r="H59" s="7" t="n"/>
      <c r="I59" s="7" t="n"/>
      <c r="L59" s="7" t="n"/>
      <c r="M59" s="7" t="n"/>
      <c r="N59" s="7" t="n"/>
    </row>
    <row r="60" ht="15.75" customHeight="1" s="209">
      <c r="A60" s="7" t="n"/>
      <c r="B60" s="7" t="n"/>
      <c r="C60" s="7" t="n"/>
      <c r="D60" s="7" t="n"/>
      <c r="E60" s="7" t="n"/>
      <c r="F60" s="7" t="n"/>
      <c r="H60" s="7" t="n"/>
      <c r="I60" s="7" t="n"/>
      <c r="L60" s="7" t="n"/>
      <c r="M60" s="7" t="n"/>
      <c r="N60" s="7" t="n"/>
    </row>
    <row r="61" ht="15.75" customHeight="1" s="209">
      <c r="A61" s="7" t="n"/>
      <c r="B61" s="7" t="n"/>
      <c r="C61" s="7" t="n"/>
      <c r="D61" s="7" t="n"/>
      <c r="E61" s="7" t="n"/>
      <c r="F61" s="7" t="n"/>
      <c r="H61" s="7" t="n"/>
      <c r="I61" s="7" t="n"/>
      <c r="L61" s="7" t="n"/>
      <c r="M61" s="7" t="n"/>
      <c r="N61" s="7" t="n"/>
    </row>
    <row r="62" ht="15.75" customHeight="1" s="209">
      <c r="A62" s="7" t="n"/>
      <c r="B62" s="7" t="n"/>
      <c r="C62" s="7" t="n"/>
      <c r="D62" s="7" t="n"/>
      <c r="E62" s="7" t="n"/>
      <c r="F62" s="7" t="n"/>
      <c r="H62" s="7" t="n"/>
      <c r="I62" s="7" t="n"/>
      <c r="L62" s="7" t="n"/>
      <c r="M62" s="7" t="n"/>
      <c r="N62" s="7" t="n"/>
    </row>
    <row r="63" ht="15.75" customHeight="1" s="209">
      <c r="A63" s="7" t="n"/>
      <c r="B63" s="7" t="n"/>
      <c r="C63" s="7" t="n"/>
      <c r="D63" s="7" t="n"/>
      <c r="E63" s="7" t="n"/>
      <c r="F63" s="7" t="n"/>
      <c r="H63" s="7" t="n"/>
      <c r="I63" s="7" t="n"/>
      <c r="L63" s="7" t="n"/>
      <c r="M63" s="7" t="n"/>
      <c r="N63" s="7" t="n"/>
    </row>
    <row r="64" ht="15.75" customHeight="1" s="209">
      <c r="A64" s="7" t="n"/>
      <c r="B64" s="7" t="n"/>
      <c r="C64" s="7" t="n"/>
      <c r="D64" s="7" t="n"/>
      <c r="E64" s="7" t="n"/>
      <c r="F64" s="7" t="n"/>
      <c r="H64" s="7" t="n"/>
      <c r="I64" s="7" t="n"/>
      <c r="L64" s="7" t="n"/>
      <c r="M64" s="7" t="n"/>
      <c r="N64" s="7" t="n"/>
    </row>
    <row r="65" ht="15.75" customHeight="1" s="209">
      <c r="A65" s="7" t="n"/>
      <c r="B65" s="7" t="n"/>
      <c r="C65" s="7" t="n"/>
      <c r="D65" s="7" t="n"/>
      <c r="E65" s="7" t="n"/>
      <c r="F65" s="7" t="n"/>
      <c r="H65" s="7" t="n"/>
      <c r="I65" s="7" t="n"/>
      <c r="L65" s="7" t="n"/>
      <c r="M65" s="7" t="n"/>
      <c r="N65" s="7" t="n"/>
    </row>
    <row r="66" ht="15.75" customHeight="1" s="209">
      <c r="A66" s="7" t="n"/>
      <c r="B66" s="7" t="n"/>
      <c r="C66" s="7" t="n"/>
      <c r="D66" s="7" t="n"/>
      <c r="E66" s="7" t="n"/>
      <c r="F66" s="7" t="n"/>
      <c r="H66" s="7" t="n"/>
      <c r="I66" s="7" t="n"/>
      <c r="L66" s="7" t="n"/>
      <c r="M66" s="7" t="n"/>
      <c r="N66" s="7" t="n"/>
    </row>
    <row r="67" ht="15.75" customHeight="1" s="209">
      <c r="A67" s="7" t="n"/>
      <c r="B67" s="7" t="n"/>
      <c r="C67" s="7" t="n"/>
      <c r="D67" s="7" t="n"/>
      <c r="E67" s="7" t="n"/>
      <c r="F67" s="7" t="n"/>
      <c r="H67" s="7" t="n"/>
      <c r="I67" s="7" t="n"/>
      <c r="L67" s="7" t="n"/>
      <c r="M67" s="7" t="n"/>
      <c r="N67" s="7" t="n"/>
    </row>
    <row r="68" ht="15.75" customHeight="1" s="209">
      <c r="A68" s="7" t="n"/>
      <c r="B68" s="7" t="n"/>
      <c r="C68" s="7" t="n"/>
      <c r="D68" s="7" t="n"/>
      <c r="E68" s="7" t="n"/>
      <c r="F68" s="7" t="n"/>
      <c r="H68" s="7" t="n"/>
      <c r="I68" s="7" t="n"/>
      <c r="L68" s="7" t="n"/>
      <c r="M68" s="7" t="n"/>
      <c r="N68" s="7" t="n"/>
    </row>
    <row r="69" ht="15.75" customHeight="1" s="209">
      <c r="A69" s="7" t="n"/>
      <c r="B69" s="7" t="n"/>
      <c r="C69" s="7" t="n"/>
      <c r="D69" s="7" t="n"/>
      <c r="E69" s="7" t="n"/>
      <c r="F69" s="7" t="n"/>
      <c r="H69" s="7" t="n"/>
      <c r="I69" s="7" t="n"/>
      <c r="L69" s="7" t="n"/>
      <c r="M69" s="7" t="n"/>
      <c r="N69" s="7" t="n"/>
    </row>
    <row r="70" ht="15.75" customHeight="1" s="209">
      <c r="A70" s="7" t="n"/>
      <c r="B70" s="7" t="n"/>
      <c r="C70" s="7" t="n"/>
      <c r="D70" s="7" t="n"/>
      <c r="E70" s="7" t="n"/>
      <c r="F70" s="7" t="n"/>
      <c r="H70" s="7" t="n"/>
      <c r="I70" s="7" t="n"/>
      <c r="L70" s="7" t="n"/>
      <c r="M70" s="7" t="n"/>
      <c r="N70" s="7" t="n"/>
    </row>
    <row r="71" ht="15.75" customHeight="1" s="209">
      <c r="A71" s="7" t="n"/>
      <c r="B71" s="7" t="n"/>
      <c r="C71" s="7" t="n"/>
      <c r="D71" s="7" t="n"/>
      <c r="E71" s="7" t="n"/>
      <c r="F71" s="7" t="n"/>
      <c r="H71" s="7" t="n"/>
      <c r="I71" s="7" t="n"/>
      <c r="L71" s="7" t="n"/>
      <c r="M71" s="7" t="n"/>
      <c r="N71" s="7" t="n"/>
    </row>
    <row r="72" ht="15.75" customHeight="1" s="209">
      <c r="A72" s="7" t="n"/>
      <c r="B72" s="7" t="n"/>
      <c r="C72" s="7" t="n"/>
      <c r="D72" s="7" t="n"/>
      <c r="E72" s="7" t="n"/>
      <c r="F72" s="7" t="n"/>
      <c r="H72" s="7" t="n"/>
      <c r="I72" s="7" t="n"/>
      <c r="L72" s="7" t="n"/>
      <c r="M72" s="7" t="n"/>
      <c r="N72" s="7" t="n"/>
    </row>
    <row r="73" ht="15.75" customHeight="1" s="209">
      <c r="A73" s="7" t="n"/>
      <c r="B73" s="7" t="n"/>
      <c r="C73" s="7" t="n"/>
      <c r="D73" s="7" t="n"/>
      <c r="E73" s="7" t="n"/>
      <c r="F73" s="7" t="n"/>
      <c r="H73" s="7" t="n"/>
      <c r="I73" s="7" t="n"/>
      <c r="L73" s="7" t="n"/>
      <c r="M73" s="7" t="n"/>
      <c r="N73" s="7" t="n"/>
    </row>
    <row r="74" ht="15.75" customHeight="1" s="209">
      <c r="A74" s="7" t="n"/>
      <c r="B74" s="7" t="n"/>
      <c r="C74" s="7" t="n"/>
      <c r="D74" s="7" t="n"/>
      <c r="E74" s="7" t="n"/>
      <c r="F74" s="7" t="n"/>
      <c r="H74" s="7" t="n"/>
      <c r="I74" s="7" t="n"/>
      <c r="L74" s="7" t="n"/>
      <c r="M74" s="7" t="n"/>
      <c r="N74" s="7" t="n"/>
    </row>
    <row r="75" ht="15.75" customHeight="1" s="209">
      <c r="A75" s="7" t="n"/>
      <c r="B75" s="7" t="n"/>
      <c r="C75" s="7" t="n"/>
      <c r="D75" s="7" t="n"/>
      <c r="E75" s="7" t="n"/>
      <c r="F75" s="7" t="n"/>
      <c r="H75" s="7" t="n"/>
      <c r="I75" s="7" t="n"/>
      <c r="L75" s="7" t="n"/>
      <c r="M75" s="7" t="n"/>
      <c r="N75" s="7" t="n"/>
    </row>
    <row r="76" ht="15.75" customHeight="1" s="209">
      <c r="A76" s="7" t="n"/>
      <c r="B76" s="7" t="n"/>
      <c r="C76" s="7" t="n"/>
      <c r="D76" s="7" t="n"/>
      <c r="E76" s="7" t="n"/>
      <c r="F76" s="7" t="n"/>
      <c r="H76" s="7" t="n"/>
      <c r="I76" s="7" t="n"/>
      <c r="L76" s="7" t="n"/>
      <c r="M76" s="7" t="n"/>
      <c r="N76" s="7" t="n"/>
    </row>
    <row r="77" ht="15.75" customHeight="1" s="209">
      <c r="A77" s="7" t="n"/>
      <c r="B77" s="7" t="n"/>
      <c r="C77" s="7" t="n"/>
      <c r="D77" s="7" t="n"/>
      <c r="E77" s="7" t="n"/>
      <c r="F77" s="7" t="n"/>
      <c r="H77" s="7" t="n"/>
      <c r="I77" s="7" t="n"/>
      <c r="L77" s="7" t="n"/>
      <c r="M77" s="7" t="n"/>
      <c r="N77" s="7" t="n"/>
    </row>
    <row r="78" ht="15.75" customHeight="1" s="209">
      <c r="A78" s="7" t="n"/>
      <c r="B78" s="7" t="n"/>
      <c r="C78" s="7" t="n"/>
      <c r="D78" s="7" t="n"/>
      <c r="E78" s="7" t="n"/>
      <c r="F78" s="7" t="n"/>
      <c r="H78" s="7" t="n"/>
      <c r="I78" s="7" t="n"/>
      <c r="L78" s="7" t="n"/>
      <c r="M78" s="7" t="n"/>
      <c r="N78" s="7" t="n"/>
    </row>
    <row r="79" ht="15.75" customHeight="1" s="209">
      <c r="A79" s="7" t="n"/>
      <c r="B79" s="7" t="n"/>
      <c r="C79" s="7" t="n"/>
      <c r="D79" s="7" t="n"/>
      <c r="E79" s="7" t="n"/>
      <c r="F79" s="7" t="n"/>
      <c r="H79" s="7" t="n"/>
      <c r="I79" s="7" t="n"/>
      <c r="L79" s="7" t="n"/>
      <c r="M79" s="7" t="n"/>
      <c r="N79" s="7" t="n"/>
    </row>
    <row r="80" ht="15.75" customHeight="1" s="209">
      <c r="A80" s="7" t="n"/>
      <c r="B80" s="7" t="n"/>
      <c r="C80" s="7" t="n"/>
      <c r="D80" s="7" t="n"/>
      <c r="E80" s="7" t="n"/>
      <c r="F80" s="7" t="n"/>
      <c r="H80" s="7" t="n"/>
      <c r="I80" s="7" t="n"/>
      <c r="L80" s="7" t="n"/>
      <c r="M80" s="7" t="n"/>
      <c r="N80" s="7" t="n"/>
    </row>
    <row r="81" ht="15.75" customHeight="1" s="209">
      <c r="A81" s="7" t="n"/>
      <c r="B81" s="7" t="n"/>
      <c r="C81" s="7" t="n"/>
      <c r="D81" s="7" t="n"/>
      <c r="E81" s="7" t="n"/>
      <c r="F81" s="7" t="n"/>
      <c r="H81" s="7" t="n"/>
      <c r="I81" s="7" t="n"/>
      <c r="L81" s="7" t="n"/>
      <c r="M81" s="7" t="n"/>
      <c r="N81" s="7" t="n"/>
    </row>
    <row r="82" ht="15.75" customHeight="1" s="209">
      <c r="A82" s="7" t="n"/>
      <c r="B82" s="7" t="n"/>
      <c r="C82" s="7" t="n"/>
      <c r="D82" s="7" t="n"/>
      <c r="E82" s="7" t="n"/>
      <c r="F82" s="7" t="n"/>
      <c r="H82" s="7" t="n"/>
      <c r="I82" s="7" t="n"/>
      <c r="L82" s="7" t="n"/>
      <c r="M82" s="7" t="n"/>
      <c r="N82" s="7" t="n"/>
    </row>
    <row r="83" ht="15.75" customHeight="1" s="209">
      <c r="A83" s="7" t="n"/>
      <c r="B83" s="7" t="n"/>
      <c r="C83" s="7" t="n"/>
      <c r="D83" s="7" t="n"/>
      <c r="E83" s="7" t="n"/>
      <c r="F83" s="7" t="n"/>
      <c r="H83" s="7" t="n"/>
      <c r="I83" s="7" t="n"/>
      <c r="L83" s="7" t="n"/>
      <c r="M83" s="7" t="n"/>
      <c r="N83" s="7" t="n"/>
    </row>
    <row r="84" ht="15.75" customHeight="1" s="209">
      <c r="A84" s="7" t="n"/>
      <c r="B84" s="7" t="n"/>
      <c r="C84" s="7" t="n"/>
      <c r="D84" s="7" t="n"/>
      <c r="E84" s="7" t="n"/>
      <c r="F84" s="7" t="n"/>
      <c r="H84" s="7" t="n"/>
      <c r="I84" s="7" t="n"/>
      <c r="L84" s="7" t="n"/>
      <c r="M84" s="7" t="n"/>
      <c r="N84" s="7" t="n"/>
    </row>
    <row r="85" ht="15.75" customHeight="1" s="209">
      <c r="A85" s="7" t="n"/>
      <c r="B85" s="7" t="n"/>
      <c r="C85" s="7" t="n"/>
      <c r="D85" s="7" t="n"/>
      <c r="E85" s="7" t="n"/>
      <c r="F85" s="7" t="n"/>
      <c r="H85" s="7" t="n"/>
      <c r="I85" s="7" t="n"/>
      <c r="L85" s="7" t="n"/>
      <c r="M85" s="7" t="n"/>
      <c r="N85" s="7" t="n"/>
    </row>
    <row r="86" ht="15.75" customHeight="1" s="209">
      <c r="A86" s="7" t="n"/>
      <c r="B86" s="7" t="n"/>
      <c r="C86" s="7" t="n"/>
      <c r="D86" s="7" t="n"/>
      <c r="E86" s="7" t="n"/>
      <c r="F86" s="7" t="n"/>
      <c r="H86" s="7" t="n"/>
      <c r="I86" s="7" t="n"/>
      <c r="L86" s="7" t="n"/>
      <c r="M86" s="7" t="n"/>
      <c r="N86" s="7" t="n"/>
    </row>
    <row r="87" ht="15.75" customHeight="1" s="209">
      <c r="A87" s="7" t="n"/>
      <c r="B87" s="7" t="n"/>
      <c r="C87" s="7" t="n"/>
      <c r="D87" s="7" t="n"/>
      <c r="E87" s="7" t="n"/>
      <c r="F87" s="7" t="n"/>
      <c r="H87" s="7" t="n"/>
      <c r="I87" s="7" t="n"/>
      <c r="L87" s="7" t="n"/>
      <c r="M87" s="7" t="n"/>
      <c r="N87" s="7" t="n"/>
    </row>
    <row r="88" ht="15.75" customHeight="1" s="209">
      <c r="A88" s="7" t="n"/>
      <c r="B88" s="7" t="n"/>
      <c r="C88" s="7" t="n"/>
      <c r="D88" s="7" t="n"/>
      <c r="E88" s="7" t="n"/>
      <c r="F88" s="7" t="n"/>
      <c r="H88" s="7" t="n"/>
      <c r="I88" s="7" t="n"/>
      <c r="L88" s="7" t="n"/>
      <c r="M88" s="7" t="n"/>
      <c r="N88" s="7" t="n"/>
    </row>
    <row r="89" ht="15.75" customHeight="1" s="209">
      <c r="A89" s="7" t="n"/>
      <c r="B89" s="7" t="n"/>
      <c r="C89" s="7" t="n"/>
      <c r="D89" s="7" t="n"/>
      <c r="E89" s="7" t="n"/>
      <c r="F89" s="7" t="n"/>
      <c r="H89" s="7" t="n"/>
      <c r="I89" s="7" t="n"/>
      <c r="L89" s="7" t="n"/>
      <c r="M89" s="7" t="n"/>
      <c r="N89" s="7" t="n"/>
    </row>
    <row r="90" ht="15.75" customHeight="1" s="209">
      <c r="A90" s="7" t="n"/>
      <c r="B90" s="7" t="n"/>
      <c r="C90" s="7" t="n"/>
      <c r="D90" s="7" t="n"/>
      <c r="E90" s="7" t="n"/>
      <c r="F90" s="7" t="n"/>
      <c r="H90" s="7" t="n"/>
      <c r="I90" s="7" t="n"/>
      <c r="L90" s="7" t="n"/>
      <c r="M90" s="7" t="n"/>
      <c r="N90" s="7" t="n"/>
    </row>
    <row r="91" ht="15.75" customHeight="1" s="209">
      <c r="A91" s="7" t="n"/>
      <c r="B91" s="7" t="n"/>
      <c r="C91" s="7" t="n"/>
      <c r="D91" s="7" t="n"/>
      <c r="E91" s="7" t="n"/>
      <c r="F91" s="7" t="n"/>
      <c r="H91" s="7" t="n"/>
      <c r="I91" s="7" t="n"/>
      <c r="L91" s="7" t="n"/>
      <c r="M91" s="7" t="n"/>
      <c r="N91" s="7" t="n"/>
    </row>
    <row r="92" ht="15.75" customHeight="1" s="209">
      <c r="A92" s="7" t="n"/>
      <c r="B92" s="7" t="n"/>
      <c r="C92" s="7" t="n"/>
      <c r="D92" s="7" t="n"/>
      <c r="E92" s="7" t="n"/>
      <c r="F92" s="7" t="n"/>
      <c r="H92" s="7" t="n"/>
      <c r="I92" s="7" t="n"/>
      <c r="L92" s="7" t="n"/>
      <c r="M92" s="7" t="n"/>
      <c r="N92" s="7" t="n"/>
    </row>
    <row r="93" ht="15.75" customHeight="1" s="209">
      <c r="A93" s="7" t="n"/>
      <c r="B93" s="7" t="n"/>
      <c r="C93" s="7" t="n"/>
      <c r="D93" s="7" t="n"/>
      <c r="E93" s="7" t="n"/>
      <c r="F93" s="7" t="n"/>
      <c r="H93" s="7" t="n"/>
      <c r="I93" s="7" t="n"/>
      <c r="L93" s="7" t="n"/>
      <c r="M93" s="7" t="n"/>
      <c r="N93" s="7" t="n"/>
    </row>
    <row r="94" ht="15.75" customHeight="1" s="209">
      <c r="A94" s="7" t="n"/>
      <c r="B94" s="7" t="n"/>
      <c r="C94" s="7" t="n"/>
      <c r="D94" s="7" t="n"/>
      <c r="E94" s="7" t="n"/>
      <c r="F94" s="7" t="n"/>
      <c r="H94" s="7" t="n"/>
      <c r="I94" s="7" t="n"/>
      <c r="L94" s="7" t="n"/>
      <c r="M94" s="7" t="n"/>
      <c r="N94" s="7" t="n"/>
    </row>
    <row r="95" ht="15.75" customHeight="1" s="209">
      <c r="A95" s="7" t="n"/>
      <c r="B95" s="7" t="n"/>
      <c r="C95" s="7" t="n"/>
      <c r="D95" s="7" t="n"/>
      <c r="E95" s="7" t="n"/>
      <c r="F95" s="7" t="n"/>
      <c r="H95" s="7" t="n"/>
      <c r="I95" s="7" t="n"/>
      <c r="L95" s="7" t="n"/>
      <c r="M95" s="7" t="n"/>
      <c r="N95" s="7" t="n"/>
    </row>
    <row r="96" ht="15.75" customHeight="1" s="209">
      <c r="A96" s="7" t="n"/>
      <c r="B96" s="7" t="n"/>
      <c r="C96" s="7" t="n"/>
      <c r="D96" s="7" t="n"/>
      <c r="E96" s="7" t="n"/>
      <c r="F96" s="7" t="n"/>
      <c r="H96" s="7" t="n"/>
      <c r="I96" s="7" t="n"/>
      <c r="L96" s="7" t="n"/>
      <c r="M96" s="7" t="n"/>
      <c r="N96" s="7" t="n"/>
    </row>
    <row r="97" ht="15.75" customHeight="1" s="209">
      <c r="A97" s="7" t="n"/>
      <c r="B97" s="7" t="n"/>
      <c r="C97" s="7" t="n"/>
      <c r="D97" s="7" t="n"/>
      <c r="E97" s="7" t="n"/>
      <c r="F97" s="7" t="n"/>
      <c r="H97" s="7" t="n"/>
      <c r="I97" s="7" t="n"/>
      <c r="L97" s="7" t="n"/>
      <c r="M97" s="7" t="n"/>
      <c r="N97" s="7" t="n"/>
    </row>
    <row r="98" ht="15.75" customHeight="1" s="209">
      <c r="A98" s="7" t="n"/>
      <c r="B98" s="7" t="n"/>
      <c r="C98" s="7" t="n"/>
      <c r="D98" s="7" t="n"/>
      <c r="E98" s="7" t="n"/>
      <c r="F98" s="7" t="n"/>
      <c r="H98" s="7" t="n"/>
      <c r="I98" s="7" t="n"/>
      <c r="L98" s="7" t="n"/>
      <c r="M98" s="7" t="n"/>
      <c r="N98" s="7" t="n"/>
    </row>
    <row r="99" ht="15.75" customHeight="1" s="209">
      <c r="A99" s="7" t="n"/>
      <c r="B99" s="7" t="n"/>
      <c r="C99" s="7" t="n"/>
      <c r="D99" s="7" t="n"/>
      <c r="E99" s="7" t="n"/>
      <c r="F99" s="7" t="n"/>
      <c r="H99" s="7" t="n"/>
      <c r="I99" s="7" t="n"/>
      <c r="L99" s="7" t="n"/>
      <c r="M99" s="7" t="n"/>
      <c r="N99" s="7" t="n"/>
    </row>
    <row r="100" ht="15.75" customHeight="1" s="209">
      <c r="A100" s="7" t="n"/>
      <c r="B100" s="7" t="n"/>
      <c r="C100" s="7" t="n"/>
      <c r="D100" s="7" t="n"/>
      <c r="E100" s="7" t="n"/>
      <c r="F100" s="7" t="n"/>
      <c r="H100" s="7" t="n"/>
      <c r="I100" s="7" t="n"/>
      <c r="L100" s="7" t="n"/>
      <c r="M100" s="7" t="n"/>
      <c r="N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H101" s="7" t="n"/>
      <c r="I101" s="7" t="n"/>
      <c r="L101" s="7" t="n"/>
      <c r="M101" s="7" t="n"/>
      <c r="N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H102" s="7" t="n"/>
      <c r="I102" s="7" t="n"/>
      <c r="L102" s="7" t="n"/>
      <c r="M102" s="7" t="n"/>
      <c r="N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H103" s="7" t="n"/>
      <c r="I103" s="7" t="n"/>
      <c r="L103" s="7" t="n"/>
      <c r="M103" s="7" t="n"/>
      <c r="N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H104" s="7" t="n"/>
      <c r="I104" s="7" t="n"/>
      <c r="L104" s="7" t="n"/>
      <c r="M104" s="7" t="n"/>
      <c r="N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H105" s="7" t="n"/>
      <c r="I105" s="7" t="n"/>
      <c r="L105" s="7" t="n"/>
      <c r="M105" s="7" t="n"/>
      <c r="N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H106" s="7" t="n"/>
      <c r="I106" s="7" t="n"/>
      <c r="L106" s="7" t="n"/>
      <c r="M106" s="7" t="n"/>
      <c r="N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H107" s="7" t="n"/>
      <c r="I107" s="7" t="n"/>
      <c r="L107" s="7" t="n"/>
      <c r="M107" s="7" t="n"/>
      <c r="N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H108" s="7" t="n"/>
      <c r="I108" s="7" t="n"/>
      <c r="L108" s="7" t="n"/>
      <c r="M108" s="7" t="n"/>
      <c r="N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H109" s="7" t="n"/>
      <c r="I109" s="7" t="n"/>
      <c r="L109" s="7" t="n"/>
      <c r="M109" s="7" t="n"/>
      <c r="N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H110" s="7" t="n"/>
      <c r="I110" s="7" t="n"/>
      <c r="L110" s="7" t="n"/>
      <c r="M110" s="7" t="n"/>
      <c r="N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H111" s="7" t="n"/>
      <c r="I111" s="7" t="n"/>
      <c r="L111" s="7" t="n"/>
      <c r="M111" s="7" t="n"/>
      <c r="N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H112" s="7" t="n"/>
      <c r="I112" s="7" t="n"/>
      <c r="L112" s="7" t="n"/>
      <c r="M112" s="7" t="n"/>
      <c r="N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H113" s="7" t="n"/>
      <c r="I113" s="7" t="n"/>
      <c r="L113" s="7" t="n"/>
      <c r="M113" s="7" t="n"/>
      <c r="N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H114" s="7" t="n"/>
      <c r="I114" s="7" t="n"/>
      <c r="L114" s="7" t="n"/>
      <c r="M114" s="7" t="n"/>
      <c r="N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H115" s="7" t="n"/>
      <c r="I115" s="7" t="n"/>
      <c r="L115" s="7" t="n"/>
      <c r="M115" s="7" t="n"/>
      <c r="N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H116" s="7" t="n"/>
      <c r="I116" s="7" t="n"/>
      <c r="L116" s="7" t="n"/>
      <c r="M116" s="7" t="n"/>
      <c r="N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H117" s="7" t="n"/>
      <c r="I117" s="7" t="n"/>
      <c r="L117" s="7" t="n"/>
      <c r="M117" s="7" t="n"/>
      <c r="N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H118" s="7" t="n"/>
      <c r="I118" s="7" t="n"/>
      <c r="L118" s="7" t="n"/>
      <c r="M118" s="7" t="n"/>
      <c r="N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H119" s="7" t="n"/>
      <c r="I119" s="7" t="n"/>
      <c r="L119" s="7" t="n"/>
      <c r="M119" s="7" t="n"/>
      <c r="N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H120" s="7" t="n"/>
      <c r="I120" s="7" t="n"/>
      <c r="L120" s="7" t="n"/>
      <c r="M120" s="7" t="n"/>
      <c r="N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H121" s="7" t="n"/>
      <c r="I121" s="7" t="n"/>
      <c r="L121" s="7" t="n"/>
      <c r="M121" s="7" t="n"/>
      <c r="N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H122" s="7" t="n"/>
      <c r="I122" s="7" t="n"/>
      <c r="L122" s="7" t="n"/>
      <c r="M122" s="7" t="n"/>
      <c r="N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H123" s="7" t="n"/>
      <c r="I123" s="7" t="n"/>
      <c r="L123" s="7" t="n"/>
      <c r="M123" s="7" t="n"/>
      <c r="N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H124" s="7" t="n"/>
      <c r="I124" s="7" t="n"/>
      <c r="L124" s="7" t="n"/>
      <c r="M124" s="7" t="n"/>
      <c r="N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H125" s="7" t="n"/>
      <c r="I125" s="7" t="n"/>
      <c r="L125" s="7" t="n"/>
      <c r="M125" s="7" t="n"/>
      <c r="N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H126" s="7" t="n"/>
      <c r="I126" s="7" t="n"/>
      <c r="L126" s="7" t="n"/>
      <c r="M126" s="7" t="n"/>
      <c r="N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H127" s="7" t="n"/>
      <c r="I127" s="7" t="n"/>
      <c r="L127" s="7" t="n"/>
      <c r="M127" s="7" t="n"/>
      <c r="N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H128" s="7" t="n"/>
      <c r="I128" s="7" t="n"/>
      <c r="L128" s="7" t="n"/>
      <c r="M128" s="7" t="n"/>
      <c r="N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H129" s="7" t="n"/>
      <c r="I129" s="7" t="n"/>
      <c r="L129" s="7" t="n"/>
      <c r="M129" s="7" t="n"/>
      <c r="N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H130" s="7" t="n"/>
      <c r="I130" s="7" t="n"/>
      <c r="L130" s="7" t="n"/>
      <c r="M130" s="7" t="n"/>
      <c r="N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H131" s="7" t="n"/>
      <c r="I131" s="7" t="n"/>
      <c r="L131" s="7" t="n"/>
      <c r="M131" s="7" t="n"/>
      <c r="N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H132" s="7" t="n"/>
      <c r="I132" s="7" t="n"/>
      <c r="L132" s="7" t="n"/>
      <c r="M132" s="7" t="n"/>
      <c r="N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H133" s="7" t="n"/>
      <c r="I133" s="7" t="n"/>
      <c r="L133" s="7" t="n"/>
      <c r="M133" s="7" t="n"/>
      <c r="N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H134" s="7" t="n"/>
      <c r="I134" s="7" t="n"/>
      <c r="L134" s="7" t="n"/>
      <c r="M134" s="7" t="n"/>
      <c r="N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H135" s="7" t="n"/>
      <c r="I135" s="7" t="n"/>
      <c r="L135" s="7" t="n"/>
      <c r="M135" s="7" t="n"/>
      <c r="N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H136" s="7" t="n"/>
      <c r="I136" s="7" t="n"/>
      <c r="L136" s="7" t="n"/>
      <c r="M136" s="7" t="n"/>
      <c r="N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H137" s="7" t="n"/>
      <c r="I137" s="7" t="n"/>
      <c r="L137" s="7" t="n"/>
      <c r="M137" s="7" t="n"/>
      <c r="N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H138" s="7" t="n"/>
      <c r="I138" s="7" t="n"/>
      <c r="L138" s="7" t="n"/>
      <c r="M138" s="7" t="n"/>
      <c r="N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H139" s="7" t="n"/>
      <c r="I139" s="7" t="n"/>
      <c r="L139" s="7" t="n"/>
      <c r="M139" s="7" t="n"/>
      <c r="N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H140" s="7" t="n"/>
      <c r="I140" s="7" t="n"/>
      <c r="L140" s="7" t="n"/>
      <c r="M140" s="7" t="n"/>
      <c r="N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H141" s="7" t="n"/>
      <c r="I141" s="7" t="n"/>
      <c r="L141" s="7" t="n"/>
      <c r="M141" s="7" t="n"/>
      <c r="N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H142" s="7" t="n"/>
      <c r="I142" s="7" t="n"/>
      <c r="L142" s="7" t="n"/>
      <c r="M142" s="7" t="n"/>
      <c r="N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H143" s="7" t="n"/>
      <c r="I143" s="7" t="n"/>
      <c r="L143" s="7" t="n"/>
      <c r="M143" s="7" t="n"/>
      <c r="N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H144" s="7" t="n"/>
      <c r="I144" s="7" t="n"/>
      <c r="L144" s="7" t="n"/>
      <c r="M144" s="7" t="n"/>
      <c r="N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H145" s="7" t="n"/>
      <c r="I145" s="7" t="n"/>
      <c r="L145" s="7" t="n"/>
      <c r="M145" s="7" t="n"/>
      <c r="N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H146" s="7" t="n"/>
      <c r="I146" s="7" t="n"/>
      <c r="L146" s="7" t="n"/>
      <c r="M146" s="7" t="n"/>
      <c r="N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H147" s="7" t="n"/>
      <c r="I147" s="7" t="n"/>
      <c r="L147" s="7" t="n"/>
      <c r="M147" s="7" t="n"/>
      <c r="N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H148" s="7" t="n"/>
      <c r="I148" s="7" t="n"/>
      <c r="L148" s="7" t="n"/>
      <c r="M148" s="7" t="n"/>
      <c r="N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H149" s="7" t="n"/>
      <c r="I149" s="7" t="n"/>
      <c r="L149" s="7" t="n"/>
      <c r="M149" s="7" t="n"/>
      <c r="N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H150" s="7" t="n"/>
      <c r="I150" s="7" t="n"/>
      <c r="L150" s="7" t="n"/>
      <c r="M150" s="7" t="n"/>
      <c r="N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H151" s="7" t="n"/>
      <c r="I151" s="7" t="n"/>
      <c r="L151" s="7" t="n"/>
      <c r="M151" s="7" t="n"/>
      <c r="N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H152" s="7" t="n"/>
      <c r="I152" s="7" t="n"/>
      <c r="L152" s="7" t="n"/>
      <c r="M152" s="7" t="n"/>
      <c r="N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H153" s="7" t="n"/>
      <c r="I153" s="7" t="n"/>
      <c r="L153" s="7" t="n"/>
      <c r="M153" s="7" t="n"/>
      <c r="N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H154" s="7" t="n"/>
      <c r="I154" s="7" t="n"/>
      <c r="L154" s="7" t="n"/>
      <c r="M154" s="7" t="n"/>
      <c r="N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H155" s="7" t="n"/>
      <c r="I155" s="7" t="n"/>
      <c r="L155" s="7" t="n"/>
      <c r="M155" s="7" t="n"/>
      <c r="N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H156" s="7" t="n"/>
      <c r="I156" s="7" t="n"/>
      <c r="L156" s="7" t="n"/>
      <c r="M156" s="7" t="n"/>
      <c r="N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H157" s="7" t="n"/>
      <c r="I157" s="7" t="n"/>
      <c r="L157" s="7" t="n"/>
      <c r="M157" s="7" t="n"/>
      <c r="N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H158" s="7" t="n"/>
      <c r="I158" s="7" t="n"/>
      <c r="L158" s="7" t="n"/>
      <c r="M158" s="7" t="n"/>
      <c r="N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H159" s="7" t="n"/>
      <c r="I159" s="7" t="n"/>
      <c r="L159" s="7" t="n"/>
      <c r="M159" s="7" t="n"/>
      <c r="N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H160" s="7" t="n"/>
      <c r="I160" s="7" t="n"/>
      <c r="L160" s="7" t="n"/>
      <c r="M160" s="7" t="n"/>
      <c r="N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H161" s="7" t="n"/>
      <c r="I161" s="7" t="n"/>
      <c r="L161" s="7" t="n"/>
      <c r="M161" s="7" t="n"/>
      <c r="N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H162" s="7" t="n"/>
      <c r="I162" s="7" t="n"/>
      <c r="L162" s="7" t="n"/>
      <c r="M162" s="7" t="n"/>
      <c r="N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H163" s="7" t="n"/>
      <c r="I163" s="7" t="n"/>
      <c r="L163" s="7" t="n"/>
      <c r="M163" s="7" t="n"/>
      <c r="N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H164" s="7" t="n"/>
      <c r="I164" s="7" t="n"/>
      <c r="L164" s="7" t="n"/>
      <c r="M164" s="7" t="n"/>
      <c r="N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H165" s="7" t="n"/>
      <c r="I165" s="7" t="n"/>
      <c r="L165" s="7" t="n"/>
      <c r="M165" s="7" t="n"/>
      <c r="N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H166" s="7" t="n"/>
      <c r="I166" s="7" t="n"/>
      <c r="L166" s="7" t="n"/>
      <c r="M166" s="7" t="n"/>
      <c r="N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H167" s="7" t="n"/>
      <c r="I167" s="7" t="n"/>
      <c r="L167" s="7" t="n"/>
      <c r="M167" s="7" t="n"/>
      <c r="N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H168" s="7" t="n"/>
      <c r="I168" s="7" t="n"/>
      <c r="L168" s="7" t="n"/>
      <c r="M168" s="7" t="n"/>
      <c r="N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H169" s="7" t="n"/>
      <c r="I169" s="7" t="n"/>
      <c r="L169" s="7" t="n"/>
      <c r="M169" s="7" t="n"/>
      <c r="N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H170" s="7" t="n"/>
      <c r="I170" s="7" t="n"/>
      <c r="L170" s="7" t="n"/>
      <c r="M170" s="7" t="n"/>
      <c r="N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H171" s="7" t="n"/>
      <c r="I171" s="7" t="n"/>
      <c r="L171" s="7" t="n"/>
      <c r="M171" s="7" t="n"/>
      <c r="N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H172" s="7" t="n"/>
      <c r="I172" s="7" t="n"/>
      <c r="L172" s="7" t="n"/>
      <c r="M172" s="7" t="n"/>
      <c r="N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H173" s="7" t="n"/>
      <c r="I173" s="7" t="n"/>
      <c r="L173" s="7" t="n"/>
      <c r="M173" s="7" t="n"/>
      <c r="N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H174" s="7" t="n"/>
      <c r="I174" s="7" t="n"/>
      <c r="L174" s="7" t="n"/>
      <c r="M174" s="7" t="n"/>
      <c r="N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H175" s="7" t="n"/>
      <c r="I175" s="7" t="n"/>
      <c r="L175" s="7" t="n"/>
      <c r="M175" s="7" t="n"/>
      <c r="N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H176" s="7" t="n"/>
      <c r="I176" s="7" t="n"/>
      <c r="L176" s="7" t="n"/>
      <c r="M176" s="7" t="n"/>
      <c r="N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H177" s="7" t="n"/>
      <c r="I177" s="7" t="n"/>
      <c r="L177" s="7" t="n"/>
      <c r="M177" s="7" t="n"/>
      <c r="N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H178" s="7" t="n"/>
      <c r="I178" s="7" t="n"/>
      <c r="L178" s="7" t="n"/>
      <c r="M178" s="7" t="n"/>
      <c r="N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H179" s="7" t="n"/>
      <c r="I179" s="7" t="n"/>
      <c r="L179" s="7" t="n"/>
      <c r="M179" s="7" t="n"/>
      <c r="N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H180" s="7" t="n"/>
      <c r="I180" s="7" t="n"/>
      <c r="L180" s="7" t="n"/>
      <c r="M180" s="7" t="n"/>
      <c r="N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H181" s="7" t="n"/>
      <c r="I181" s="7" t="n"/>
      <c r="L181" s="7" t="n"/>
      <c r="M181" s="7" t="n"/>
      <c r="N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H182" s="7" t="n"/>
      <c r="I182" s="7" t="n"/>
      <c r="L182" s="7" t="n"/>
      <c r="M182" s="7" t="n"/>
      <c r="N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H183" s="7" t="n"/>
      <c r="I183" s="7" t="n"/>
      <c r="L183" s="7" t="n"/>
      <c r="M183" s="7" t="n"/>
      <c r="N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H184" s="7" t="n"/>
      <c r="I184" s="7" t="n"/>
      <c r="L184" s="7" t="n"/>
      <c r="M184" s="7" t="n"/>
      <c r="N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H185" s="7" t="n"/>
      <c r="I185" s="7" t="n"/>
      <c r="L185" s="7" t="n"/>
      <c r="M185" s="7" t="n"/>
      <c r="N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H186" s="7" t="n"/>
      <c r="I186" s="7" t="n"/>
      <c r="L186" s="7" t="n"/>
      <c r="M186" s="7" t="n"/>
      <c r="N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H187" s="7" t="n"/>
      <c r="I187" s="7" t="n"/>
      <c r="L187" s="7" t="n"/>
      <c r="M187" s="7" t="n"/>
      <c r="N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H188" s="7" t="n"/>
      <c r="I188" s="7" t="n"/>
      <c r="L188" s="7" t="n"/>
      <c r="M188" s="7" t="n"/>
      <c r="N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H189" s="7" t="n"/>
      <c r="I189" s="7" t="n"/>
      <c r="L189" s="7" t="n"/>
      <c r="M189" s="7" t="n"/>
      <c r="N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H190" s="7" t="n"/>
      <c r="I190" s="7" t="n"/>
      <c r="L190" s="7" t="n"/>
      <c r="M190" s="7" t="n"/>
      <c r="N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H191" s="7" t="n"/>
      <c r="I191" s="7" t="n"/>
      <c r="L191" s="7" t="n"/>
      <c r="M191" s="7" t="n"/>
      <c r="N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H192" s="7" t="n"/>
      <c r="I192" s="7" t="n"/>
      <c r="L192" s="7" t="n"/>
      <c r="M192" s="7" t="n"/>
      <c r="N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H193" s="7" t="n"/>
      <c r="I193" s="7" t="n"/>
      <c r="L193" s="7" t="n"/>
      <c r="M193" s="7" t="n"/>
      <c r="N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H194" s="7" t="n"/>
      <c r="I194" s="7" t="n"/>
      <c r="L194" s="7" t="n"/>
      <c r="M194" s="7" t="n"/>
      <c r="N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H195" s="7" t="n"/>
      <c r="I195" s="7" t="n"/>
      <c r="L195" s="7" t="n"/>
      <c r="M195" s="7" t="n"/>
      <c r="N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H196" s="7" t="n"/>
      <c r="I196" s="7" t="n"/>
      <c r="L196" s="7" t="n"/>
      <c r="M196" s="7" t="n"/>
      <c r="N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H197" s="7" t="n"/>
      <c r="I197" s="7" t="n"/>
      <c r="L197" s="7" t="n"/>
      <c r="M197" s="7" t="n"/>
      <c r="N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H198" s="7" t="n"/>
      <c r="I198" s="7" t="n"/>
      <c r="L198" s="7" t="n"/>
      <c r="M198" s="7" t="n"/>
      <c r="N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H199" s="7" t="n"/>
      <c r="I199" s="7" t="n"/>
      <c r="L199" s="7" t="n"/>
      <c r="M199" s="7" t="n"/>
      <c r="N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H200" s="7" t="n"/>
      <c r="I200" s="7" t="n"/>
      <c r="L200" s="7" t="n"/>
      <c r="M200" s="7" t="n"/>
      <c r="N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H201" s="7" t="n"/>
      <c r="I201" s="7" t="n"/>
      <c r="L201" s="7" t="n"/>
      <c r="M201" s="7" t="n"/>
      <c r="N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H202" s="7" t="n"/>
      <c r="I202" s="7" t="n"/>
      <c r="L202" s="7" t="n"/>
      <c r="M202" s="7" t="n"/>
      <c r="N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H203" s="7" t="n"/>
      <c r="I203" s="7" t="n"/>
      <c r="L203" s="7" t="n"/>
      <c r="M203" s="7" t="n"/>
      <c r="N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H204" s="7" t="n"/>
      <c r="I204" s="7" t="n"/>
      <c r="L204" s="7" t="n"/>
      <c r="M204" s="7" t="n"/>
      <c r="N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H205" s="7" t="n"/>
      <c r="I205" s="7" t="n"/>
      <c r="L205" s="7" t="n"/>
      <c r="M205" s="7" t="n"/>
      <c r="N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H206" s="7" t="n"/>
      <c r="I206" s="7" t="n"/>
      <c r="L206" s="7" t="n"/>
      <c r="M206" s="7" t="n"/>
      <c r="N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H207" s="7" t="n"/>
      <c r="I207" s="7" t="n"/>
      <c r="L207" s="7" t="n"/>
      <c r="M207" s="7" t="n"/>
      <c r="N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H208" s="7" t="n"/>
      <c r="I208" s="7" t="n"/>
      <c r="L208" s="7" t="n"/>
      <c r="M208" s="7" t="n"/>
      <c r="N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H209" s="7" t="n"/>
      <c r="I209" s="7" t="n"/>
      <c r="L209" s="7" t="n"/>
      <c r="M209" s="7" t="n"/>
      <c r="N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H210" s="7" t="n"/>
      <c r="I210" s="7" t="n"/>
      <c r="L210" s="7" t="n"/>
      <c r="M210" s="7" t="n"/>
      <c r="N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H211" s="7" t="n"/>
      <c r="I211" s="7" t="n"/>
      <c r="L211" s="7" t="n"/>
      <c r="M211" s="7" t="n"/>
      <c r="N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H212" s="7" t="n"/>
      <c r="I212" s="7" t="n"/>
      <c r="L212" s="7" t="n"/>
      <c r="M212" s="7" t="n"/>
      <c r="N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H213" s="7" t="n"/>
      <c r="I213" s="7" t="n"/>
      <c r="L213" s="7" t="n"/>
      <c r="M213" s="7" t="n"/>
      <c r="N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H214" s="7" t="n"/>
      <c r="I214" s="7" t="n"/>
      <c r="L214" s="7" t="n"/>
      <c r="M214" s="7" t="n"/>
      <c r="N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H215" s="7" t="n"/>
      <c r="I215" s="7" t="n"/>
      <c r="L215" s="7" t="n"/>
      <c r="M215" s="7" t="n"/>
      <c r="N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H216" s="7" t="n"/>
      <c r="I216" s="7" t="n"/>
      <c r="L216" s="7" t="n"/>
      <c r="M216" s="7" t="n"/>
      <c r="N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H217" s="7" t="n"/>
      <c r="I217" s="7" t="n"/>
      <c r="L217" s="7" t="n"/>
      <c r="M217" s="7" t="n"/>
      <c r="N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H218" s="7" t="n"/>
      <c r="I218" s="7" t="n"/>
      <c r="L218" s="7" t="n"/>
      <c r="M218" s="7" t="n"/>
      <c r="N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H219" s="7" t="n"/>
      <c r="I219" s="7" t="n"/>
      <c r="L219" s="7" t="n"/>
      <c r="M219" s="7" t="n"/>
      <c r="N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H220" s="7" t="n"/>
      <c r="I220" s="7" t="n"/>
      <c r="L220" s="7" t="n"/>
      <c r="M220" s="7" t="n"/>
      <c r="N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H221" s="7" t="n"/>
      <c r="I221" s="7" t="n"/>
      <c r="L221" s="7" t="n"/>
      <c r="M221" s="7" t="n"/>
      <c r="N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H222" s="7" t="n"/>
      <c r="I222" s="7" t="n"/>
      <c r="L222" s="7" t="n"/>
      <c r="M222" s="7" t="n"/>
      <c r="N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H223" s="7" t="n"/>
      <c r="I223" s="7" t="n"/>
      <c r="L223" s="7" t="n"/>
      <c r="M223" s="7" t="n"/>
      <c r="N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H224" s="7" t="n"/>
      <c r="I224" s="7" t="n"/>
      <c r="L224" s="7" t="n"/>
      <c r="M224" s="7" t="n"/>
      <c r="N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H225" s="7" t="n"/>
      <c r="I225" s="7" t="n"/>
      <c r="L225" s="7" t="n"/>
      <c r="M225" s="7" t="n"/>
      <c r="N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H226" s="7" t="n"/>
      <c r="I226" s="7" t="n"/>
      <c r="L226" s="7" t="n"/>
      <c r="M226" s="7" t="n"/>
      <c r="N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H227" s="7" t="n"/>
      <c r="I227" s="7" t="n"/>
      <c r="L227" s="7" t="n"/>
      <c r="M227" s="7" t="n"/>
      <c r="N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H228" s="7" t="n"/>
      <c r="I228" s="7" t="n"/>
      <c r="L228" s="7" t="n"/>
      <c r="M228" s="7" t="n"/>
      <c r="N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H229" s="7" t="n"/>
      <c r="I229" s="7" t="n"/>
      <c r="L229" s="7" t="n"/>
      <c r="M229" s="7" t="n"/>
      <c r="N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H230" s="7" t="n"/>
      <c r="I230" s="7" t="n"/>
      <c r="L230" s="7" t="n"/>
      <c r="M230" s="7" t="n"/>
      <c r="N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H231" s="7" t="n"/>
      <c r="I231" s="7" t="n"/>
      <c r="L231" s="7" t="n"/>
      <c r="M231" s="7" t="n"/>
      <c r="N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H232" s="7" t="n"/>
      <c r="I232" s="7" t="n"/>
      <c r="L232" s="7" t="n"/>
      <c r="M232" s="7" t="n"/>
      <c r="N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H233" s="7" t="n"/>
      <c r="I233" s="7" t="n"/>
      <c r="L233" s="7" t="n"/>
      <c r="M233" s="7" t="n"/>
      <c r="N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H234" s="7" t="n"/>
      <c r="I234" s="7" t="n"/>
      <c r="L234" s="7" t="n"/>
      <c r="M234" s="7" t="n"/>
      <c r="N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H235" s="7" t="n"/>
      <c r="I235" s="7" t="n"/>
      <c r="L235" s="7" t="n"/>
      <c r="M235" s="7" t="n"/>
      <c r="N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H236" s="7" t="n"/>
      <c r="I236" s="7" t="n"/>
      <c r="L236" s="7" t="n"/>
      <c r="M236" s="7" t="n"/>
      <c r="N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H237" s="7" t="n"/>
      <c r="I237" s="7" t="n"/>
      <c r="L237" s="7" t="n"/>
      <c r="M237" s="7" t="n"/>
      <c r="N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H238" s="7" t="n"/>
      <c r="I238" s="7" t="n"/>
      <c r="L238" s="7" t="n"/>
      <c r="M238" s="7" t="n"/>
      <c r="N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H239" s="7" t="n"/>
      <c r="I239" s="7" t="n"/>
      <c r="L239" s="7" t="n"/>
      <c r="M239" s="7" t="n"/>
      <c r="N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H240" s="7" t="n"/>
      <c r="I240" s="7" t="n"/>
      <c r="L240" s="7" t="n"/>
      <c r="M240" s="7" t="n"/>
      <c r="N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H241" s="7" t="n"/>
      <c r="I241" s="7" t="n"/>
      <c r="L241" s="7" t="n"/>
      <c r="M241" s="7" t="n"/>
      <c r="N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H242" s="7" t="n"/>
      <c r="I242" s="7" t="n"/>
      <c r="L242" s="7" t="n"/>
      <c r="M242" s="7" t="n"/>
      <c r="N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H243" s="7" t="n"/>
      <c r="I243" s="7" t="n"/>
      <c r="L243" s="7" t="n"/>
      <c r="M243" s="7" t="n"/>
      <c r="N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H244" s="7" t="n"/>
      <c r="I244" s="7" t="n"/>
      <c r="L244" s="7" t="n"/>
      <c r="M244" s="7" t="n"/>
      <c r="N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H245" s="7" t="n"/>
      <c r="I245" s="7" t="n"/>
      <c r="L245" s="7" t="n"/>
      <c r="M245" s="7" t="n"/>
      <c r="N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H246" s="7" t="n"/>
      <c r="I246" s="7" t="n"/>
      <c r="L246" s="7" t="n"/>
      <c r="M246" s="7" t="n"/>
      <c r="N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H247" s="7" t="n"/>
      <c r="I247" s="7" t="n"/>
      <c r="L247" s="7" t="n"/>
      <c r="M247" s="7" t="n"/>
      <c r="N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H248" s="7" t="n"/>
      <c r="I248" s="7" t="n"/>
      <c r="L248" s="7" t="n"/>
      <c r="M248" s="7" t="n"/>
      <c r="N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H249" s="7" t="n"/>
      <c r="I249" s="7" t="n"/>
      <c r="L249" s="7" t="n"/>
      <c r="M249" s="7" t="n"/>
      <c r="N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H250" s="7" t="n"/>
      <c r="I250" s="7" t="n"/>
      <c r="L250" s="7" t="n"/>
      <c r="M250" s="7" t="n"/>
      <c r="N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H251" s="7" t="n"/>
      <c r="I251" s="7" t="n"/>
      <c r="L251" s="7" t="n"/>
      <c r="M251" s="7" t="n"/>
      <c r="N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H252" s="7" t="n"/>
      <c r="I252" s="7" t="n"/>
      <c r="L252" s="7" t="n"/>
      <c r="M252" s="7" t="n"/>
      <c r="N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H253" s="7" t="n"/>
      <c r="I253" s="7" t="n"/>
      <c r="L253" s="7" t="n"/>
      <c r="M253" s="7" t="n"/>
      <c r="N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H254" s="7" t="n"/>
      <c r="I254" s="7" t="n"/>
      <c r="L254" s="7" t="n"/>
      <c r="M254" s="7" t="n"/>
      <c r="N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H255" s="7" t="n"/>
      <c r="I255" s="7" t="n"/>
      <c r="L255" s="7" t="n"/>
      <c r="M255" s="7" t="n"/>
      <c r="N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H256" s="7" t="n"/>
      <c r="I256" s="7" t="n"/>
      <c r="L256" s="7" t="n"/>
      <c r="M256" s="7" t="n"/>
      <c r="N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H257" s="7" t="n"/>
      <c r="I257" s="7" t="n"/>
      <c r="L257" s="7" t="n"/>
      <c r="M257" s="7" t="n"/>
      <c r="N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H258" s="7" t="n"/>
      <c r="I258" s="7" t="n"/>
      <c r="L258" s="7" t="n"/>
      <c r="M258" s="7" t="n"/>
      <c r="N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H259" s="7" t="n"/>
      <c r="I259" s="7" t="n"/>
      <c r="L259" s="7" t="n"/>
      <c r="M259" s="7" t="n"/>
      <c r="N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H260" s="7" t="n"/>
      <c r="I260" s="7" t="n"/>
      <c r="L260" s="7" t="n"/>
      <c r="M260" s="7" t="n"/>
      <c r="N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H261" s="7" t="n"/>
      <c r="I261" s="7" t="n"/>
      <c r="L261" s="7" t="n"/>
      <c r="M261" s="7" t="n"/>
      <c r="N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H262" s="7" t="n"/>
      <c r="I262" s="7" t="n"/>
      <c r="L262" s="7" t="n"/>
      <c r="M262" s="7" t="n"/>
      <c r="N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H263" s="7" t="n"/>
      <c r="I263" s="7" t="n"/>
      <c r="L263" s="7" t="n"/>
      <c r="M263" s="7" t="n"/>
      <c r="N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H264" s="7" t="n"/>
      <c r="I264" s="7" t="n"/>
      <c r="L264" s="7" t="n"/>
      <c r="M264" s="7" t="n"/>
      <c r="N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H265" s="7" t="n"/>
      <c r="I265" s="7" t="n"/>
      <c r="L265" s="7" t="n"/>
      <c r="M265" s="7" t="n"/>
      <c r="N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H266" s="7" t="n"/>
      <c r="I266" s="7" t="n"/>
      <c r="L266" s="7" t="n"/>
      <c r="M266" s="7" t="n"/>
      <c r="N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H267" s="7" t="n"/>
      <c r="I267" s="7" t="n"/>
      <c r="L267" s="7" t="n"/>
      <c r="M267" s="7" t="n"/>
      <c r="N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H268" s="7" t="n"/>
      <c r="I268" s="7" t="n"/>
      <c r="L268" s="7" t="n"/>
      <c r="M268" s="7" t="n"/>
      <c r="N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H269" s="7" t="n"/>
      <c r="I269" s="7" t="n"/>
      <c r="L269" s="7" t="n"/>
      <c r="M269" s="7" t="n"/>
      <c r="N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H270" s="7" t="n"/>
      <c r="I270" s="7" t="n"/>
      <c r="L270" s="7" t="n"/>
      <c r="M270" s="7" t="n"/>
      <c r="N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H271" s="7" t="n"/>
      <c r="I271" s="7" t="n"/>
      <c r="L271" s="7" t="n"/>
      <c r="M271" s="7" t="n"/>
      <c r="N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H272" s="7" t="n"/>
      <c r="I272" s="7" t="n"/>
      <c r="L272" s="7" t="n"/>
      <c r="M272" s="7" t="n"/>
      <c r="N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H273" s="7" t="n"/>
      <c r="I273" s="7" t="n"/>
      <c r="L273" s="7" t="n"/>
      <c r="M273" s="7" t="n"/>
      <c r="N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H274" s="7" t="n"/>
      <c r="I274" s="7" t="n"/>
      <c r="L274" s="7" t="n"/>
      <c r="M274" s="7" t="n"/>
      <c r="N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H275" s="7" t="n"/>
      <c r="I275" s="7" t="n"/>
      <c r="L275" s="7" t="n"/>
      <c r="M275" s="7" t="n"/>
      <c r="N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H276" s="7" t="n"/>
      <c r="I276" s="7" t="n"/>
      <c r="L276" s="7" t="n"/>
      <c r="M276" s="7" t="n"/>
      <c r="N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H277" s="7" t="n"/>
      <c r="I277" s="7" t="n"/>
      <c r="L277" s="7" t="n"/>
      <c r="M277" s="7" t="n"/>
      <c r="N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H278" s="7" t="n"/>
      <c r="I278" s="7" t="n"/>
      <c r="L278" s="7" t="n"/>
      <c r="M278" s="7" t="n"/>
      <c r="N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H279" s="7" t="n"/>
      <c r="I279" s="7" t="n"/>
      <c r="L279" s="7" t="n"/>
      <c r="M279" s="7" t="n"/>
      <c r="N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H280" s="7" t="n"/>
      <c r="I280" s="7" t="n"/>
      <c r="L280" s="7" t="n"/>
      <c r="M280" s="7" t="n"/>
      <c r="N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H281" s="7" t="n"/>
      <c r="I281" s="7" t="n"/>
      <c r="L281" s="7" t="n"/>
      <c r="M281" s="7" t="n"/>
      <c r="N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H282" s="7" t="n"/>
      <c r="I282" s="7" t="n"/>
      <c r="L282" s="7" t="n"/>
      <c r="M282" s="7" t="n"/>
      <c r="N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H283" s="7" t="n"/>
      <c r="I283" s="7" t="n"/>
      <c r="L283" s="7" t="n"/>
      <c r="M283" s="7" t="n"/>
      <c r="N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H284" s="7" t="n"/>
      <c r="I284" s="7" t="n"/>
      <c r="L284" s="7" t="n"/>
      <c r="M284" s="7" t="n"/>
      <c r="N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H285" s="7" t="n"/>
      <c r="I285" s="7" t="n"/>
      <c r="L285" s="7" t="n"/>
      <c r="M285" s="7" t="n"/>
      <c r="N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H286" s="7" t="n"/>
      <c r="I286" s="7" t="n"/>
      <c r="L286" s="7" t="n"/>
      <c r="M286" s="7" t="n"/>
      <c r="N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H287" s="7" t="n"/>
      <c r="I287" s="7" t="n"/>
      <c r="L287" s="7" t="n"/>
      <c r="M287" s="7" t="n"/>
      <c r="N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H288" s="7" t="n"/>
      <c r="I288" s="7" t="n"/>
      <c r="L288" s="7" t="n"/>
      <c r="M288" s="7" t="n"/>
      <c r="N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H289" s="7" t="n"/>
      <c r="I289" s="7" t="n"/>
      <c r="L289" s="7" t="n"/>
      <c r="M289" s="7" t="n"/>
      <c r="N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H290" s="7" t="n"/>
      <c r="I290" s="7" t="n"/>
      <c r="L290" s="7" t="n"/>
      <c r="M290" s="7" t="n"/>
      <c r="N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H291" s="7" t="n"/>
      <c r="I291" s="7" t="n"/>
      <c r="L291" s="7" t="n"/>
      <c r="M291" s="7" t="n"/>
      <c r="N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H292" s="7" t="n"/>
      <c r="I292" s="7" t="n"/>
      <c r="L292" s="7" t="n"/>
      <c r="M292" s="7" t="n"/>
      <c r="N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H293" s="7" t="n"/>
      <c r="I293" s="7" t="n"/>
      <c r="L293" s="7" t="n"/>
      <c r="M293" s="7" t="n"/>
      <c r="N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H294" s="7" t="n"/>
      <c r="I294" s="7" t="n"/>
      <c r="L294" s="7" t="n"/>
      <c r="M294" s="7" t="n"/>
      <c r="N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H295" s="7" t="n"/>
      <c r="I295" s="7" t="n"/>
      <c r="L295" s="7" t="n"/>
      <c r="M295" s="7" t="n"/>
      <c r="N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H296" s="7" t="n"/>
      <c r="I296" s="7" t="n"/>
      <c r="L296" s="7" t="n"/>
      <c r="M296" s="7" t="n"/>
      <c r="N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H297" s="7" t="n"/>
      <c r="I297" s="7" t="n"/>
      <c r="L297" s="7" t="n"/>
      <c r="M297" s="7" t="n"/>
      <c r="N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H298" s="7" t="n"/>
      <c r="I298" s="7" t="n"/>
      <c r="L298" s="7" t="n"/>
      <c r="M298" s="7" t="n"/>
      <c r="N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H299" s="7" t="n"/>
      <c r="I299" s="7" t="n"/>
      <c r="L299" s="7" t="n"/>
      <c r="M299" s="7" t="n"/>
      <c r="N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H300" s="7" t="n"/>
      <c r="I300" s="7" t="n"/>
      <c r="L300" s="7" t="n"/>
      <c r="M300" s="7" t="n"/>
      <c r="N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H301" s="7" t="n"/>
      <c r="I301" s="7" t="n"/>
      <c r="L301" s="7" t="n"/>
      <c r="M301" s="7" t="n"/>
      <c r="N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H302" s="7" t="n"/>
      <c r="I302" s="7" t="n"/>
      <c r="L302" s="7" t="n"/>
      <c r="M302" s="7" t="n"/>
      <c r="N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H303" s="7" t="n"/>
      <c r="I303" s="7" t="n"/>
      <c r="L303" s="7" t="n"/>
      <c r="M303" s="7" t="n"/>
      <c r="N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H304" s="7" t="n"/>
      <c r="I304" s="7" t="n"/>
      <c r="L304" s="7" t="n"/>
      <c r="M304" s="7" t="n"/>
      <c r="N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H305" s="7" t="n"/>
      <c r="I305" s="7" t="n"/>
      <c r="L305" s="7" t="n"/>
      <c r="M305" s="7" t="n"/>
      <c r="N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H306" s="7" t="n"/>
      <c r="I306" s="7" t="n"/>
      <c r="L306" s="7" t="n"/>
      <c r="M306" s="7" t="n"/>
      <c r="N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H307" s="7" t="n"/>
      <c r="I307" s="7" t="n"/>
      <c r="L307" s="7" t="n"/>
      <c r="M307" s="7" t="n"/>
      <c r="N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H308" s="7" t="n"/>
      <c r="I308" s="7" t="n"/>
      <c r="L308" s="7" t="n"/>
      <c r="M308" s="7" t="n"/>
      <c r="N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H309" s="7" t="n"/>
      <c r="I309" s="7" t="n"/>
      <c r="L309" s="7" t="n"/>
      <c r="M309" s="7" t="n"/>
      <c r="N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H310" s="7" t="n"/>
      <c r="I310" s="7" t="n"/>
      <c r="L310" s="7" t="n"/>
      <c r="M310" s="7" t="n"/>
      <c r="N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H311" s="7" t="n"/>
      <c r="I311" s="7" t="n"/>
      <c r="L311" s="7" t="n"/>
      <c r="M311" s="7" t="n"/>
      <c r="N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H312" s="7" t="n"/>
      <c r="I312" s="7" t="n"/>
      <c r="L312" s="7" t="n"/>
      <c r="M312" s="7" t="n"/>
      <c r="N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H313" s="7" t="n"/>
      <c r="I313" s="7" t="n"/>
      <c r="L313" s="7" t="n"/>
      <c r="M313" s="7" t="n"/>
      <c r="N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H314" s="7" t="n"/>
      <c r="I314" s="7" t="n"/>
      <c r="L314" s="7" t="n"/>
      <c r="M314" s="7" t="n"/>
      <c r="N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H315" s="7" t="n"/>
      <c r="I315" s="7" t="n"/>
      <c r="L315" s="7" t="n"/>
      <c r="M315" s="7" t="n"/>
      <c r="N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H316" s="7" t="n"/>
      <c r="I316" s="7" t="n"/>
      <c r="L316" s="7" t="n"/>
      <c r="M316" s="7" t="n"/>
      <c r="N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H317" s="7" t="n"/>
      <c r="I317" s="7" t="n"/>
      <c r="L317" s="7" t="n"/>
      <c r="M317" s="7" t="n"/>
      <c r="N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H318" s="7" t="n"/>
      <c r="I318" s="7" t="n"/>
      <c r="L318" s="7" t="n"/>
      <c r="M318" s="7" t="n"/>
      <c r="N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H319" s="7" t="n"/>
      <c r="I319" s="7" t="n"/>
      <c r="L319" s="7" t="n"/>
      <c r="M319" s="7" t="n"/>
      <c r="N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H320" s="7" t="n"/>
      <c r="I320" s="7" t="n"/>
      <c r="L320" s="7" t="n"/>
      <c r="M320" s="7" t="n"/>
      <c r="N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H321" s="7" t="n"/>
      <c r="I321" s="7" t="n"/>
      <c r="L321" s="7" t="n"/>
      <c r="M321" s="7" t="n"/>
      <c r="N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H322" s="7" t="n"/>
      <c r="I322" s="7" t="n"/>
      <c r="L322" s="7" t="n"/>
      <c r="M322" s="7" t="n"/>
      <c r="N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H323" s="7" t="n"/>
      <c r="I323" s="7" t="n"/>
      <c r="L323" s="7" t="n"/>
      <c r="M323" s="7" t="n"/>
      <c r="N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H324" s="7" t="n"/>
      <c r="I324" s="7" t="n"/>
      <c r="L324" s="7" t="n"/>
      <c r="M324" s="7" t="n"/>
      <c r="N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H325" s="7" t="n"/>
      <c r="I325" s="7" t="n"/>
      <c r="L325" s="7" t="n"/>
      <c r="M325" s="7" t="n"/>
      <c r="N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H326" s="7" t="n"/>
      <c r="I326" s="7" t="n"/>
      <c r="L326" s="7" t="n"/>
      <c r="M326" s="7" t="n"/>
      <c r="N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H327" s="7" t="n"/>
      <c r="I327" s="7" t="n"/>
      <c r="L327" s="7" t="n"/>
      <c r="M327" s="7" t="n"/>
      <c r="N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H328" s="7" t="n"/>
      <c r="I328" s="7" t="n"/>
      <c r="L328" s="7" t="n"/>
      <c r="M328" s="7" t="n"/>
      <c r="N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H329" s="7" t="n"/>
      <c r="I329" s="7" t="n"/>
      <c r="L329" s="7" t="n"/>
      <c r="M329" s="7" t="n"/>
      <c r="N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H330" s="7" t="n"/>
      <c r="I330" s="7" t="n"/>
      <c r="L330" s="7" t="n"/>
      <c r="M330" s="7" t="n"/>
      <c r="N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H331" s="7" t="n"/>
      <c r="I331" s="7" t="n"/>
      <c r="L331" s="7" t="n"/>
      <c r="M331" s="7" t="n"/>
      <c r="N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H332" s="7" t="n"/>
      <c r="I332" s="7" t="n"/>
      <c r="L332" s="7" t="n"/>
      <c r="M332" s="7" t="n"/>
      <c r="N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H333" s="7" t="n"/>
      <c r="I333" s="7" t="n"/>
      <c r="L333" s="7" t="n"/>
      <c r="M333" s="7" t="n"/>
      <c r="N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H334" s="7" t="n"/>
      <c r="I334" s="7" t="n"/>
      <c r="L334" s="7" t="n"/>
      <c r="M334" s="7" t="n"/>
      <c r="N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H335" s="7" t="n"/>
      <c r="I335" s="7" t="n"/>
      <c r="L335" s="7" t="n"/>
      <c r="M335" s="7" t="n"/>
      <c r="N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H336" s="7" t="n"/>
      <c r="I336" s="7" t="n"/>
      <c r="L336" s="7" t="n"/>
      <c r="M336" s="7" t="n"/>
      <c r="N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H337" s="7" t="n"/>
      <c r="I337" s="7" t="n"/>
      <c r="L337" s="7" t="n"/>
      <c r="M337" s="7" t="n"/>
      <c r="N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H338" s="7" t="n"/>
      <c r="I338" s="7" t="n"/>
      <c r="L338" s="7" t="n"/>
      <c r="M338" s="7" t="n"/>
      <c r="N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H339" s="7" t="n"/>
      <c r="I339" s="7" t="n"/>
      <c r="L339" s="7" t="n"/>
      <c r="M339" s="7" t="n"/>
      <c r="N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H340" s="7" t="n"/>
      <c r="I340" s="7" t="n"/>
      <c r="L340" s="7" t="n"/>
      <c r="M340" s="7" t="n"/>
      <c r="N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H341" s="7" t="n"/>
      <c r="I341" s="7" t="n"/>
      <c r="L341" s="7" t="n"/>
      <c r="M341" s="7" t="n"/>
      <c r="N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H342" s="7" t="n"/>
      <c r="I342" s="7" t="n"/>
      <c r="L342" s="7" t="n"/>
      <c r="M342" s="7" t="n"/>
      <c r="N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H343" s="7" t="n"/>
      <c r="I343" s="7" t="n"/>
      <c r="L343" s="7" t="n"/>
      <c r="M343" s="7" t="n"/>
      <c r="N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H344" s="7" t="n"/>
      <c r="I344" s="7" t="n"/>
      <c r="L344" s="7" t="n"/>
      <c r="M344" s="7" t="n"/>
      <c r="N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H345" s="7" t="n"/>
      <c r="I345" s="7" t="n"/>
      <c r="L345" s="7" t="n"/>
      <c r="M345" s="7" t="n"/>
      <c r="N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H346" s="7" t="n"/>
      <c r="I346" s="7" t="n"/>
      <c r="L346" s="7" t="n"/>
      <c r="M346" s="7" t="n"/>
      <c r="N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H347" s="7" t="n"/>
      <c r="I347" s="7" t="n"/>
      <c r="L347" s="7" t="n"/>
      <c r="M347" s="7" t="n"/>
      <c r="N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H348" s="7" t="n"/>
      <c r="I348" s="7" t="n"/>
      <c r="L348" s="7" t="n"/>
      <c r="M348" s="7" t="n"/>
      <c r="N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H349" s="7" t="n"/>
      <c r="I349" s="7" t="n"/>
      <c r="L349" s="7" t="n"/>
      <c r="M349" s="7" t="n"/>
      <c r="N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H350" s="7" t="n"/>
      <c r="I350" s="7" t="n"/>
      <c r="L350" s="7" t="n"/>
      <c r="M350" s="7" t="n"/>
      <c r="N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H351" s="7" t="n"/>
      <c r="I351" s="7" t="n"/>
      <c r="L351" s="7" t="n"/>
      <c r="M351" s="7" t="n"/>
      <c r="N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H352" s="7" t="n"/>
      <c r="I352" s="7" t="n"/>
      <c r="L352" s="7" t="n"/>
      <c r="M352" s="7" t="n"/>
      <c r="N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H353" s="7" t="n"/>
      <c r="I353" s="7" t="n"/>
      <c r="L353" s="7" t="n"/>
      <c r="M353" s="7" t="n"/>
      <c r="N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H354" s="7" t="n"/>
      <c r="I354" s="7" t="n"/>
      <c r="L354" s="7" t="n"/>
      <c r="M354" s="7" t="n"/>
      <c r="N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H355" s="7" t="n"/>
      <c r="I355" s="7" t="n"/>
      <c r="L355" s="7" t="n"/>
      <c r="M355" s="7" t="n"/>
      <c r="N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H356" s="7" t="n"/>
      <c r="I356" s="7" t="n"/>
      <c r="L356" s="7" t="n"/>
      <c r="M356" s="7" t="n"/>
      <c r="N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H357" s="7" t="n"/>
      <c r="I357" s="7" t="n"/>
      <c r="L357" s="7" t="n"/>
      <c r="M357" s="7" t="n"/>
      <c r="N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H358" s="7" t="n"/>
      <c r="I358" s="7" t="n"/>
      <c r="L358" s="7" t="n"/>
      <c r="M358" s="7" t="n"/>
      <c r="N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H359" s="7" t="n"/>
      <c r="I359" s="7" t="n"/>
      <c r="L359" s="7" t="n"/>
      <c r="M359" s="7" t="n"/>
      <c r="N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H360" s="7" t="n"/>
      <c r="I360" s="7" t="n"/>
      <c r="L360" s="7" t="n"/>
      <c r="M360" s="7" t="n"/>
      <c r="N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H361" s="7" t="n"/>
      <c r="I361" s="7" t="n"/>
      <c r="L361" s="7" t="n"/>
      <c r="M361" s="7" t="n"/>
      <c r="N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H362" s="7" t="n"/>
      <c r="I362" s="7" t="n"/>
      <c r="L362" s="7" t="n"/>
      <c r="M362" s="7" t="n"/>
      <c r="N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H363" s="7" t="n"/>
      <c r="I363" s="7" t="n"/>
      <c r="L363" s="7" t="n"/>
      <c r="M363" s="7" t="n"/>
      <c r="N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H364" s="7" t="n"/>
      <c r="I364" s="7" t="n"/>
      <c r="L364" s="7" t="n"/>
      <c r="M364" s="7" t="n"/>
      <c r="N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H365" s="7" t="n"/>
      <c r="I365" s="7" t="n"/>
      <c r="L365" s="7" t="n"/>
      <c r="M365" s="7" t="n"/>
      <c r="N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H366" s="7" t="n"/>
      <c r="I366" s="7" t="n"/>
      <c r="L366" s="7" t="n"/>
      <c r="M366" s="7" t="n"/>
      <c r="N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H367" s="7" t="n"/>
      <c r="I367" s="7" t="n"/>
      <c r="L367" s="7" t="n"/>
      <c r="M367" s="7" t="n"/>
      <c r="N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H368" s="7" t="n"/>
      <c r="I368" s="7" t="n"/>
      <c r="L368" s="7" t="n"/>
      <c r="M368" s="7" t="n"/>
      <c r="N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H369" s="7" t="n"/>
      <c r="I369" s="7" t="n"/>
      <c r="L369" s="7" t="n"/>
      <c r="M369" s="7" t="n"/>
      <c r="N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H370" s="7" t="n"/>
      <c r="I370" s="7" t="n"/>
      <c r="L370" s="7" t="n"/>
      <c r="M370" s="7" t="n"/>
      <c r="N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H371" s="7" t="n"/>
      <c r="I371" s="7" t="n"/>
      <c r="L371" s="7" t="n"/>
      <c r="M371" s="7" t="n"/>
      <c r="N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H372" s="7" t="n"/>
      <c r="I372" s="7" t="n"/>
      <c r="L372" s="7" t="n"/>
      <c r="M372" s="7" t="n"/>
      <c r="N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H373" s="7" t="n"/>
      <c r="I373" s="7" t="n"/>
      <c r="L373" s="7" t="n"/>
      <c r="M373" s="7" t="n"/>
      <c r="N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H374" s="7" t="n"/>
      <c r="I374" s="7" t="n"/>
      <c r="L374" s="7" t="n"/>
      <c r="M374" s="7" t="n"/>
      <c r="N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H375" s="7" t="n"/>
      <c r="I375" s="7" t="n"/>
      <c r="L375" s="7" t="n"/>
      <c r="M375" s="7" t="n"/>
      <c r="N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H376" s="7" t="n"/>
      <c r="I376" s="7" t="n"/>
      <c r="L376" s="7" t="n"/>
      <c r="M376" s="7" t="n"/>
      <c r="N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H377" s="7" t="n"/>
      <c r="I377" s="7" t="n"/>
      <c r="L377" s="7" t="n"/>
      <c r="M377" s="7" t="n"/>
      <c r="N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H378" s="7" t="n"/>
      <c r="I378" s="7" t="n"/>
      <c r="L378" s="7" t="n"/>
      <c r="M378" s="7" t="n"/>
      <c r="N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H379" s="7" t="n"/>
      <c r="I379" s="7" t="n"/>
      <c r="L379" s="7" t="n"/>
      <c r="M379" s="7" t="n"/>
      <c r="N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H380" s="7" t="n"/>
      <c r="I380" s="7" t="n"/>
      <c r="L380" s="7" t="n"/>
      <c r="M380" s="7" t="n"/>
      <c r="N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H381" s="7" t="n"/>
      <c r="I381" s="7" t="n"/>
      <c r="L381" s="7" t="n"/>
      <c r="M381" s="7" t="n"/>
      <c r="N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H382" s="7" t="n"/>
      <c r="I382" s="7" t="n"/>
      <c r="L382" s="7" t="n"/>
      <c r="M382" s="7" t="n"/>
      <c r="N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H383" s="7" t="n"/>
      <c r="I383" s="7" t="n"/>
      <c r="L383" s="7" t="n"/>
      <c r="M383" s="7" t="n"/>
      <c r="N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H384" s="7" t="n"/>
      <c r="I384" s="7" t="n"/>
      <c r="L384" s="7" t="n"/>
      <c r="M384" s="7" t="n"/>
      <c r="N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H385" s="7" t="n"/>
      <c r="I385" s="7" t="n"/>
      <c r="L385" s="7" t="n"/>
      <c r="M385" s="7" t="n"/>
      <c r="N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H386" s="7" t="n"/>
      <c r="I386" s="7" t="n"/>
      <c r="L386" s="7" t="n"/>
      <c r="M386" s="7" t="n"/>
      <c r="N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H387" s="7" t="n"/>
      <c r="I387" s="7" t="n"/>
      <c r="L387" s="7" t="n"/>
      <c r="M387" s="7" t="n"/>
      <c r="N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H388" s="7" t="n"/>
      <c r="I388" s="7" t="n"/>
      <c r="L388" s="7" t="n"/>
      <c r="M388" s="7" t="n"/>
      <c r="N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H389" s="7" t="n"/>
      <c r="I389" s="7" t="n"/>
      <c r="L389" s="7" t="n"/>
      <c r="M389" s="7" t="n"/>
      <c r="N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H390" s="7" t="n"/>
      <c r="I390" s="7" t="n"/>
      <c r="L390" s="7" t="n"/>
      <c r="M390" s="7" t="n"/>
      <c r="N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H391" s="7" t="n"/>
      <c r="I391" s="7" t="n"/>
      <c r="L391" s="7" t="n"/>
      <c r="M391" s="7" t="n"/>
      <c r="N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H392" s="7" t="n"/>
      <c r="I392" s="7" t="n"/>
      <c r="L392" s="7" t="n"/>
      <c r="M392" s="7" t="n"/>
      <c r="N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H393" s="7" t="n"/>
      <c r="I393" s="7" t="n"/>
      <c r="L393" s="7" t="n"/>
      <c r="M393" s="7" t="n"/>
      <c r="N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H394" s="7" t="n"/>
      <c r="I394" s="7" t="n"/>
      <c r="L394" s="7" t="n"/>
      <c r="M394" s="7" t="n"/>
      <c r="N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H395" s="7" t="n"/>
      <c r="I395" s="7" t="n"/>
      <c r="L395" s="7" t="n"/>
      <c r="M395" s="7" t="n"/>
      <c r="N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H396" s="7" t="n"/>
      <c r="I396" s="7" t="n"/>
      <c r="L396" s="7" t="n"/>
      <c r="M396" s="7" t="n"/>
      <c r="N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H397" s="7" t="n"/>
      <c r="I397" s="7" t="n"/>
      <c r="L397" s="7" t="n"/>
      <c r="M397" s="7" t="n"/>
      <c r="N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H398" s="7" t="n"/>
      <c r="I398" s="7" t="n"/>
      <c r="L398" s="7" t="n"/>
      <c r="M398" s="7" t="n"/>
      <c r="N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H399" s="7" t="n"/>
      <c r="I399" s="7" t="n"/>
      <c r="L399" s="7" t="n"/>
      <c r="M399" s="7" t="n"/>
      <c r="N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H400" s="7" t="n"/>
      <c r="I400" s="7" t="n"/>
      <c r="L400" s="7" t="n"/>
      <c r="M400" s="7" t="n"/>
      <c r="N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H401" s="7" t="n"/>
      <c r="I401" s="7" t="n"/>
      <c r="L401" s="7" t="n"/>
      <c r="M401" s="7" t="n"/>
      <c r="N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H402" s="7" t="n"/>
      <c r="I402" s="7" t="n"/>
      <c r="L402" s="7" t="n"/>
      <c r="M402" s="7" t="n"/>
      <c r="N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H403" s="7" t="n"/>
      <c r="I403" s="7" t="n"/>
      <c r="L403" s="7" t="n"/>
      <c r="M403" s="7" t="n"/>
      <c r="N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H404" s="7" t="n"/>
      <c r="I404" s="7" t="n"/>
      <c r="L404" s="7" t="n"/>
      <c r="M404" s="7" t="n"/>
      <c r="N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H405" s="7" t="n"/>
      <c r="I405" s="7" t="n"/>
      <c r="L405" s="7" t="n"/>
      <c r="M405" s="7" t="n"/>
      <c r="N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H406" s="7" t="n"/>
      <c r="I406" s="7" t="n"/>
      <c r="L406" s="7" t="n"/>
      <c r="M406" s="7" t="n"/>
      <c r="N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H407" s="7" t="n"/>
      <c r="I407" s="7" t="n"/>
      <c r="L407" s="7" t="n"/>
      <c r="M407" s="7" t="n"/>
      <c r="N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H408" s="7" t="n"/>
      <c r="I408" s="7" t="n"/>
      <c r="L408" s="7" t="n"/>
      <c r="M408" s="7" t="n"/>
      <c r="N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H409" s="7" t="n"/>
      <c r="I409" s="7" t="n"/>
      <c r="L409" s="7" t="n"/>
      <c r="M409" s="7" t="n"/>
      <c r="N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H410" s="7" t="n"/>
      <c r="I410" s="7" t="n"/>
      <c r="L410" s="7" t="n"/>
      <c r="M410" s="7" t="n"/>
      <c r="N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H411" s="7" t="n"/>
      <c r="I411" s="7" t="n"/>
      <c r="L411" s="7" t="n"/>
      <c r="M411" s="7" t="n"/>
      <c r="N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H412" s="7" t="n"/>
      <c r="I412" s="7" t="n"/>
      <c r="L412" s="7" t="n"/>
      <c r="M412" s="7" t="n"/>
      <c r="N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H413" s="7" t="n"/>
      <c r="I413" s="7" t="n"/>
      <c r="L413" s="7" t="n"/>
      <c r="M413" s="7" t="n"/>
      <c r="N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H414" s="7" t="n"/>
      <c r="I414" s="7" t="n"/>
      <c r="L414" s="7" t="n"/>
      <c r="M414" s="7" t="n"/>
      <c r="N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H415" s="7" t="n"/>
      <c r="I415" s="7" t="n"/>
      <c r="L415" s="7" t="n"/>
      <c r="M415" s="7" t="n"/>
      <c r="N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H416" s="7" t="n"/>
      <c r="I416" s="7" t="n"/>
      <c r="L416" s="7" t="n"/>
      <c r="M416" s="7" t="n"/>
      <c r="N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H417" s="7" t="n"/>
      <c r="I417" s="7" t="n"/>
      <c r="L417" s="7" t="n"/>
      <c r="M417" s="7" t="n"/>
      <c r="N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H418" s="7" t="n"/>
      <c r="I418" s="7" t="n"/>
      <c r="L418" s="7" t="n"/>
      <c r="M418" s="7" t="n"/>
      <c r="N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H419" s="7" t="n"/>
      <c r="I419" s="7" t="n"/>
      <c r="L419" s="7" t="n"/>
      <c r="M419" s="7" t="n"/>
      <c r="N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H420" s="7" t="n"/>
      <c r="I420" s="7" t="n"/>
      <c r="L420" s="7" t="n"/>
      <c r="M420" s="7" t="n"/>
      <c r="N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H421" s="7" t="n"/>
      <c r="I421" s="7" t="n"/>
      <c r="L421" s="7" t="n"/>
      <c r="M421" s="7" t="n"/>
      <c r="N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H422" s="7" t="n"/>
      <c r="I422" s="7" t="n"/>
      <c r="L422" s="7" t="n"/>
      <c r="M422" s="7" t="n"/>
      <c r="N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H423" s="7" t="n"/>
      <c r="I423" s="7" t="n"/>
      <c r="L423" s="7" t="n"/>
      <c r="M423" s="7" t="n"/>
      <c r="N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H424" s="7" t="n"/>
      <c r="I424" s="7" t="n"/>
      <c r="L424" s="7" t="n"/>
      <c r="M424" s="7" t="n"/>
      <c r="N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H425" s="7" t="n"/>
      <c r="I425" s="7" t="n"/>
      <c r="L425" s="7" t="n"/>
      <c r="M425" s="7" t="n"/>
      <c r="N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H426" s="7" t="n"/>
      <c r="I426" s="7" t="n"/>
      <c r="L426" s="7" t="n"/>
      <c r="M426" s="7" t="n"/>
      <c r="N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H427" s="7" t="n"/>
      <c r="I427" s="7" t="n"/>
      <c r="L427" s="7" t="n"/>
      <c r="M427" s="7" t="n"/>
      <c r="N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H428" s="7" t="n"/>
      <c r="I428" s="7" t="n"/>
      <c r="L428" s="7" t="n"/>
      <c r="M428" s="7" t="n"/>
      <c r="N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H429" s="7" t="n"/>
      <c r="I429" s="7" t="n"/>
      <c r="L429" s="7" t="n"/>
      <c r="M429" s="7" t="n"/>
      <c r="N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H430" s="7" t="n"/>
      <c r="I430" s="7" t="n"/>
      <c r="L430" s="7" t="n"/>
      <c r="M430" s="7" t="n"/>
      <c r="N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H431" s="7" t="n"/>
      <c r="I431" s="7" t="n"/>
      <c r="L431" s="7" t="n"/>
      <c r="M431" s="7" t="n"/>
      <c r="N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H432" s="7" t="n"/>
      <c r="I432" s="7" t="n"/>
      <c r="L432" s="7" t="n"/>
      <c r="M432" s="7" t="n"/>
      <c r="N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H433" s="7" t="n"/>
      <c r="I433" s="7" t="n"/>
      <c r="L433" s="7" t="n"/>
      <c r="M433" s="7" t="n"/>
      <c r="N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H434" s="7" t="n"/>
      <c r="I434" s="7" t="n"/>
      <c r="L434" s="7" t="n"/>
      <c r="M434" s="7" t="n"/>
      <c r="N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H435" s="7" t="n"/>
      <c r="I435" s="7" t="n"/>
      <c r="L435" s="7" t="n"/>
      <c r="M435" s="7" t="n"/>
      <c r="N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H436" s="7" t="n"/>
      <c r="I436" s="7" t="n"/>
      <c r="L436" s="7" t="n"/>
      <c r="M436" s="7" t="n"/>
      <c r="N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H437" s="7" t="n"/>
      <c r="I437" s="7" t="n"/>
      <c r="L437" s="7" t="n"/>
      <c r="M437" s="7" t="n"/>
      <c r="N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H438" s="7" t="n"/>
      <c r="I438" s="7" t="n"/>
      <c r="L438" s="7" t="n"/>
      <c r="M438" s="7" t="n"/>
      <c r="N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H439" s="7" t="n"/>
      <c r="I439" s="7" t="n"/>
      <c r="L439" s="7" t="n"/>
      <c r="M439" s="7" t="n"/>
      <c r="N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H440" s="7" t="n"/>
      <c r="I440" s="7" t="n"/>
      <c r="L440" s="7" t="n"/>
      <c r="M440" s="7" t="n"/>
      <c r="N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H441" s="7" t="n"/>
      <c r="I441" s="7" t="n"/>
      <c r="L441" s="7" t="n"/>
      <c r="M441" s="7" t="n"/>
      <c r="N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H442" s="7" t="n"/>
      <c r="I442" s="7" t="n"/>
      <c r="L442" s="7" t="n"/>
      <c r="M442" s="7" t="n"/>
      <c r="N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H443" s="7" t="n"/>
      <c r="I443" s="7" t="n"/>
      <c r="L443" s="7" t="n"/>
      <c r="M443" s="7" t="n"/>
      <c r="N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H444" s="7" t="n"/>
      <c r="I444" s="7" t="n"/>
      <c r="L444" s="7" t="n"/>
      <c r="M444" s="7" t="n"/>
      <c r="N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H445" s="7" t="n"/>
      <c r="I445" s="7" t="n"/>
      <c r="L445" s="7" t="n"/>
      <c r="M445" s="7" t="n"/>
      <c r="N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H446" s="7" t="n"/>
      <c r="I446" s="7" t="n"/>
      <c r="L446" s="7" t="n"/>
      <c r="M446" s="7" t="n"/>
      <c r="N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H447" s="7" t="n"/>
      <c r="I447" s="7" t="n"/>
      <c r="L447" s="7" t="n"/>
      <c r="M447" s="7" t="n"/>
      <c r="N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H448" s="7" t="n"/>
      <c r="I448" s="7" t="n"/>
      <c r="L448" s="7" t="n"/>
      <c r="M448" s="7" t="n"/>
      <c r="N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H449" s="7" t="n"/>
      <c r="I449" s="7" t="n"/>
      <c r="L449" s="7" t="n"/>
      <c r="M449" s="7" t="n"/>
      <c r="N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H450" s="7" t="n"/>
      <c r="I450" s="7" t="n"/>
      <c r="L450" s="7" t="n"/>
      <c r="M450" s="7" t="n"/>
      <c r="N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H451" s="7" t="n"/>
      <c r="I451" s="7" t="n"/>
      <c r="L451" s="7" t="n"/>
      <c r="M451" s="7" t="n"/>
      <c r="N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H452" s="7" t="n"/>
      <c r="I452" s="7" t="n"/>
      <c r="L452" s="7" t="n"/>
      <c r="M452" s="7" t="n"/>
      <c r="N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H453" s="7" t="n"/>
      <c r="I453" s="7" t="n"/>
      <c r="L453" s="7" t="n"/>
      <c r="M453" s="7" t="n"/>
      <c r="N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H454" s="7" t="n"/>
      <c r="I454" s="7" t="n"/>
      <c r="L454" s="7" t="n"/>
      <c r="M454" s="7" t="n"/>
      <c r="N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H455" s="7" t="n"/>
      <c r="I455" s="7" t="n"/>
      <c r="L455" s="7" t="n"/>
      <c r="M455" s="7" t="n"/>
      <c r="N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H456" s="7" t="n"/>
      <c r="I456" s="7" t="n"/>
      <c r="L456" s="7" t="n"/>
      <c r="M456" s="7" t="n"/>
      <c r="N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H457" s="7" t="n"/>
      <c r="I457" s="7" t="n"/>
      <c r="L457" s="7" t="n"/>
      <c r="M457" s="7" t="n"/>
      <c r="N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H458" s="7" t="n"/>
      <c r="I458" s="7" t="n"/>
      <c r="L458" s="7" t="n"/>
      <c r="M458" s="7" t="n"/>
      <c r="N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H459" s="7" t="n"/>
      <c r="I459" s="7" t="n"/>
      <c r="L459" s="7" t="n"/>
      <c r="M459" s="7" t="n"/>
      <c r="N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H460" s="7" t="n"/>
      <c r="I460" s="7" t="n"/>
      <c r="L460" s="7" t="n"/>
      <c r="M460" s="7" t="n"/>
      <c r="N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H461" s="7" t="n"/>
      <c r="I461" s="7" t="n"/>
      <c r="L461" s="7" t="n"/>
      <c r="M461" s="7" t="n"/>
      <c r="N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H462" s="7" t="n"/>
      <c r="I462" s="7" t="n"/>
      <c r="L462" s="7" t="n"/>
      <c r="M462" s="7" t="n"/>
      <c r="N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H463" s="7" t="n"/>
      <c r="I463" s="7" t="n"/>
      <c r="L463" s="7" t="n"/>
      <c r="M463" s="7" t="n"/>
      <c r="N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H464" s="7" t="n"/>
      <c r="I464" s="7" t="n"/>
      <c r="L464" s="7" t="n"/>
      <c r="M464" s="7" t="n"/>
      <c r="N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H465" s="7" t="n"/>
      <c r="I465" s="7" t="n"/>
      <c r="L465" s="7" t="n"/>
      <c r="M465" s="7" t="n"/>
      <c r="N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H466" s="7" t="n"/>
      <c r="I466" s="7" t="n"/>
      <c r="L466" s="7" t="n"/>
      <c r="M466" s="7" t="n"/>
      <c r="N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H467" s="7" t="n"/>
      <c r="I467" s="7" t="n"/>
      <c r="L467" s="7" t="n"/>
      <c r="M467" s="7" t="n"/>
      <c r="N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H468" s="7" t="n"/>
      <c r="I468" s="7" t="n"/>
      <c r="L468" s="7" t="n"/>
      <c r="M468" s="7" t="n"/>
      <c r="N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H469" s="7" t="n"/>
      <c r="I469" s="7" t="n"/>
      <c r="L469" s="7" t="n"/>
      <c r="M469" s="7" t="n"/>
      <c r="N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H470" s="7" t="n"/>
      <c r="I470" s="7" t="n"/>
      <c r="L470" s="7" t="n"/>
      <c r="M470" s="7" t="n"/>
      <c r="N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H471" s="7" t="n"/>
      <c r="I471" s="7" t="n"/>
      <c r="L471" s="7" t="n"/>
      <c r="M471" s="7" t="n"/>
      <c r="N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H472" s="7" t="n"/>
      <c r="I472" s="7" t="n"/>
      <c r="L472" s="7" t="n"/>
      <c r="M472" s="7" t="n"/>
      <c r="N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H473" s="7" t="n"/>
      <c r="I473" s="7" t="n"/>
      <c r="L473" s="7" t="n"/>
      <c r="M473" s="7" t="n"/>
      <c r="N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H474" s="7" t="n"/>
      <c r="I474" s="7" t="n"/>
      <c r="L474" s="7" t="n"/>
      <c r="M474" s="7" t="n"/>
      <c r="N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H475" s="7" t="n"/>
      <c r="I475" s="7" t="n"/>
      <c r="L475" s="7" t="n"/>
      <c r="M475" s="7" t="n"/>
      <c r="N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H476" s="7" t="n"/>
      <c r="I476" s="7" t="n"/>
      <c r="L476" s="7" t="n"/>
      <c r="M476" s="7" t="n"/>
      <c r="N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H477" s="7" t="n"/>
      <c r="I477" s="7" t="n"/>
      <c r="L477" s="7" t="n"/>
      <c r="M477" s="7" t="n"/>
      <c r="N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H478" s="7" t="n"/>
      <c r="I478" s="7" t="n"/>
      <c r="L478" s="7" t="n"/>
      <c r="M478" s="7" t="n"/>
      <c r="N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H479" s="7" t="n"/>
      <c r="I479" s="7" t="n"/>
      <c r="L479" s="7" t="n"/>
      <c r="M479" s="7" t="n"/>
      <c r="N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H480" s="7" t="n"/>
      <c r="I480" s="7" t="n"/>
      <c r="L480" s="7" t="n"/>
      <c r="M480" s="7" t="n"/>
      <c r="N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H481" s="7" t="n"/>
      <c r="I481" s="7" t="n"/>
      <c r="L481" s="7" t="n"/>
      <c r="M481" s="7" t="n"/>
      <c r="N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H482" s="7" t="n"/>
      <c r="I482" s="7" t="n"/>
      <c r="L482" s="7" t="n"/>
      <c r="M482" s="7" t="n"/>
      <c r="N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H483" s="7" t="n"/>
      <c r="I483" s="7" t="n"/>
      <c r="L483" s="7" t="n"/>
      <c r="M483" s="7" t="n"/>
      <c r="N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H484" s="7" t="n"/>
      <c r="I484" s="7" t="n"/>
      <c r="L484" s="7" t="n"/>
      <c r="M484" s="7" t="n"/>
      <c r="N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H485" s="7" t="n"/>
      <c r="I485" s="7" t="n"/>
      <c r="L485" s="7" t="n"/>
      <c r="M485" s="7" t="n"/>
      <c r="N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H486" s="7" t="n"/>
      <c r="I486" s="7" t="n"/>
      <c r="L486" s="7" t="n"/>
      <c r="M486" s="7" t="n"/>
      <c r="N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H487" s="7" t="n"/>
      <c r="I487" s="7" t="n"/>
      <c r="L487" s="7" t="n"/>
      <c r="M487" s="7" t="n"/>
      <c r="N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H488" s="7" t="n"/>
      <c r="I488" s="7" t="n"/>
      <c r="L488" s="7" t="n"/>
      <c r="M488" s="7" t="n"/>
      <c r="N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H489" s="7" t="n"/>
      <c r="I489" s="7" t="n"/>
      <c r="L489" s="7" t="n"/>
      <c r="M489" s="7" t="n"/>
      <c r="N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H490" s="7" t="n"/>
      <c r="I490" s="7" t="n"/>
      <c r="L490" s="7" t="n"/>
      <c r="M490" s="7" t="n"/>
      <c r="N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H491" s="7" t="n"/>
      <c r="I491" s="7" t="n"/>
      <c r="L491" s="7" t="n"/>
      <c r="M491" s="7" t="n"/>
      <c r="N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H492" s="7" t="n"/>
      <c r="I492" s="7" t="n"/>
      <c r="L492" s="7" t="n"/>
      <c r="M492" s="7" t="n"/>
      <c r="N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H493" s="7" t="n"/>
      <c r="I493" s="7" t="n"/>
      <c r="L493" s="7" t="n"/>
      <c r="M493" s="7" t="n"/>
      <c r="N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H494" s="7" t="n"/>
      <c r="I494" s="7" t="n"/>
      <c r="L494" s="7" t="n"/>
      <c r="M494" s="7" t="n"/>
      <c r="N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H495" s="7" t="n"/>
      <c r="I495" s="7" t="n"/>
      <c r="L495" s="7" t="n"/>
      <c r="M495" s="7" t="n"/>
      <c r="N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H496" s="7" t="n"/>
      <c r="I496" s="7" t="n"/>
      <c r="L496" s="7" t="n"/>
      <c r="M496" s="7" t="n"/>
      <c r="N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H497" s="7" t="n"/>
      <c r="I497" s="7" t="n"/>
      <c r="L497" s="7" t="n"/>
      <c r="M497" s="7" t="n"/>
      <c r="N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H498" s="7" t="n"/>
      <c r="I498" s="7" t="n"/>
      <c r="L498" s="7" t="n"/>
      <c r="M498" s="7" t="n"/>
      <c r="N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H499" s="7" t="n"/>
      <c r="I499" s="7" t="n"/>
      <c r="L499" s="7" t="n"/>
      <c r="M499" s="7" t="n"/>
      <c r="N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H500" s="7" t="n"/>
      <c r="I500" s="7" t="n"/>
      <c r="L500" s="7" t="n"/>
      <c r="M500" s="7" t="n"/>
      <c r="N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H501" s="7" t="n"/>
      <c r="I501" s="7" t="n"/>
      <c r="L501" s="7" t="n"/>
      <c r="M501" s="7" t="n"/>
      <c r="N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H502" s="7" t="n"/>
      <c r="I502" s="7" t="n"/>
      <c r="L502" s="7" t="n"/>
      <c r="M502" s="7" t="n"/>
      <c r="N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H503" s="7" t="n"/>
      <c r="I503" s="7" t="n"/>
      <c r="L503" s="7" t="n"/>
      <c r="M503" s="7" t="n"/>
      <c r="N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H504" s="7" t="n"/>
      <c r="I504" s="7" t="n"/>
      <c r="L504" s="7" t="n"/>
      <c r="M504" s="7" t="n"/>
      <c r="N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H505" s="7" t="n"/>
      <c r="I505" s="7" t="n"/>
      <c r="L505" s="7" t="n"/>
      <c r="M505" s="7" t="n"/>
      <c r="N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H506" s="7" t="n"/>
      <c r="I506" s="7" t="n"/>
      <c r="L506" s="7" t="n"/>
      <c r="M506" s="7" t="n"/>
      <c r="N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H507" s="7" t="n"/>
      <c r="I507" s="7" t="n"/>
      <c r="L507" s="7" t="n"/>
      <c r="M507" s="7" t="n"/>
      <c r="N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H508" s="7" t="n"/>
      <c r="I508" s="7" t="n"/>
      <c r="L508" s="7" t="n"/>
      <c r="M508" s="7" t="n"/>
      <c r="N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H509" s="7" t="n"/>
      <c r="I509" s="7" t="n"/>
      <c r="L509" s="7" t="n"/>
      <c r="M509" s="7" t="n"/>
      <c r="N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H510" s="7" t="n"/>
      <c r="I510" s="7" t="n"/>
      <c r="L510" s="7" t="n"/>
      <c r="M510" s="7" t="n"/>
      <c r="N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H511" s="7" t="n"/>
      <c r="I511" s="7" t="n"/>
      <c r="L511" s="7" t="n"/>
      <c r="M511" s="7" t="n"/>
      <c r="N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H512" s="7" t="n"/>
      <c r="I512" s="7" t="n"/>
      <c r="L512" s="7" t="n"/>
      <c r="M512" s="7" t="n"/>
      <c r="N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H513" s="7" t="n"/>
      <c r="I513" s="7" t="n"/>
      <c r="L513" s="7" t="n"/>
      <c r="M513" s="7" t="n"/>
      <c r="N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H514" s="7" t="n"/>
      <c r="I514" s="7" t="n"/>
      <c r="L514" s="7" t="n"/>
      <c r="M514" s="7" t="n"/>
      <c r="N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H515" s="7" t="n"/>
      <c r="I515" s="7" t="n"/>
      <c r="L515" s="7" t="n"/>
      <c r="M515" s="7" t="n"/>
      <c r="N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H516" s="7" t="n"/>
      <c r="I516" s="7" t="n"/>
      <c r="L516" s="7" t="n"/>
      <c r="M516" s="7" t="n"/>
      <c r="N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H517" s="7" t="n"/>
      <c r="I517" s="7" t="n"/>
      <c r="L517" s="7" t="n"/>
      <c r="M517" s="7" t="n"/>
      <c r="N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H518" s="7" t="n"/>
      <c r="I518" s="7" t="n"/>
      <c r="L518" s="7" t="n"/>
      <c r="M518" s="7" t="n"/>
      <c r="N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H519" s="7" t="n"/>
      <c r="I519" s="7" t="n"/>
      <c r="L519" s="7" t="n"/>
      <c r="M519" s="7" t="n"/>
      <c r="N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H520" s="7" t="n"/>
      <c r="I520" s="7" t="n"/>
      <c r="L520" s="7" t="n"/>
      <c r="M520" s="7" t="n"/>
      <c r="N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H521" s="7" t="n"/>
      <c r="I521" s="7" t="n"/>
      <c r="L521" s="7" t="n"/>
      <c r="M521" s="7" t="n"/>
      <c r="N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H522" s="7" t="n"/>
      <c r="I522" s="7" t="n"/>
      <c r="L522" s="7" t="n"/>
      <c r="M522" s="7" t="n"/>
      <c r="N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H523" s="7" t="n"/>
      <c r="I523" s="7" t="n"/>
      <c r="L523" s="7" t="n"/>
      <c r="M523" s="7" t="n"/>
      <c r="N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H524" s="7" t="n"/>
      <c r="I524" s="7" t="n"/>
      <c r="L524" s="7" t="n"/>
      <c r="M524" s="7" t="n"/>
      <c r="N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H525" s="7" t="n"/>
      <c r="I525" s="7" t="n"/>
      <c r="L525" s="7" t="n"/>
      <c r="M525" s="7" t="n"/>
      <c r="N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H526" s="7" t="n"/>
      <c r="I526" s="7" t="n"/>
      <c r="L526" s="7" t="n"/>
      <c r="M526" s="7" t="n"/>
      <c r="N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H527" s="7" t="n"/>
      <c r="I527" s="7" t="n"/>
      <c r="L527" s="7" t="n"/>
      <c r="M527" s="7" t="n"/>
      <c r="N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H528" s="7" t="n"/>
      <c r="I528" s="7" t="n"/>
      <c r="L528" s="7" t="n"/>
      <c r="M528" s="7" t="n"/>
      <c r="N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H529" s="7" t="n"/>
      <c r="I529" s="7" t="n"/>
      <c r="L529" s="7" t="n"/>
      <c r="M529" s="7" t="n"/>
      <c r="N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H530" s="7" t="n"/>
      <c r="I530" s="7" t="n"/>
      <c r="L530" s="7" t="n"/>
      <c r="M530" s="7" t="n"/>
      <c r="N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H531" s="7" t="n"/>
      <c r="I531" s="7" t="n"/>
      <c r="L531" s="7" t="n"/>
      <c r="M531" s="7" t="n"/>
      <c r="N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H532" s="7" t="n"/>
      <c r="I532" s="7" t="n"/>
      <c r="L532" s="7" t="n"/>
      <c r="M532" s="7" t="n"/>
      <c r="N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H533" s="7" t="n"/>
      <c r="I533" s="7" t="n"/>
      <c r="L533" s="7" t="n"/>
      <c r="M533" s="7" t="n"/>
      <c r="N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H534" s="7" t="n"/>
      <c r="I534" s="7" t="n"/>
      <c r="L534" s="7" t="n"/>
      <c r="M534" s="7" t="n"/>
      <c r="N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H535" s="7" t="n"/>
      <c r="I535" s="7" t="n"/>
      <c r="L535" s="7" t="n"/>
      <c r="M535" s="7" t="n"/>
      <c r="N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H536" s="7" t="n"/>
      <c r="I536" s="7" t="n"/>
      <c r="L536" s="7" t="n"/>
      <c r="M536" s="7" t="n"/>
      <c r="N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H537" s="7" t="n"/>
      <c r="I537" s="7" t="n"/>
      <c r="L537" s="7" t="n"/>
      <c r="M537" s="7" t="n"/>
      <c r="N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H538" s="7" t="n"/>
      <c r="I538" s="7" t="n"/>
      <c r="L538" s="7" t="n"/>
      <c r="M538" s="7" t="n"/>
      <c r="N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H539" s="7" t="n"/>
      <c r="I539" s="7" t="n"/>
      <c r="L539" s="7" t="n"/>
      <c r="M539" s="7" t="n"/>
      <c r="N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H540" s="7" t="n"/>
      <c r="I540" s="7" t="n"/>
      <c r="L540" s="7" t="n"/>
      <c r="M540" s="7" t="n"/>
      <c r="N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H541" s="7" t="n"/>
      <c r="I541" s="7" t="n"/>
      <c r="L541" s="7" t="n"/>
      <c r="M541" s="7" t="n"/>
      <c r="N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H542" s="7" t="n"/>
      <c r="I542" s="7" t="n"/>
      <c r="L542" s="7" t="n"/>
      <c r="M542" s="7" t="n"/>
      <c r="N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H543" s="7" t="n"/>
      <c r="I543" s="7" t="n"/>
      <c r="L543" s="7" t="n"/>
      <c r="M543" s="7" t="n"/>
      <c r="N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H544" s="7" t="n"/>
      <c r="I544" s="7" t="n"/>
      <c r="L544" s="7" t="n"/>
      <c r="M544" s="7" t="n"/>
      <c r="N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H545" s="7" t="n"/>
      <c r="I545" s="7" t="n"/>
      <c r="L545" s="7" t="n"/>
      <c r="M545" s="7" t="n"/>
      <c r="N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H546" s="7" t="n"/>
      <c r="I546" s="7" t="n"/>
      <c r="L546" s="7" t="n"/>
      <c r="M546" s="7" t="n"/>
      <c r="N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H547" s="7" t="n"/>
      <c r="I547" s="7" t="n"/>
      <c r="L547" s="7" t="n"/>
      <c r="M547" s="7" t="n"/>
      <c r="N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H548" s="7" t="n"/>
      <c r="I548" s="7" t="n"/>
      <c r="L548" s="7" t="n"/>
      <c r="M548" s="7" t="n"/>
      <c r="N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H549" s="7" t="n"/>
      <c r="I549" s="7" t="n"/>
      <c r="L549" s="7" t="n"/>
      <c r="M549" s="7" t="n"/>
      <c r="N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H550" s="7" t="n"/>
      <c r="I550" s="7" t="n"/>
      <c r="L550" s="7" t="n"/>
      <c r="M550" s="7" t="n"/>
      <c r="N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H551" s="7" t="n"/>
      <c r="I551" s="7" t="n"/>
      <c r="L551" s="7" t="n"/>
      <c r="M551" s="7" t="n"/>
      <c r="N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H552" s="7" t="n"/>
      <c r="I552" s="7" t="n"/>
      <c r="L552" s="7" t="n"/>
      <c r="M552" s="7" t="n"/>
      <c r="N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H553" s="7" t="n"/>
      <c r="I553" s="7" t="n"/>
      <c r="L553" s="7" t="n"/>
      <c r="M553" s="7" t="n"/>
      <c r="N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H554" s="7" t="n"/>
      <c r="I554" s="7" t="n"/>
      <c r="L554" s="7" t="n"/>
      <c r="M554" s="7" t="n"/>
      <c r="N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H555" s="7" t="n"/>
      <c r="I555" s="7" t="n"/>
      <c r="L555" s="7" t="n"/>
      <c r="M555" s="7" t="n"/>
      <c r="N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H556" s="7" t="n"/>
      <c r="I556" s="7" t="n"/>
      <c r="L556" s="7" t="n"/>
      <c r="M556" s="7" t="n"/>
      <c r="N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H557" s="7" t="n"/>
      <c r="I557" s="7" t="n"/>
      <c r="L557" s="7" t="n"/>
      <c r="M557" s="7" t="n"/>
      <c r="N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H558" s="7" t="n"/>
      <c r="I558" s="7" t="n"/>
      <c r="L558" s="7" t="n"/>
      <c r="M558" s="7" t="n"/>
      <c r="N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H559" s="7" t="n"/>
      <c r="I559" s="7" t="n"/>
      <c r="L559" s="7" t="n"/>
      <c r="M559" s="7" t="n"/>
      <c r="N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H560" s="7" t="n"/>
      <c r="I560" s="7" t="n"/>
      <c r="L560" s="7" t="n"/>
      <c r="M560" s="7" t="n"/>
      <c r="N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H561" s="7" t="n"/>
      <c r="I561" s="7" t="n"/>
      <c r="L561" s="7" t="n"/>
      <c r="M561" s="7" t="n"/>
      <c r="N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H562" s="7" t="n"/>
      <c r="I562" s="7" t="n"/>
      <c r="L562" s="7" t="n"/>
      <c r="M562" s="7" t="n"/>
      <c r="N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H563" s="7" t="n"/>
      <c r="I563" s="7" t="n"/>
      <c r="L563" s="7" t="n"/>
      <c r="M563" s="7" t="n"/>
      <c r="N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H564" s="7" t="n"/>
      <c r="I564" s="7" t="n"/>
      <c r="L564" s="7" t="n"/>
      <c r="M564" s="7" t="n"/>
      <c r="N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H565" s="7" t="n"/>
      <c r="I565" s="7" t="n"/>
      <c r="L565" s="7" t="n"/>
      <c r="M565" s="7" t="n"/>
      <c r="N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H566" s="7" t="n"/>
      <c r="I566" s="7" t="n"/>
      <c r="L566" s="7" t="n"/>
      <c r="M566" s="7" t="n"/>
      <c r="N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H567" s="7" t="n"/>
      <c r="I567" s="7" t="n"/>
      <c r="L567" s="7" t="n"/>
      <c r="M567" s="7" t="n"/>
      <c r="N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H568" s="7" t="n"/>
      <c r="I568" s="7" t="n"/>
      <c r="L568" s="7" t="n"/>
      <c r="M568" s="7" t="n"/>
      <c r="N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H569" s="7" t="n"/>
      <c r="I569" s="7" t="n"/>
      <c r="L569" s="7" t="n"/>
      <c r="M569" s="7" t="n"/>
      <c r="N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H570" s="7" t="n"/>
      <c r="I570" s="7" t="n"/>
      <c r="L570" s="7" t="n"/>
      <c r="M570" s="7" t="n"/>
      <c r="N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H571" s="7" t="n"/>
      <c r="I571" s="7" t="n"/>
      <c r="L571" s="7" t="n"/>
      <c r="M571" s="7" t="n"/>
      <c r="N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H572" s="7" t="n"/>
      <c r="I572" s="7" t="n"/>
      <c r="L572" s="7" t="n"/>
      <c r="M572" s="7" t="n"/>
      <c r="N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H573" s="7" t="n"/>
      <c r="I573" s="7" t="n"/>
      <c r="L573" s="7" t="n"/>
      <c r="M573" s="7" t="n"/>
      <c r="N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H574" s="7" t="n"/>
      <c r="I574" s="7" t="n"/>
      <c r="L574" s="7" t="n"/>
      <c r="M574" s="7" t="n"/>
      <c r="N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H575" s="7" t="n"/>
      <c r="I575" s="7" t="n"/>
      <c r="L575" s="7" t="n"/>
      <c r="M575" s="7" t="n"/>
      <c r="N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H576" s="7" t="n"/>
      <c r="I576" s="7" t="n"/>
      <c r="L576" s="7" t="n"/>
      <c r="M576" s="7" t="n"/>
      <c r="N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H577" s="7" t="n"/>
      <c r="I577" s="7" t="n"/>
      <c r="L577" s="7" t="n"/>
      <c r="M577" s="7" t="n"/>
      <c r="N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H578" s="7" t="n"/>
      <c r="I578" s="7" t="n"/>
      <c r="L578" s="7" t="n"/>
      <c r="M578" s="7" t="n"/>
      <c r="N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H579" s="7" t="n"/>
      <c r="I579" s="7" t="n"/>
      <c r="L579" s="7" t="n"/>
      <c r="M579" s="7" t="n"/>
      <c r="N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H580" s="7" t="n"/>
      <c r="I580" s="7" t="n"/>
      <c r="L580" s="7" t="n"/>
      <c r="M580" s="7" t="n"/>
      <c r="N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H581" s="7" t="n"/>
      <c r="I581" s="7" t="n"/>
      <c r="L581" s="7" t="n"/>
      <c r="M581" s="7" t="n"/>
      <c r="N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H582" s="7" t="n"/>
      <c r="I582" s="7" t="n"/>
      <c r="L582" s="7" t="n"/>
      <c r="M582" s="7" t="n"/>
      <c r="N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H583" s="7" t="n"/>
      <c r="I583" s="7" t="n"/>
      <c r="L583" s="7" t="n"/>
      <c r="M583" s="7" t="n"/>
      <c r="N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H584" s="7" t="n"/>
      <c r="I584" s="7" t="n"/>
      <c r="L584" s="7" t="n"/>
      <c r="M584" s="7" t="n"/>
      <c r="N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H585" s="7" t="n"/>
      <c r="I585" s="7" t="n"/>
      <c r="L585" s="7" t="n"/>
      <c r="M585" s="7" t="n"/>
      <c r="N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H586" s="7" t="n"/>
      <c r="I586" s="7" t="n"/>
      <c r="L586" s="7" t="n"/>
      <c r="M586" s="7" t="n"/>
      <c r="N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H587" s="7" t="n"/>
      <c r="I587" s="7" t="n"/>
      <c r="L587" s="7" t="n"/>
      <c r="M587" s="7" t="n"/>
      <c r="N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H588" s="7" t="n"/>
      <c r="I588" s="7" t="n"/>
      <c r="L588" s="7" t="n"/>
      <c r="M588" s="7" t="n"/>
      <c r="N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H589" s="7" t="n"/>
      <c r="I589" s="7" t="n"/>
      <c r="L589" s="7" t="n"/>
      <c r="M589" s="7" t="n"/>
      <c r="N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H590" s="7" t="n"/>
      <c r="I590" s="7" t="n"/>
      <c r="L590" s="7" t="n"/>
      <c r="M590" s="7" t="n"/>
      <c r="N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H591" s="7" t="n"/>
      <c r="I591" s="7" t="n"/>
      <c r="L591" s="7" t="n"/>
      <c r="M591" s="7" t="n"/>
      <c r="N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H592" s="7" t="n"/>
      <c r="I592" s="7" t="n"/>
      <c r="L592" s="7" t="n"/>
      <c r="M592" s="7" t="n"/>
      <c r="N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H593" s="7" t="n"/>
      <c r="I593" s="7" t="n"/>
      <c r="L593" s="7" t="n"/>
      <c r="M593" s="7" t="n"/>
      <c r="N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H594" s="7" t="n"/>
      <c r="I594" s="7" t="n"/>
      <c r="L594" s="7" t="n"/>
      <c r="M594" s="7" t="n"/>
      <c r="N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H595" s="7" t="n"/>
      <c r="I595" s="7" t="n"/>
      <c r="L595" s="7" t="n"/>
      <c r="M595" s="7" t="n"/>
      <c r="N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H596" s="7" t="n"/>
      <c r="I596" s="7" t="n"/>
      <c r="L596" s="7" t="n"/>
      <c r="M596" s="7" t="n"/>
      <c r="N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H597" s="7" t="n"/>
      <c r="I597" s="7" t="n"/>
      <c r="L597" s="7" t="n"/>
      <c r="M597" s="7" t="n"/>
      <c r="N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H598" s="7" t="n"/>
      <c r="I598" s="7" t="n"/>
      <c r="L598" s="7" t="n"/>
      <c r="M598" s="7" t="n"/>
      <c r="N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H599" s="7" t="n"/>
      <c r="I599" s="7" t="n"/>
      <c r="L599" s="7" t="n"/>
      <c r="M599" s="7" t="n"/>
      <c r="N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H600" s="7" t="n"/>
      <c r="I600" s="7" t="n"/>
      <c r="L600" s="7" t="n"/>
      <c r="M600" s="7" t="n"/>
      <c r="N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H601" s="7" t="n"/>
      <c r="I601" s="7" t="n"/>
      <c r="L601" s="7" t="n"/>
      <c r="M601" s="7" t="n"/>
      <c r="N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H602" s="7" t="n"/>
      <c r="I602" s="7" t="n"/>
      <c r="L602" s="7" t="n"/>
      <c r="M602" s="7" t="n"/>
      <c r="N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H603" s="7" t="n"/>
      <c r="I603" s="7" t="n"/>
      <c r="L603" s="7" t="n"/>
      <c r="M603" s="7" t="n"/>
      <c r="N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H604" s="7" t="n"/>
      <c r="I604" s="7" t="n"/>
      <c r="L604" s="7" t="n"/>
      <c r="M604" s="7" t="n"/>
      <c r="N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H605" s="7" t="n"/>
      <c r="I605" s="7" t="n"/>
      <c r="L605" s="7" t="n"/>
      <c r="M605" s="7" t="n"/>
      <c r="N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H606" s="7" t="n"/>
      <c r="I606" s="7" t="n"/>
      <c r="L606" s="7" t="n"/>
      <c r="M606" s="7" t="n"/>
      <c r="N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H607" s="7" t="n"/>
      <c r="I607" s="7" t="n"/>
      <c r="L607" s="7" t="n"/>
      <c r="M607" s="7" t="n"/>
      <c r="N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H608" s="7" t="n"/>
      <c r="I608" s="7" t="n"/>
      <c r="L608" s="7" t="n"/>
      <c r="M608" s="7" t="n"/>
      <c r="N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H609" s="7" t="n"/>
      <c r="I609" s="7" t="n"/>
      <c r="L609" s="7" t="n"/>
      <c r="M609" s="7" t="n"/>
      <c r="N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H610" s="7" t="n"/>
      <c r="I610" s="7" t="n"/>
      <c r="L610" s="7" t="n"/>
      <c r="M610" s="7" t="n"/>
      <c r="N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H611" s="7" t="n"/>
      <c r="I611" s="7" t="n"/>
      <c r="L611" s="7" t="n"/>
      <c r="M611" s="7" t="n"/>
      <c r="N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H612" s="7" t="n"/>
      <c r="I612" s="7" t="n"/>
      <c r="L612" s="7" t="n"/>
      <c r="M612" s="7" t="n"/>
      <c r="N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H613" s="7" t="n"/>
      <c r="I613" s="7" t="n"/>
      <c r="L613" s="7" t="n"/>
      <c r="M613" s="7" t="n"/>
      <c r="N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H614" s="7" t="n"/>
      <c r="I614" s="7" t="n"/>
      <c r="L614" s="7" t="n"/>
      <c r="M614" s="7" t="n"/>
      <c r="N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H615" s="7" t="n"/>
      <c r="I615" s="7" t="n"/>
      <c r="L615" s="7" t="n"/>
      <c r="M615" s="7" t="n"/>
      <c r="N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H616" s="7" t="n"/>
      <c r="I616" s="7" t="n"/>
      <c r="L616" s="7" t="n"/>
      <c r="M616" s="7" t="n"/>
      <c r="N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H617" s="7" t="n"/>
      <c r="I617" s="7" t="n"/>
      <c r="L617" s="7" t="n"/>
      <c r="M617" s="7" t="n"/>
      <c r="N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H618" s="7" t="n"/>
      <c r="I618" s="7" t="n"/>
      <c r="L618" s="7" t="n"/>
      <c r="M618" s="7" t="n"/>
      <c r="N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H619" s="7" t="n"/>
      <c r="I619" s="7" t="n"/>
      <c r="L619" s="7" t="n"/>
      <c r="M619" s="7" t="n"/>
      <c r="N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H620" s="7" t="n"/>
      <c r="I620" s="7" t="n"/>
      <c r="L620" s="7" t="n"/>
      <c r="M620" s="7" t="n"/>
      <c r="N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H621" s="7" t="n"/>
      <c r="I621" s="7" t="n"/>
      <c r="L621" s="7" t="n"/>
      <c r="M621" s="7" t="n"/>
      <c r="N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H622" s="7" t="n"/>
      <c r="I622" s="7" t="n"/>
      <c r="L622" s="7" t="n"/>
      <c r="M622" s="7" t="n"/>
      <c r="N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H623" s="7" t="n"/>
      <c r="I623" s="7" t="n"/>
      <c r="L623" s="7" t="n"/>
      <c r="M623" s="7" t="n"/>
      <c r="N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H624" s="7" t="n"/>
      <c r="I624" s="7" t="n"/>
      <c r="L624" s="7" t="n"/>
      <c r="M624" s="7" t="n"/>
      <c r="N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H625" s="7" t="n"/>
      <c r="I625" s="7" t="n"/>
      <c r="L625" s="7" t="n"/>
      <c r="M625" s="7" t="n"/>
      <c r="N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H626" s="7" t="n"/>
      <c r="I626" s="7" t="n"/>
      <c r="L626" s="7" t="n"/>
      <c r="M626" s="7" t="n"/>
      <c r="N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H627" s="7" t="n"/>
      <c r="I627" s="7" t="n"/>
      <c r="L627" s="7" t="n"/>
      <c r="M627" s="7" t="n"/>
      <c r="N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H628" s="7" t="n"/>
      <c r="I628" s="7" t="n"/>
      <c r="L628" s="7" t="n"/>
      <c r="M628" s="7" t="n"/>
      <c r="N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H629" s="7" t="n"/>
      <c r="I629" s="7" t="n"/>
      <c r="L629" s="7" t="n"/>
      <c r="M629" s="7" t="n"/>
      <c r="N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H630" s="7" t="n"/>
      <c r="I630" s="7" t="n"/>
      <c r="L630" s="7" t="n"/>
      <c r="M630" s="7" t="n"/>
      <c r="N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H631" s="7" t="n"/>
      <c r="I631" s="7" t="n"/>
      <c r="L631" s="7" t="n"/>
      <c r="M631" s="7" t="n"/>
      <c r="N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H632" s="7" t="n"/>
      <c r="I632" s="7" t="n"/>
      <c r="L632" s="7" t="n"/>
      <c r="M632" s="7" t="n"/>
      <c r="N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H633" s="7" t="n"/>
      <c r="I633" s="7" t="n"/>
      <c r="L633" s="7" t="n"/>
      <c r="M633" s="7" t="n"/>
      <c r="N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H634" s="7" t="n"/>
      <c r="I634" s="7" t="n"/>
      <c r="L634" s="7" t="n"/>
      <c r="M634" s="7" t="n"/>
      <c r="N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H635" s="7" t="n"/>
      <c r="I635" s="7" t="n"/>
      <c r="L635" s="7" t="n"/>
      <c r="M635" s="7" t="n"/>
      <c r="N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H636" s="7" t="n"/>
      <c r="I636" s="7" t="n"/>
      <c r="L636" s="7" t="n"/>
      <c r="M636" s="7" t="n"/>
      <c r="N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H637" s="7" t="n"/>
      <c r="I637" s="7" t="n"/>
      <c r="L637" s="7" t="n"/>
      <c r="M637" s="7" t="n"/>
      <c r="N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H638" s="7" t="n"/>
      <c r="I638" s="7" t="n"/>
      <c r="L638" s="7" t="n"/>
      <c r="M638" s="7" t="n"/>
      <c r="N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H639" s="7" t="n"/>
      <c r="I639" s="7" t="n"/>
      <c r="L639" s="7" t="n"/>
      <c r="M639" s="7" t="n"/>
      <c r="N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H640" s="7" t="n"/>
      <c r="I640" s="7" t="n"/>
      <c r="L640" s="7" t="n"/>
      <c r="M640" s="7" t="n"/>
      <c r="N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H641" s="7" t="n"/>
      <c r="I641" s="7" t="n"/>
      <c r="L641" s="7" t="n"/>
      <c r="M641" s="7" t="n"/>
      <c r="N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H642" s="7" t="n"/>
      <c r="I642" s="7" t="n"/>
      <c r="L642" s="7" t="n"/>
      <c r="M642" s="7" t="n"/>
      <c r="N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H643" s="7" t="n"/>
      <c r="I643" s="7" t="n"/>
      <c r="L643" s="7" t="n"/>
      <c r="M643" s="7" t="n"/>
      <c r="N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H644" s="7" t="n"/>
      <c r="I644" s="7" t="n"/>
      <c r="L644" s="7" t="n"/>
      <c r="M644" s="7" t="n"/>
      <c r="N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H645" s="7" t="n"/>
      <c r="I645" s="7" t="n"/>
      <c r="L645" s="7" t="n"/>
      <c r="M645" s="7" t="n"/>
      <c r="N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H646" s="7" t="n"/>
      <c r="I646" s="7" t="n"/>
      <c r="L646" s="7" t="n"/>
      <c r="M646" s="7" t="n"/>
      <c r="N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H647" s="7" t="n"/>
      <c r="I647" s="7" t="n"/>
      <c r="L647" s="7" t="n"/>
      <c r="M647" s="7" t="n"/>
      <c r="N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H648" s="7" t="n"/>
      <c r="I648" s="7" t="n"/>
      <c r="L648" s="7" t="n"/>
      <c r="M648" s="7" t="n"/>
      <c r="N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H649" s="7" t="n"/>
      <c r="I649" s="7" t="n"/>
      <c r="L649" s="7" t="n"/>
      <c r="M649" s="7" t="n"/>
      <c r="N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H650" s="7" t="n"/>
      <c r="I650" s="7" t="n"/>
      <c r="L650" s="7" t="n"/>
      <c r="M650" s="7" t="n"/>
      <c r="N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H651" s="7" t="n"/>
      <c r="I651" s="7" t="n"/>
      <c r="L651" s="7" t="n"/>
      <c r="M651" s="7" t="n"/>
      <c r="N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H652" s="7" t="n"/>
      <c r="I652" s="7" t="n"/>
      <c r="L652" s="7" t="n"/>
      <c r="M652" s="7" t="n"/>
      <c r="N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H653" s="7" t="n"/>
      <c r="I653" s="7" t="n"/>
      <c r="L653" s="7" t="n"/>
      <c r="M653" s="7" t="n"/>
      <c r="N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H654" s="7" t="n"/>
      <c r="I654" s="7" t="n"/>
      <c r="L654" s="7" t="n"/>
      <c r="M654" s="7" t="n"/>
      <c r="N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H655" s="7" t="n"/>
      <c r="I655" s="7" t="n"/>
      <c r="L655" s="7" t="n"/>
      <c r="M655" s="7" t="n"/>
      <c r="N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H656" s="7" t="n"/>
      <c r="I656" s="7" t="n"/>
      <c r="L656" s="7" t="n"/>
      <c r="M656" s="7" t="n"/>
      <c r="N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H657" s="7" t="n"/>
      <c r="I657" s="7" t="n"/>
      <c r="L657" s="7" t="n"/>
      <c r="M657" s="7" t="n"/>
      <c r="N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H658" s="7" t="n"/>
      <c r="I658" s="7" t="n"/>
      <c r="L658" s="7" t="n"/>
      <c r="M658" s="7" t="n"/>
      <c r="N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H659" s="7" t="n"/>
      <c r="I659" s="7" t="n"/>
      <c r="L659" s="7" t="n"/>
      <c r="M659" s="7" t="n"/>
      <c r="N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H660" s="7" t="n"/>
      <c r="I660" s="7" t="n"/>
      <c r="L660" s="7" t="n"/>
      <c r="M660" s="7" t="n"/>
      <c r="N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H661" s="7" t="n"/>
      <c r="I661" s="7" t="n"/>
      <c r="L661" s="7" t="n"/>
      <c r="M661" s="7" t="n"/>
      <c r="N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H662" s="7" t="n"/>
      <c r="I662" s="7" t="n"/>
      <c r="L662" s="7" t="n"/>
      <c r="M662" s="7" t="n"/>
      <c r="N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H663" s="7" t="n"/>
      <c r="I663" s="7" t="n"/>
      <c r="L663" s="7" t="n"/>
      <c r="M663" s="7" t="n"/>
      <c r="N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H664" s="7" t="n"/>
      <c r="I664" s="7" t="n"/>
      <c r="L664" s="7" t="n"/>
      <c r="M664" s="7" t="n"/>
      <c r="N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H665" s="7" t="n"/>
      <c r="I665" s="7" t="n"/>
      <c r="L665" s="7" t="n"/>
      <c r="M665" s="7" t="n"/>
      <c r="N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H666" s="7" t="n"/>
      <c r="I666" s="7" t="n"/>
      <c r="L666" s="7" t="n"/>
      <c r="M666" s="7" t="n"/>
      <c r="N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H667" s="7" t="n"/>
      <c r="I667" s="7" t="n"/>
      <c r="L667" s="7" t="n"/>
      <c r="M667" s="7" t="n"/>
      <c r="N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H668" s="7" t="n"/>
      <c r="I668" s="7" t="n"/>
      <c r="L668" s="7" t="n"/>
      <c r="M668" s="7" t="n"/>
      <c r="N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H669" s="7" t="n"/>
      <c r="I669" s="7" t="n"/>
      <c r="L669" s="7" t="n"/>
      <c r="M669" s="7" t="n"/>
      <c r="N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H670" s="7" t="n"/>
      <c r="I670" s="7" t="n"/>
      <c r="L670" s="7" t="n"/>
      <c r="M670" s="7" t="n"/>
      <c r="N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H671" s="7" t="n"/>
      <c r="I671" s="7" t="n"/>
      <c r="L671" s="7" t="n"/>
      <c r="M671" s="7" t="n"/>
      <c r="N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H672" s="7" t="n"/>
      <c r="I672" s="7" t="n"/>
      <c r="L672" s="7" t="n"/>
      <c r="M672" s="7" t="n"/>
      <c r="N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H673" s="7" t="n"/>
      <c r="I673" s="7" t="n"/>
      <c r="L673" s="7" t="n"/>
      <c r="M673" s="7" t="n"/>
      <c r="N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H674" s="7" t="n"/>
      <c r="I674" s="7" t="n"/>
      <c r="L674" s="7" t="n"/>
      <c r="M674" s="7" t="n"/>
      <c r="N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H675" s="7" t="n"/>
      <c r="I675" s="7" t="n"/>
      <c r="L675" s="7" t="n"/>
      <c r="M675" s="7" t="n"/>
      <c r="N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H676" s="7" t="n"/>
      <c r="I676" s="7" t="n"/>
      <c r="L676" s="7" t="n"/>
      <c r="M676" s="7" t="n"/>
      <c r="N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H677" s="7" t="n"/>
      <c r="I677" s="7" t="n"/>
      <c r="L677" s="7" t="n"/>
      <c r="M677" s="7" t="n"/>
      <c r="N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H678" s="7" t="n"/>
      <c r="I678" s="7" t="n"/>
      <c r="L678" s="7" t="n"/>
      <c r="M678" s="7" t="n"/>
      <c r="N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H679" s="7" t="n"/>
      <c r="I679" s="7" t="n"/>
      <c r="L679" s="7" t="n"/>
      <c r="M679" s="7" t="n"/>
      <c r="N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H680" s="7" t="n"/>
      <c r="I680" s="7" t="n"/>
      <c r="L680" s="7" t="n"/>
      <c r="M680" s="7" t="n"/>
      <c r="N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H681" s="7" t="n"/>
      <c r="I681" s="7" t="n"/>
      <c r="L681" s="7" t="n"/>
      <c r="M681" s="7" t="n"/>
      <c r="N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H682" s="7" t="n"/>
      <c r="I682" s="7" t="n"/>
      <c r="L682" s="7" t="n"/>
      <c r="M682" s="7" t="n"/>
      <c r="N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H683" s="7" t="n"/>
      <c r="I683" s="7" t="n"/>
      <c r="L683" s="7" t="n"/>
      <c r="M683" s="7" t="n"/>
      <c r="N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H684" s="7" t="n"/>
      <c r="I684" s="7" t="n"/>
      <c r="L684" s="7" t="n"/>
      <c r="M684" s="7" t="n"/>
      <c r="N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H685" s="7" t="n"/>
      <c r="I685" s="7" t="n"/>
      <c r="L685" s="7" t="n"/>
      <c r="M685" s="7" t="n"/>
      <c r="N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H686" s="7" t="n"/>
      <c r="I686" s="7" t="n"/>
      <c r="L686" s="7" t="n"/>
      <c r="M686" s="7" t="n"/>
      <c r="N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H687" s="7" t="n"/>
      <c r="I687" s="7" t="n"/>
      <c r="L687" s="7" t="n"/>
      <c r="M687" s="7" t="n"/>
      <c r="N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H688" s="7" t="n"/>
      <c r="I688" s="7" t="n"/>
      <c r="L688" s="7" t="n"/>
      <c r="M688" s="7" t="n"/>
      <c r="N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H689" s="7" t="n"/>
      <c r="I689" s="7" t="n"/>
      <c r="L689" s="7" t="n"/>
      <c r="M689" s="7" t="n"/>
      <c r="N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H690" s="7" t="n"/>
      <c r="I690" s="7" t="n"/>
      <c r="L690" s="7" t="n"/>
      <c r="M690" s="7" t="n"/>
      <c r="N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H691" s="7" t="n"/>
      <c r="I691" s="7" t="n"/>
      <c r="L691" s="7" t="n"/>
      <c r="M691" s="7" t="n"/>
      <c r="N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H692" s="7" t="n"/>
      <c r="I692" s="7" t="n"/>
      <c r="L692" s="7" t="n"/>
      <c r="M692" s="7" t="n"/>
      <c r="N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H693" s="7" t="n"/>
      <c r="I693" s="7" t="n"/>
      <c r="L693" s="7" t="n"/>
      <c r="M693" s="7" t="n"/>
      <c r="N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H694" s="7" t="n"/>
      <c r="I694" s="7" t="n"/>
      <c r="L694" s="7" t="n"/>
      <c r="M694" s="7" t="n"/>
      <c r="N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H695" s="7" t="n"/>
      <c r="I695" s="7" t="n"/>
      <c r="L695" s="7" t="n"/>
      <c r="M695" s="7" t="n"/>
      <c r="N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H696" s="7" t="n"/>
      <c r="I696" s="7" t="n"/>
      <c r="L696" s="7" t="n"/>
      <c r="M696" s="7" t="n"/>
      <c r="N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H697" s="7" t="n"/>
      <c r="I697" s="7" t="n"/>
      <c r="L697" s="7" t="n"/>
      <c r="M697" s="7" t="n"/>
      <c r="N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H698" s="7" t="n"/>
      <c r="I698" s="7" t="n"/>
      <c r="L698" s="7" t="n"/>
      <c r="M698" s="7" t="n"/>
      <c r="N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H699" s="7" t="n"/>
      <c r="I699" s="7" t="n"/>
      <c r="L699" s="7" t="n"/>
      <c r="M699" s="7" t="n"/>
      <c r="N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H700" s="7" t="n"/>
      <c r="I700" s="7" t="n"/>
      <c r="L700" s="7" t="n"/>
      <c r="M700" s="7" t="n"/>
      <c r="N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H701" s="7" t="n"/>
      <c r="I701" s="7" t="n"/>
      <c r="L701" s="7" t="n"/>
      <c r="M701" s="7" t="n"/>
      <c r="N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H702" s="7" t="n"/>
      <c r="I702" s="7" t="n"/>
      <c r="L702" s="7" t="n"/>
      <c r="M702" s="7" t="n"/>
      <c r="N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H703" s="7" t="n"/>
      <c r="I703" s="7" t="n"/>
      <c r="L703" s="7" t="n"/>
      <c r="M703" s="7" t="n"/>
      <c r="N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H704" s="7" t="n"/>
      <c r="I704" s="7" t="n"/>
      <c r="L704" s="7" t="n"/>
      <c r="M704" s="7" t="n"/>
      <c r="N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H705" s="7" t="n"/>
      <c r="I705" s="7" t="n"/>
      <c r="L705" s="7" t="n"/>
      <c r="M705" s="7" t="n"/>
      <c r="N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H706" s="7" t="n"/>
      <c r="I706" s="7" t="n"/>
      <c r="L706" s="7" t="n"/>
      <c r="M706" s="7" t="n"/>
      <c r="N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H707" s="7" t="n"/>
      <c r="I707" s="7" t="n"/>
      <c r="L707" s="7" t="n"/>
      <c r="M707" s="7" t="n"/>
      <c r="N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H708" s="7" t="n"/>
      <c r="I708" s="7" t="n"/>
      <c r="L708" s="7" t="n"/>
      <c r="M708" s="7" t="n"/>
      <c r="N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H709" s="7" t="n"/>
      <c r="I709" s="7" t="n"/>
      <c r="L709" s="7" t="n"/>
      <c r="M709" s="7" t="n"/>
      <c r="N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H710" s="7" t="n"/>
      <c r="I710" s="7" t="n"/>
      <c r="L710" s="7" t="n"/>
      <c r="M710" s="7" t="n"/>
      <c r="N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H711" s="7" t="n"/>
      <c r="I711" s="7" t="n"/>
      <c r="L711" s="7" t="n"/>
      <c r="M711" s="7" t="n"/>
      <c r="N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H712" s="7" t="n"/>
      <c r="I712" s="7" t="n"/>
      <c r="L712" s="7" t="n"/>
      <c r="M712" s="7" t="n"/>
      <c r="N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H713" s="7" t="n"/>
      <c r="I713" s="7" t="n"/>
      <c r="L713" s="7" t="n"/>
      <c r="M713" s="7" t="n"/>
      <c r="N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H714" s="7" t="n"/>
      <c r="I714" s="7" t="n"/>
      <c r="L714" s="7" t="n"/>
      <c r="M714" s="7" t="n"/>
      <c r="N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H715" s="7" t="n"/>
      <c r="I715" s="7" t="n"/>
      <c r="L715" s="7" t="n"/>
      <c r="M715" s="7" t="n"/>
      <c r="N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H716" s="7" t="n"/>
      <c r="I716" s="7" t="n"/>
      <c r="L716" s="7" t="n"/>
      <c r="M716" s="7" t="n"/>
      <c r="N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H717" s="7" t="n"/>
      <c r="I717" s="7" t="n"/>
      <c r="L717" s="7" t="n"/>
      <c r="M717" s="7" t="n"/>
      <c r="N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H718" s="7" t="n"/>
      <c r="I718" s="7" t="n"/>
      <c r="L718" s="7" t="n"/>
      <c r="M718" s="7" t="n"/>
      <c r="N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H719" s="7" t="n"/>
      <c r="I719" s="7" t="n"/>
      <c r="L719" s="7" t="n"/>
      <c r="M719" s="7" t="n"/>
      <c r="N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H720" s="7" t="n"/>
      <c r="I720" s="7" t="n"/>
      <c r="L720" s="7" t="n"/>
      <c r="M720" s="7" t="n"/>
      <c r="N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H721" s="7" t="n"/>
      <c r="I721" s="7" t="n"/>
      <c r="L721" s="7" t="n"/>
      <c r="M721" s="7" t="n"/>
      <c r="N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H722" s="7" t="n"/>
      <c r="I722" s="7" t="n"/>
      <c r="L722" s="7" t="n"/>
      <c r="M722" s="7" t="n"/>
      <c r="N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H723" s="7" t="n"/>
      <c r="I723" s="7" t="n"/>
      <c r="L723" s="7" t="n"/>
      <c r="M723" s="7" t="n"/>
      <c r="N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H724" s="7" t="n"/>
      <c r="I724" s="7" t="n"/>
      <c r="L724" s="7" t="n"/>
      <c r="M724" s="7" t="n"/>
      <c r="N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H725" s="7" t="n"/>
      <c r="I725" s="7" t="n"/>
      <c r="L725" s="7" t="n"/>
      <c r="M725" s="7" t="n"/>
      <c r="N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H726" s="7" t="n"/>
      <c r="I726" s="7" t="n"/>
      <c r="L726" s="7" t="n"/>
      <c r="M726" s="7" t="n"/>
      <c r="N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H727" s="7" t="n"/>
      <c r="I727" s="7" t="n"/>
      <c r="L727" s="7" t="n"/>
      <c r="M727" s="7" t="n"/>
      <c r="N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H728" s="7" t="n"/>
      <c r="I728" s="7" t="n"/>
      <c r="L728" s="7" t="n"/>
      <c r="M728" s="7" t="n"/>
      <c r="N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H729" s="7" t="n"/>
      <c r="I729" s="7" t="n"/>
      <c r="L729" s="7" t="n"/>
      <c r="M729" s="7" t="n"/>
      <c r="N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H730" s="7" t="n"/>
      <c r="I730" s="7" t="n"/>
      <c r="L730" s="7" t="n"/>
      <c r="M730" s="7" t="n"/>
      <c r="N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H731" s="7" t="n"/>
      <c r="I731" s="7" t="n"/>
      <c r="L731" s="7" t="n"/>
      <c r="M731" s="7" t="n"/>
      <c r="N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H732" s="7" t="n"/>
      <c r="I732" s="7" t="n"/>
      <c r="L732" s="7" t="n"/>
      <c r="M732" s="7" t="n"/>
      <c r="N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H733" s="7" t="n"/>
      <c r="I733" s="7" t="n"/>
      <c r="L733" s="7" t="n"/>
      <c r="M733" s="7" t="n"/>
      <c r="N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H734" s="7" t="n"/>
      <c r="I734" s="7" t="n"/>
      <c r="L734" s="7" t="n"/>
      <c r="M734" s="7" t="n"/>
      <c r="N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H735" s="7" t="n"/>
      <c r="I735" s="7" t="n"/>
      <c r="L735" s="7" t="n"/>
      <c r="M735" s="7" t="n"/>
      <c r="N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H736" s="7" t="n"/>
      <c r="I736" s="7" t="n"/>
      <c r="L736" s="7" t="n"/>
      <c r="M736" s="7" t="n"/>
      <c r="N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H737" s="7" t="n"/>
      <c r="I737" s="7" t="n"/>
      <c r="L737" s="7" t="n"/>
      <c r="M737" s="7" t="n"/>
      <c r="N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H738" s="7" t="n"/>
      <c r="I738" s="7" t="n"/>
      <c r="L738" s="7" t="n"/>
      <c r="M738" s="7" t="n"/>
      <c r="N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H739" s="7" t="n"/>
      <c r="I739" s="7" t="n"/>
      <c r="L739" s="7" t="n"/>
      <c r="M739" s="7" t="n"/>
      <c r="N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H740" s="7" t="n"/>
      <c r="I740" s="7" t="n"/>
      <c r="L740" s="7" t="n"/>
      <c r="M740" s="7" t="n"/>
      <c r="N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H741" s="7" t="n"/>
      <c r="I741" s="7" t="n"/>
      <c r="L741" s="7" t="n"/>
      <c r="M741" s="7" t="n"/>
      <c r="N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H742" s="7" t="n"/>
      <c r="I742" s="7" t="n"/>
      <c r="L742" s="7" t="n"/>
      <c r="M742" s="7" t="n"/>
      <c r="N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H743" s="7" t="n"/>
      <c r="I743" s="7" t="n"/>
      <c r="L743" s="7" t="n"/>
      <c r="M743" s="7" t="n"/>
      <c r="N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H744" s="7" t="n"/>
      <c r="I744" s="7" t="n"/>
      <c r="L744" s="7" t="n"/>
      <c r="M744" s="7" t="n"/>
      <c r="N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H745" s="7" t="n"/>
      <c r="I745" s="7" t="n"/>
      <c r="L745" s="7" t="n"/>
      <c r="M745" s="7" t="n"/>
      <c r="N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H746" s="7" t="n"/>
      <c r="I746" s="7" t="n"/>
      <c r="L746" s="7" t="n"/>
      <c r="M746" s="7" t="n"/>
      <c r="N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H747" s="7" t="n"/>
      <c r="I747" s="7" t="n"/>
      <c r="L747" s="7" t="n"/>
      <c r="M747" s="7" t="n"/>
      <c r="N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H748" s="7" t="n"/>
      <c r="I748" s="7" t="n"/>
      <c r="L748" s="7" t="n"/>
      <c r="M748" s="7" t="n"/>
      <c r="N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H749" s="7" t="n"/>
      <c r="I749" s="7" t="n"/>
      <c r="L749" s="7" t="n"/>
      <c r="M749" s="7" t="n"/>
      <c r="N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H750" s="7" t="n"/>
      <c r="I750" s="7" t="n"/>
      <c r="L750" s="7" t="n"/>
      <c r="M750" s="7" t="n"/>
      <c r="N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H751" s="7" t="n"/>
      <c r="I751" s="7" t="n"/>
      <c r="L751" s="7" t="n"/>
      <c r="M751" s="7" t="n"/>
      <c r="N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H752" s="7" t="n"/>
      <c r="I752" s="7" t="n"/>
      <c r="L752" s="7" t="n"/>
      <c r="M752" s="7" t="n"/>
      <c r="N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H753" s="7" t="n"/>
      <c r="I753" s="7" t="n"/>
      <c r="L753" s="7" t="n"/>
      <c r="M753" s="7" t="n"/>
      <c r="N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H754" s="7" t="n"/>
      <c r="I754" s="7" t="n"/>
      <c r="L754" s="7" t="n"/>
      <c r="M754" s="7" t="n"/>
      <c r="N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H755" s="7" t="n"/>
      <c r="I755" s="7" t="n"/>
      <c r="L755" s="7" t="n"/>
      <c r="M755" s="7" t="n"/>
      <c r="N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H756" s="7" t="n"/>
      <c r="I756" s="7" t="n"/>
      <c r="L756" s="7" t="n"/>
      <c r="M756" s="7" t="n"/>
      <c r="N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H757" s="7" t="n"/>
      <c r="I757" s="7" t="n"/>
      <c r="L757" s="7" t="n"/>
      <c r="M757" s="7" t="n"/>
      <c r="N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H758" s="7" t="n"/>
      <c r="I758" s="7" t="n"/>
      <c r="L758" s="7" t="n"/>
      <c r="M758" s="7" t="n"/>
      <c r="N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H759" s="7" t="n"/>
      <c r="I759" s="7" t="n"/>
      <c r="L759" s="7" t="n"/>
      <c r="M759" s="7" t="n"/>
      <c r="N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H760" s="7" t="n"/>
      <c r="I760" s="7" t="n"/>
      <c r="L760" s="7" t="n"/>
      <c r="M760" s="7" t="n"/>
      <c r="N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H761" s="7" t="n"/>
      <c r="I761" s="7" t="n"/>
      <c r="L761" s="7" t="n"/>
      <c r="M761" s="7" t="n"/>
      <c r="N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H762" s="7" t="n"/>
      <c r="I762" s="7" t="n"/>
      <c r="L762" s="7" t="n"/>
      <c r="M762" s="7" t="n"/>
      <c r="N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H763" s="7" t="n"/>
      <c r="I763" s="7" t="n"/>
      <c r="L763" s="7" t="n"/>
      <c r="M763" s="7" t="n"/>
      <c r="N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H764" s="7" t="n"/>
      <c r="I764" s="7" t="n"/>
      <c r="L764" s="7" t="n"/>
      <c r="M764" s="7" t="n"/>
      <c r="N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H765" s="7" t="n"/>
      <c r="I765" s="7" t="n"/>
      <c r="L765" s="7" t="n"/>
      <c r="M765" s="7" t="n"/>
      <c r="N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H766" s="7" t="n"/>
      <c r="I766" s="7" t="n"/>
      <c r="L766" s="7" t="n"/>
      <c r="M766" s="7" t="n"/>
      <c r="N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H767" s="7" t="n"/>
      <c r="I767" s="7" t="n"/>
      <c r="L767" s="7" t="n"/>
      <c r="M767" s="7" t="n"/>
      <c r="N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H768" s="7" t="n"/>
      <c r="I768" s="7" t="n"/>
      <c r="L768" s="7" t="n"/>
      <c r="M768" s="7" t="n"/>
      <c r="N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H769" s="7" t="n"/>
      <c r="I769" s="7" t="n"/>
      <c r="L769" s="7" t="n"/>
      <c r="M769" s="7" t="n"/>
      <c r="N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H770" s="7" t="n"/>
      <c r="I770" s="7" t="n"/>
      <c r="L770" s="7" t="n"/>
      <c r="M770" s="7" t="n"/>
      <c r="N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H771" s="7" t="n"/>
      <c r="I771" s="7" t="n"/>
      <c r="L771" s="7" t="n"/>
      <c r="M771" s="7" t="n"/>
      <c r="N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H772" s="7" t="n"/>
      <c r="I772" s="7" t="n"/>
      <c r="L772" s="7" t="n"/>
      <c r="M772" s="7" t="n"/>
      <c r="N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H773" s="7" t="n"/>
      <c r="I773" s="7" t="n"/>
      <c r="L773" s="7" t="n"/>
      <c r="M773" s="7" t="n"/>
      <c r="N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H774" s="7" t="n"/>
      <c r="I774" s="7" t="n"/>
      <c r="L774" s="7" t="n"/>
      <c r="M774" s="7" t="n"/>
      <c r="N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H775" s="7" t="n"/>
      <c r="I775" s="7" t="n"/>
      <c r="L775" s="7" t="n"/>
      <c r="M775" s="7" t="n"/>
      <c r="N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H776" s="7" t="n"/>
      <c r="I776" s="7" t="n"/>
      <c r="L776" s="7" t="n"/>
      <c r="M776" s="7" t="n"/>
      <c r="N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H777" s="7" t="n"/>
      <c r="I777" s="7" t="n"/>
      <c r="L777" s="7" t="n"/>
      <c r="M777" s="7" t="n"/>
      <c r="N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H778" s="7" t="n"/>
      <c r="I778" s="7" t="n"/>
      <c r="L778" s="7" t="n"/>
      <c r="M778" s="7" t="n"/>
      <c r="N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H779" s="7" t="n"/>
      <c r="I779" s="7" t="n"/>
      <c r="L779" s="7" t="n"/>
      <c r="M779" s="7" t="n"/>
      <c r="N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H780" s="7" t="n"/>
      <c r="I780" s="7" t="n"/>
      <c r="L780" s="7" t="n"/>
      <c r="M780" s="7" t="n"/>
      <c r="N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H781" s="7" t="n"/>
      <c r="I781" s="7" t="n"/>
      <c r="L781" s="7" t="n"/>
      <c r="M781" s="7" t="n"/>
      <c r="N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H782" s="7" t="n"/>
      <c r="I782" s="7" t="n"/>
      <c r="L782" s="7" t="n"/>
      <c r="M782" s="7" t="n"/>
      <c r="N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H783" s="7" t="n"/>
      <c r="I783" s="7" t="n"/>
      <c r="L783" s="7" t="n"/>
      <c r="M783" s="7" t="n"/>
      <c r="N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H784" s="7" t="n"/>
      <c r="I784" s="7" t="n"/>
      <c r="L784" s="7" t="n"/>
      <c r="M784" s="7" t="n"/>
      <c r="N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H785" s="7" t="n"/>
      <c r="I785" s="7" t="n"/>
      <c r="L785" s="7" t="n"/>
      <c r="M785" s="7" t="n"/>
      <c r="N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H786" s="7" t="n"/>
      <c r="I786" s="7" t="n"/>
      <c r="L786" s="7" t="n"/>
      <c r="M786" s="7" t="n"/>
      <c r="N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H787" s="7" t="n"/>
      <c r="I787" s="7" t="n"/>
      <c r="L787" s="7" t="n"/>
      <c r="M787" s="7" t="n"/>
      <c r="N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H788" s="7" t="n"/>
      <c r="I788" s="7" t="n"/>
      <c r="L788" s="7" t="n"/>
      <c r="M788" s="7" t="n"/>
      <c r="N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H789" s="7" t="n"/>
      <c r="I789" s="7" t="n"/>
      <c r="L789" s="7" t="n"/>
      <c r="M789" s="7" t="n"/>
      <c r="N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H790" s="7" t="n"/>
      <c r="I790" s="7" t="n"/>
      <c r="L790" s="7" t="n"/>
      <c r="M790" s="7" t="n"/>
      <c r="N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H791" s="7" t="n"/>
      <c r="I791" s="7" t="n"/>
      <c r="L791" s="7" t="n"/>
      <c r="M791" s="7" t="n"/>
      <c r="N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H792" s="7" t="n"/>
      <c r="I792" s="7" t="n"/>
      <c r="L792" s="7" t="n"/>
      <c r="M792" s="7" t="n"/>
      <c r="N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H793" s="7" t="n"/>
      <c r="I793" s="7" t="n"/>
      <c r="L793" s="7" t="n"/>
      <c r="M793" s="7" t="n"/>
      <c r="N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H794" s="7" t="n"/>
      <c r="I794" s="7" t="n"/>
      <c r="L794" s="7" t="n"/>
      <c r="M794" s="7" t="n"/>
      <c r="N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H795" s="7" t="n"/>
      <c r="I795" s="7" t="n"/>
      <c r="L795" s="7" t="n"/>
      <c r="M795" s="7" t="n"/>
      <c r="N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H796" s="7" t="n"/>
      <c r="I796" s="7" t="n"/>
      <c r="L796" s="7" t="n"/>
      <c r="M796" s="7" t="n"/>
      <c r="N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H797" s="7" t="n"/>
      <c r="I797" s="7" t="n"/>
      <c r="L797" s="7" t="n"/>
      <c r="M797" s="7" t="n"/>
      <c r="N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H798" s="7" t="n"/>
      <c r="I798" s="7" t="n"/>
      <c r="L798" s="7" t="n"/>
      <c r="M798" s="7" t="n"/>
      <c r="N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H799" s="7" t="n"/>
      <c r="I799" s="7" t="n"/>
      <c r="L799" s="7" t="n"/>
      <c r="M799" s="7" t="n"/>
      <c r="N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H800" s="7" t="n"/>
      <c r="I800" s="7" t="n"/>
      <c r="L800" s="7" t="n"/>
      <c r="M800" s="7" t="n"/>
      <c r="N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H801" s="7" t="n"/>
      <c r="I801" s="7" t="n"/>
      <c r="L801" s="7" t="n"/>
      <c r="M801" s="7" t="n"/>
      <c r="N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H802" s="7" t="n"/>
      <c r="I802" s="7" t="n"/>
      <c r="L802" s="7" t="n"/>
      <c r="M802" s="7" t="n"/>
      <c r="N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H803" s="7" t="n"/>
      <c r="I803" s="7" t="n"/>
      <c r="L803" s="7" t="n"/>
      <c r="M803" s="7" t="n"/>
      <c r="N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H804" s="7" t="n"/>
      <c r="I804" s="7" t="n"/>
      <c r="L804" s="7" t="n"/>
      <c r="M804" s="7" t="n"/>
      <c r="N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H805" s="7" t="n"/>
      <c r="I805" s="7" t="n"/>
      <c r="L805" s="7" t="n"/>
      <c r="M805" s="7" t="n"/>
      <c r="N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H806" s="7" t="n"/>
      <c r="I806" s="7" t="n"/>
      <c r="L806" s="7" t="n"/>
      <c r="M806" s="7" t="n"/>
      <c r="N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H807" s="7" t="n"/>
      <c r="I807" s="7" t="n"/>
      <c r="L807" s="7" t="n"/>
      <c r="M807" s="7" t="n"/>
      <c r="N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H808" s="7" t="n"/>
      <c r="I808" s="7" t="n"/>
      <c r="L808" s="7" t="n"/>
      <c r="M808" s="7" t="n"/>
      <c r="N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H809" s="7" t="n"/>
      <c r="I809" s="7" t="n"/>
      <c r="L809" s="7" t="n"/>
      <c r="M809" s="7" t="n"/>
      <c r="N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H810" s="7" t="n"/>
      <c r="I810" s="7" t="n"/>
      <c r="L810" s="7" t="n"/>
      <c r="M810" s="7" t="n"/>
      <c r="N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H811" s="7" t="n"/>
      <c r="I811" s="7" t="n"/>
      <c r="L811" s="7" t="n"/>
      <c r="M811" s="7" t="n"/>
      <c r="N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H812" s="7" t="n"/>
      <c r="I812" s="7" t="n"/>
      <c r="L812" s="7" t="n"/>
      <c r="M812" s="7" t="n"/>
      <c r="N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H813" s="7" t="n"/>
      <c r="I813" s="7" t="n"/>
      <c r="L813" s="7" t="n"/>
      <c r="M813" s="7" t="n"/>
      <c r="N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H814" s="7" t="n"/>
      <c r="I814" s="7" t="n"/>
      <c r="L814" s="7" t="n"/>
      <c r="M814" s="7" t="n"/>
      <c r="N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H815" s="7" t="n"/>
      <c r="I815" s="7" t="n"/>
      <c r="L815" s="7" t="n"/>
      <c r="M815" s="7" t="n"/>
      <c r="N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H816" s="7" t="n"/>
      <c r="I816" s="7" t="n"/>
      <c r="L816" s="7" t="n"/>
      <c r="M816" s="7" t="n"/>
      <c r="N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H817" s="7" t="n"/>
      <c r="I817" s="7" t="n"/>
      <c r="L817" s="7" t="n"/>
      <c r="M817" s="7" t="n"/>
      <c r="N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H818" s="7" t="n"/>
      <c r="I818" s="7" t="n"/>
      <c r="L818" s="7" t="n"/>
      <c r="M818" s="7" t="n"/>
      <c r="N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H819" s="7" t="n"/>
      <c r="I819" s="7" t="n"/>
      <c r="L819" s="7" t="n"/>
      <c r="M819" s="7" t="n"/>
      <c r="N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H820" s="7" t="n"/>
      <c r="I820" s="7" t="n"/>
      <c r="L820" s="7" t="n"/>
      <c r="M820" s="7" t="n"/>
      <c r="N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H821" s="7" t="n"/>
      <c r="I821" s="7" t="n"/>
      <c r="L821" s="7" t="n"/>
      <c r="M821" s="7" t="n"/>
      <c r="N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H822" s="7" t="n"/>
      <c r="I822" s="7" t="n"/>
      <c r="L822" s="7" t="n"/>
      <c r="M822" s="7" t="n"/>
      <c r="N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H823" s="7" t="n"/>
      <c r="I823" s="7" t="n"/>
      <c r="L823" s="7" t="n"/>
      <c r="M823" s="7" t="n"/>
      <c r="N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H824" s="7" t="n"/>
      <c r="I824" s="7" t="n"/>
      <c r="L824" s="7" t="n"/>
      <c r="M824" s="7" t="n"/>
      <c r="N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H825" s="7" t="n"/>
      <c r="I825" s="7" t="n"/>
      <c r="L825" s="7" t="n"/>
      <c r="M825" s="7" t="n"/>
      <c r="N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H826" s="7" t="n"/>
      <c r="I826" s="7" t="n"/>
      <c r="L826" s="7" t="n"/>
      <c r="M826" s="7" t="n"/>
      <c r="N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H827" s="7" t="n"/>
      <c r="I827" s="7" t="n"/>
      <c r="L827" s="7" t="n"/>
      <c r="M827" s="7" t="n"/>
      <c r="N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H828" s="7" t="n"/>
      <c r="I828" s="7" t="n"/>
      <c r="L828" s="7" t="n"/>
      <c r="M828" s="7" t="n"/>
      <c r="N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H829" s="7" t="n"/>
      <c r="I829" s="7" t="n"/>
      <c r="L829" s="7" t="n"/>
      <c r="M829" s="7" t="n"/>
      <c r="N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H830" s="7" t="n"/>
      <c r="I830" s="7" t="n"/>
      <c r="L830" s="7" t="n"/>
      <c r="M830" s="7" t="n"/>
      <c r="N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H831" s="7" t="n"/>
      <c r="I831" s="7" t="n"/>
      <c r="L831" s="7" t="n"/>
      <c r="M831" s="7" t="n"/>
      <c r="N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H832" s="7" t="n"/>
      <c r="I832" s="7" t="n"/>
      <c r="L832" s="7" t="n"/>
      <c r="M832" s="7" t="n"/>
      <c r="N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H833" s="7" t="n"/>
      <c r="I833" s="7" t="n"/>
      <c r="L833" s="7" t="n"/>
      <c r="M833" s="7" t="n"/>
      <c r="N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H834" s="7" t="n"/>
      <c r="I834" s="7" t="n"/>
      <c r="L834" s="7" t="n"/>
      <c r="M834" s="7" t="n"/>
      <c r="N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H835" s="7" t="n"/>
      <c r="I835" s="7" t="n"/>
      <c r="L835" s="7" t="n"/>
      <c r="M835" s="7" t="n"/>
      <c r="N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H836" s="7" t="n"/>
      <c r="I836" s="7" t="n"/>
      <c r="L836" s="7" t="n"/>
      <c r="M836" s="7" t="n"/>
      <c r="N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H837" s="7" t="n"/>
      <c r="I837" s="7" t="n"/>
      <c r="L837" s="7" t="n"/>
      <c r="M837" s="7" t="n"/>
      <c r="N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H838" s="7" t="n"/>
      <c r="I838" s="7" t="n"/>
      <c r="L838" s="7" t="n"/>
      <c r="M838" s="7" t="n"/>
      <c r="N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H839" s="7" t="n"/>
      <c r="I839" s="7" t="n"/>
      <c r="L839" s="7" t="n"/>
      <c r="M839" s="7" t="n"/>
      <c r="N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H840" s="7" t="n"/>
      <c r="I840" s="7" t="n"/>
      <c r="L840" s="7" t="n"/>
      <c r="M840" s="7" t="n"/>
      <c r="N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H841" s="7" t="n"/>
      <c r="I841" s="7" t="n"/>
      <c r="L841" s="7" t="n"/>
      <c r="M841" s="7" t="n"/>
      <c r="N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H842" s="7" t="n"/>
      <c r="I842" s="7" t="n"/>
      <c r="L842" s="7" t="n"/>
      <c r="M842" s="7" t="n"/>
      <c r="N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H843" s="7" t="n"/>
      <c r="I843" s="7" t="n"/>
      <c r="L843" s="7" t="n"/>
      <c r="M843" s="7" t="n"/>
      <c r="N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H844" s="7" t="n"/>
      <c r="I844" s="7" t="n"/>
      <c r="L844" s="7" t="n"/>
      <c r="M844" s="7" t="n"/>
      <c r="N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H845" s="7" t="n"/>
      <c r="I845" s="7" t="n"/>
      <c r="L845" s="7" t="n"/>
      <c r="M845" s="7" t="n"/>
      <c r="N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H846" s="7" t="n"/>
      <c r="I846" s="7" t="n"/>
      <c r="L846" s="7" t="n"/>
      <c r="M846" s="7" t="n"/>
      <c r="N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H847" s="7" t="n"/>
      <c r="I847" s="7" t="n"/>
      <c r="L847" s="7" t="n"/>
      <c r="M847" s="7" t="n"/>
      <c r="N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H848" s="7" t="n"/>
      <c r="I848" s="7" t="n"/>
      <c r="L848" s="7" t="n"/>
      <c r="M848" s="7" t="n"/>
      <c r="N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H849" s="7" t="n"/>
      <c r="I849" s="7" t="n"/>
      <c r="L849" s="7" t="n"/>
      <c r="M849" s="7" t="n"/>
      <c r="N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H850" s="7" t="n"/>
      <c r="I850" s="7" t="n"/>
      <c r="L850" s="7" t="n"/>
      <c r="M850" s="7" t="n"/>
      <c r="N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H851" s="7" t="n"/>
      <c r="I851" s="7" t="n"/>
      <c r="L851" s="7" t="n"/>
      <c r="M851" s="7" t="n"/>
      <c r="N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H852" s="7" t="n"/>
      <c r="I852" s="7" t="n"/>
      <c r="L852" s="7" t="n"/>
      <c r="M852" s="7" t="n"/>
      <c r="N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H853" s="7" t="n"/>
      <c r="I853" s="7" t="n"/>
      <c r="L853" s="7" t="n"/>
      <c r="M853" s="7" t="n"/>
      <c r="N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H854" s="7" t="n"/>
      <c r="I854" s="7" t="n"/>
      <c r="L854" s="7" t="n"/>
      <c r="M854" s="7" t="n"/>
      <c r="N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H855" s="7" t="n"/>
      <c r="I855" s="7" t="n"/>
      <c r="L855" s="7" t="n"/>
      <c r="M855" s="7" t="n"/>
      <c r="N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H856" s="7" t="n"/>
      <c r="I856" s="7" t="n"/>
      <c r="L856" s="7" t="n"/>
      <c r="M856" s="7" t="n"/>
      <c r="N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H857" s="7" t="n"/>
      <c r="I857" s="7" t="n"/>
      <c r="L857" s="7" t="n"/>
      <c r="M857" s="7" t="n"/>
      <c r="N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H858" s="7" t="n"/>
      <c r="I858" s="7" t="n"/>
      <c r="L858" s="7" t="n"/>
      <c r="M858" s="7" t="n"/>
      <c r="N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H859" s="7" t="n"/>
      <c r="I859" s="7" t="n"/>
      <c r="L859" s="7" t="n"/>
      <c r="M859" s="7" t="n"/>
      <c r="N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H860" s="7" t="n"/>
      <c r="I860" s="7" t="n"/>
      <c r="L860" s="7" t="n"/>
      <c r="M860" s="7" t="n"/>
      <c r="N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H861" s="7" t="n"/>
      <c r="I861" s="7" t="n"/>
      <c r="L861" s="7" t="n"/>
      <c r="M861" s="7" t="n"/>
      <c r="N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H862" s="7" t="n"/>
      <c r="I862" s="7" t="n"/>
      <c r="L862" s="7" t="n"/>
      <c r="M862" s="7" t="n"/>
      <c r="N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H863" s="7" t="n"/>
      <c r="I863" s="7" t="n"/>
      <c r="L863" s="7" t="n"/>
      <c r="M863" s="7" t="n"/>
      <c r="N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H864" s="7" t="n"/>
      <c r="I864" s="7" t="n"/>
      <c r="L864" s="7" t="n"/>
      <c r="M864" s="7" t="n"/>
      <c r="N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H865" s="7" t="n"/>
      <c r="I865" s="7" t="n"/>
      <c r="L865" s="7" t="n"/>
      <c r="M865" s="7" t="n"/>
      <c r="N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H866" s="7" t="n"/>
      <c r="I866" s="7" t="n"/>
      <c r="L866" s="7" t="n"/>
      <c r="M866" s="7" t="n"/>
      <c r="N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H867" s="7" t="n"/>
      <c r="I867" s="7" t="n"/>
      <c r="L867" s="7" t="n"/>
      <c r="M867" s="7" t="n"/>
      <c r="N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H868" s="7" t="n"/>
      <c r="I868" s="7" t="n"/>
      <c r="L868" s="7" t="n"/>
      <c r="M868" s="7" t="n"/>
      <c r="N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H869" s="7" t="n"/>
      <c r="I869" s="7" t="n"/>
      <c r="L869" s="7" t="n"/>
      <c r="M869" s="7" t="n"/>
      <c r="N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H870" s="7" t="n"/>
      <c r="I870" s="7" t="n"/>
      <c r="L870" s="7" t="n"/>
      <c r="M870" s="7" t="n"/>
      <c r="N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H871" s="7" t="n"/>
      <c r="I871" s="7" t="n"/>
      <c r="L871" s="7" t="n"/>
      <c r="M871" s="7" t="n"/>
      <c r="N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H872" s="7" t="n"/>
      <c r="I872" s="7" t="n"/>
      <c r="L872" s="7" t="n"/>
      <c r="M872" s="7" t="n"/>
      <c r="N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H873" s="7" t="n"/>
      <c r="I873" s="7" t="n"/>
      <c r="L873" s="7" t="n"/>
      <c r="M873" s="7" t="n"/>
      <c r="N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H874" s="7" t="n"/>
      <c r="I874" s="7" t="n"/>
      <c r="L874" s="7" t="n"/>
      <c r="M874" s="7" t="n"/>
      <c r="N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H875" s="7" t="n"/>
      <c r="I875" s="7" t="n"/>
      <c r="L875" s="7" t="n"/>
      <c r="M875" s="7" t="n"/>
      <c r="N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H876" s="7" t="n"/>
      <c r="I876" s="7" t="n"/>
      <c r="L876" s="7" t="n"/>
      <c r="M876" s="7" t="n"/>
      <c r="N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H877" s="7" t="n"/>
      <c r="I877" s="7" t="n"/>
      <c r="L877" s="7" t="n"/>
      <c r="M877" s="7" t="n"/>
      <c r="N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H878" s="7" t="n"/>
      <c r="I878" s="7" t="n"/>
      <c r="L878" s="7" t="n"/>
      <c r="M878" s="7" t="n"/>
      <c r="N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H879" s="7" t="n"/>
      <c r="I879" s="7" t="n"/>
      <c r="L879" s="7" t="n"/>
      <c r="M879" s="7" t="n"/>
      <c r="N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H880" s="7" t="n"/>
      <c r="I880" s="7" t="n"/>
      <c r="L880" s="7" t="n"/>
      <c r="M880" s="7" t="n"/>
      <c r="N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H881" s="7" t="n"/>
      <c r="I881" s="7" t="n"/>
      <c r="L881" s="7" t="n"/>
      <c r="M881" s="7" t="n"/>
      <c r="N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H882" s="7" t="n"/>
      <c r="I882" s="7" t="n"/>
      <c r="L882" s="7" t="n"/>
      <c r="M882" s="7" t="n"/>
      <c r="N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H883" s="7" t="n"/>
      <c r="I883" s="7" t="n"/>
      <c r="L883" s="7" t="n"/>
      <c r="M883" s="7" t="n"/>
      <c r="N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H884" s="7" t="n"/>
      <c r="I884" s="7" t="n"/>
      <c r="L884" s="7" t="n"/>
      <c r="M884" s="7" t="n"/>
      <c r="N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H885" s="7" t="n"/>
      <c r="I885" s="7" t="n"/>
      <c r="L885" s="7" t="n"/>
      <c r="M885" s="7" t="n"/>
      <c r="N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H886" s="7" t="n"/>
      <c r="I886" s="7" t="n"/>
      <c r="L886" s="7" t="n"/>
      <c r="M886" s="7" t="n"/>
      <c r="N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H887" s="7" t="n"/>
      <c r="I887" s="7" t="n"/>
      <c r="L887" s="7" t="n"/>
      <c r="M887" s="7" t="n"/>
      <c r="N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H888" s="7" t="n"/>
      <c r="I888" s="7" t="n"/>
      <c r="L888" s="7" t="n"/>
      <c r="M888" s="7" t="n"/>
      <c r="N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H889" s="7" t="n"/>
      <c r="I889" s="7" t="n"/>
      <c r="L889" s="7" t="n"/>
      <c r="M889" s="7" t="n"/>
      <c r="N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H890" s="7" t="n"/>
      <c r="I890" s="7" t="n"/>
      <c r="L890" s="7" t="n"/>
      <c r="M890" s="7" t="n"/>
      <c r="N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H891" s="7" t="n"/>
      <c r="I891" s="7" t="n"/>
      <c r="L891" s="7" t="n"/>
      <c r="M891" s="7" t="n"/>
      <c r="N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H892" s="7" t="n"/>
      <c r="I892" s="7" t="n"/>
      <c r="L892" s="7" t="n"/>
      <c r="M892" s="7" t="n"/>
      <c r="N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H893" s="7" t="n"/>
      <c r="I893" s="7" t="n"/>
      <c r="L893" s="7" t="n"/>
      <c r="M893" s="7" t="n"/>
      <c r="N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H894" s="7" t="n"/>
      <c r="I894" s="7" t="n"/>
      <c r="L894" s="7" t="n"/>
      <c r="M894" s="7" t="n"/>
      <c r="N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H895" s="7" t="n"/>
      <c r="I895" s="7" t="n"/>
      <c r="L895" s="7" t="n"/>
      <c r="M895" s="7" t="n"/>
      <c r="N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H896" s="7" t="n"/>
      <c r="I896" s="7" t="n"/>
      <c r="L896" s="7" t="n"/>
      <c r="M896" s="7" t="n"/>
      <c r="N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H897" s="7" t="n"/>
      <c r="I897" s="7" t="n"/>
      <c r="L897" s="7" t="n"/>
      <c r="M897" s="7" t="n"/>
      <c r="N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H898" s="7" t="n"/>
      <c r="I898" s="7" t="n"/>
      <c r="L898" s="7" t="n"/>
      <c r="M898" s="7" t="n"/>
      <c r="N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H899" s="7" t="n"/>
      <c r="I899" s="7" t="n"/>
      <c r="L899" s="7" t="n"/>
      <c r="M899" s="7" t="n"/>
      <c r="N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H900" s="7" t="n"/>
      <c r="I900" s="7" t="n"/>
      <c r="L900" s="7" t="n"/>
      <c r="M900" s="7" t="n"/>
      <c r="N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H901" s="7" t="n"/>
      <c r="I901" s="7" t="n"/>
      <c r="L901" s="7" t="n"/>
      <c r="M901" s="7" t="n"/>
      <c r="N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H902" s="7" t="n"/>
      <c r="I902" s="7" t="n"/>
      <c r="L902" s="7" t="n"/>
      <c r="M902" s="7" t="n"/>
      <c r="N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H903" s="7" t="n"/>
      <c r="I903" s="7" t="n"/>
      <c r="L903" s="7" t="n"/>
      <c r="M903" s="7" t="n"/>
      <c r="N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H904" s="7" t="n"/>
      <c r="I904" s="7" t="n"/>
      <c r="L904" s="7" t="n"/>
      <c r="M904" s="7" t="n"/>
      <c r="N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H905" s="7" t="n"/>
      <c r="I905" s="7" t="n"/>
      <c r="L905" s="7" t="n"/>
      <c r="M905" s="7" t="n"/>
      <c r="N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H906" s="7" t="n"/>
      <c r="I906" s="7" t="n"/>
      <c r="L906" s="7" t="n"/>
      <c r="M906" s="7" t="n"/>
      <c r="N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H907" s="7" t="n"/>
      <c r="I907" s="7" t="n"/>
      <c r="L907" s="7" t="n"/>
      <c r="M907" s="7" t="n"/>
      <c r="N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H908" s="7" t="n"/>
      <c r="I908" s="7" t="n"/>
      <c r="L908" s="7" t="n"/>
      <c r="M908" s="7" t="n"/>
      <c r="N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H909" s="7" t="n"/>
      <c r="I909" s="7" t="n"/>
      <c r="L909" s="7" t="n"/>
      <c r="M909" s="7" t="n"/>
      <c r="N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H910" s="7" t="n"/>
      <c r="I910" s="7" t="n"/>
      <c r="L910" s="7" t="n"/>
      <c r="M910" s="7" t="n"/>
      <c r="N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H911" s="7" t="n"/>
      <c r="I911" s="7" t="n"/>
      <c r="L911" s="7" t="n"/>
      <c r="M911" s="7" t="n"/>
      <c r="N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H912" s="7" t="n"/>
      <c r="I912" s="7" t="n"/>
      <c r="L912" s="7" t="n"/>
      <c r="M912" s="7" t="n"/>
      <c r="N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H913" s="7" t="n"/>
      <c r="I913" s="7" t="n"/>
      <c r="L913" s="7" t="n"/>
      <c r="M913" s="7" t="n"/>
      <c r="N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H914" s="7" t="n"/>
      <c r="I914" s="7" t="n"/>
      <c r="L914" s="7" t="n"/>
      <c r="M914" s="7" t="n"/>
      <c r="N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H915" s="7" t="n"/>
      <c r="I915" s="7" t="n"/>
      <c r="L915" s="7" t="n"/>
      <c r="M915" s="7" t="n"/>
      <c r="N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H916" s="7" t="n"/>
      <c r="I916" s="7" t="n"/>
      <c r="L916" s="7" t="n"/>
      <c r="M916" s="7" t="n"/>
      <c r="N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H917" s="7" t="n"/>
      <c r="I917" s="7" t="n"/>
      <c r="L917" s="7" t="n"/>
      <c r="M917" s="7" t="n"/>
      <c r="N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H918" s="7" t="n"/>
      <c r="I918" s="7" t="n"/>
      <c r="L918" s="7" t="n"/>
      <c r="M918" s="7" t="n"/>
      <c r="N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H919" s="7" t="n"/>
      <c r="I919" s="7" t="n"/>
      <c r="L919" s="7" t="n"/>
      <c r="M919" s="7" t="n"/>
      <c r="N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H920" s="7" t="n"/>
      <c r="I920" s="7" t="n"/>
      <c r="L920" s="7" t="n"/>
      <c r="M920" s="7" t="n"/>
      <c r="N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H921" s="7" t="n"/>
      <c r="I921" s="7" t="n"/>
      <c r="L921" s="7" t="n"/>
      <c r="M921" s="7" t="n"/>
      <c r="N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H922" s="7" t="n"/>
      <c r="I922" s="7" t="n"/>
      <c r="L922" s="7" t="n"/>
      <c r="M922" s="7" t="n"/>
      <c r="N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H923" s="7" t="n"/>
      <c r="I923" s="7" t="n"/>
      <c r="L923" s="7" t="n"/>
      <c r="M923" s="7" t="n"/>
      <c r="N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H924" s="7" t="n"/>
      <c r="I924" s="7" t="n"/>
      <c r="L924" s="7" t="n"/>
      <c r="M924" s="7" t="n"/>
      <c r="N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H925" s="7" t="n"/>
      <c r="I925" s="7" t="n"/>
      <c r="L925" s="7" t="n"/>
      <c r="M925" s="7" t="n"/>
      <c r="N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H926" s="7" t="n"/>
      <c r="I926" s="7" t="n"/>
      <c r="L926" s="7" t="n"/>
      <c r="M926" s="7" t="n"/>
      <c r="N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H927" s="7" t="n"/>
      <c r="I927" s="7" t="n"/>
      <c r="L927" s="7" t="n"/>
      <c r="M927" s="7" t="n"/>
      <c r="N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H928" s="7" t="n"/>
      <c r="I928" s="7" t="n"/>
      <c r="L928" s="7" t="n"/>
      <c r="M928" s="7" t="n"/>
      <c r="N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H929" s="7" t="n"/>
      <c r="I929" s="7" t="n"/>
      <c r="L929" s="7" t="n"/>
      <c r="M929" s="7" t="n"/>
      <c r="N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H930" s="7" t="n"/>
      <c r="I930" s="7" t="n"/>
      <c r="L930" s="7" t="n"/>
      <c r="M930" s="7" t="n"/>
      <c r="N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H931" s="7" t="n"/>
      <c r="I931" s="7" t="n"/>
      <c r="L931" s="7" t="n"/>
      <c r="M931" s="7" t="n"/>
      <c r="N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H932" s="7" t="n"/>
      <c r="I932" s="7" t="n"/>
      <c r="L932" s="7" t="n"/>
      <c r="M932" s="7" t="n"/>
      <c r="N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H933" s="7" t="n"/>
      <c r="I933" s="7" t="n"/>
      <c r="L933" s="7" t="n"/>
      <c r="M933" s="7" t="n"/>
      <c r="N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H934" s="7" t="n"/>
      <c r="I934" s="7" t="n"/>
      <c r="L934" s="7" t="n"/>
      <c r="M934" s="7" t="n"/>
      <c r="N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H935" s="7" t="n"/>
      <c r="I935" s="7" t="n"/>
      <c r="L935" s="7" t="n"/>
      <c r="M935" s="7" t="n"/>
      <c r="N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H936" s="7" t="n"/>
      <c r="I936" s="7" t="n"/>
      <c r="L936" s="7" t="n"/>
      <c r="M936" s="7" t="n"/>
      <c r="N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H937" s="7" t="n"/>
      <c r="I937" s="7" t="n"/>
      <c r="L937" s="7" t="n"/>
      <c r="M937" s="7" t="n"/>
      <c r="N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H938" s="7" t="n"/>
      <c r="I938" s="7" t="n"/>
      <c r="L938" s="7" t="n"/>
      <c r="M938" s="7" t="n"/>
      <c r="N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H939" s="7" t="n"/>
      <c r="I939" s="7" t="n"/>
      <c r="L939" s="7" t="n"/>
      <c r="M939" s="7" t="n"/>
      <c r="N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H940" s="7" t="n"/>
      <c r="I940" s="7" t="n"/>
      <c r="L940" s="7" t="n"/>
      <c r="M940" s="7" t="n"/>
      <c r="N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H941" s="7" t="n"/>
      <c r="I941" s="7" t="n"/>
      <c r="L941" s="7" t="n"/>
      <c r="M941" s="7" t="n"/>
      <c r="N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H942" s="7" t="n"/>
      <c r="I942" s="7" t="n"/>
      <c r="L942" s="7" t="n"/>
      <c r="M942" s="7" t="n"/>
      <c r="N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H943" s="7" t="n"/>
      <c r="I943" s="7" t="n"/>
      <c r="L943" s="7" t="n"/>
      <c r="M943" s="7" t="n"/>
      <c r="N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H944" s="7" t="n"/>
      <c r="I944" s="7" t="n"/>
      <c r="L944" s="7" t="n"/>
      <c r="M944" s="7" t="n"/>
      <c r="N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H945" s="7" t="n"/>
      <c r="I945" s="7" t="n"/>
      <c r="L945" s="7" t="n"/>
      <c r="M945" s="7" t="n"/>
      <c r="N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H946" s="7" t="n"/>
      <c r="I946" s="7" t="n"/>
      <c r="L946" s="7" t="n"/>
      <c r="M946" s="7" t="n"/>
      <c r="N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H947" s="7" t="n"/>
      <c r="I947" s="7" t="n"/>
      <c r="L947" s="7" t="n"/>
      <c r="M947" s="7" t="n"/>
      <c r="N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H948" s="7" t="n"/>
      <c r="I948" s="7" t="n"/>
      <c r="L948" s="7" t="n"/>
      <c r="M948" s="7" t="n"/>
      <c r="N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H949" s="7" t="n"/>
      <c r="I949" s="7" t="n"/>
      <c r="L949" s="7" t="n"/>
      <c r="M949" s="7" t="n"/>
      <c r="N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H950" s="7" t="n"/>
      <c r="I950" s="7" t="n"/>
      <c r="L950" s="7" t="n"/>
      <c r="M950" s="7" t="n"/>
      <c r="N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H951" s="7" t="n"/>
      <c r="I951" s="7" t="n"/>
      <c r="L951" s="7" t="n"/>
      <c r="M951" s="7" t="n"/>
      <c r="N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H952" s="7" t="n"/>
      <c r="I952" s="7" t="n"/>
      <c r="L952" s="7" t="n"/>
      <c r="M952" s="7" t="n"/>
      <c r="N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H953" s="7" t="n"/>
      <c r="I953" s="7" t="n"/>
      <c r="L953" s="7" t="n"/>
      <c r="M953" s="7" t="n"/>
      <c r="N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H954" s="7" t="n"/>
      <c r="I954" s="7" t="n"/>
      <c r="L954" s="7" t="n"/>
      <c r="M954" s="7" t="n"/>
      <c r="N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H955" s="7" t="n"/>
      <c r="I955" s="7" t="n"/>
      <c r="L955" s="7" t="n"/>
      <c r="M955" s="7" t="n"/>
      <c r="N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H956" s="7" t="n"/>
      <c r="I956" s="7" t="n"/>
      <c r="L956" s="7" t="n"/>
      <c r="M956" s="7" t="n"/>
      <c r="N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H957" s="7" t="n"/>
      <c r="I957" s="7" t="n"/>
      <c r="L957" s="7" t="n"/>
      <c r="M957" s="7" t="n"/>
      <c r="N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H958" s="7" t="n"/>
      <c r="I958" s="7" t="n"/>
      <c r="L958" s="7" t="n"/>
      <c r="M958" s="7" t="n"/>
      <c r="N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H959" s="7" t="n"/>
      <c r="I959" s="7" t="n"/>
      <c r="L959" s="7" t="n"/>
      <c r="M959" s="7" t="n"/>
      <c r="N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H960" s="7" t="n"/>
      <c r="I960" s="7" t="n"/>
      <c r="L960" s="7" t="n"/>
      <c r="M960" s="7" t="n"/>
      <c r="N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H961" s="7" t="n"/>
      <c r="I961" s="7" t="n"/>
      <c r="L961" s="7" t="n"/>
      <c r="M961" s="7" t="n"/>
      <c r="N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H962" s="7" t="n"/>
      <c r="I962" s="7" t="n"/>
      <c r="L962" s="7" t="n"/>
      <c r="M962" s="7" t="n"/>
      <c r="N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H963" s="7" t="n"/>
      <c r="I963" s="7" t="n"/>
      <c r="L963" s="7" t="n"/>
      <c r="M963" s="7" t="n"/>
      <c r="N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H964" s="7" t="n"/>
      <c r="I964" s="7" t="n"/>
      <c r="L964" s="7" t="n"/>
      <c r="M964" s="7" t="n"/>
      <c r="N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H965" s="7" t="n"/>
      <c r="I965" s="7" t="n"/>
      <c r="L965" s="7" t="n"/>
      <c r="M965" s="7" t="n"/>
      <c r="N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H966" s="7" t="n"/>
      <c r="I966" s="7" t="n"/>
      <c r="L966" s="7" t="n"/>
      <c r="M966" s="7" t="n"/>
      <c r="N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H967" s="7" t="n"/>
      <c r="I967" s="7" t="n"/>
      <c r="L967" s="7" t="n"/>
      <c r="M967" s="7" t="n"/>
      <c r="N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H968" s="7" t="n"/>
      <c r="I968" s="7" t="n"/>
      <c r="L968" s="7" t="n"/>
      <c r="M968" s="7" t="n"/>
      <c r="N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H969" s="7" t="n"/>
      <c r="I969" s="7" t="n"/>
      <c r="L969" s="7" t="n"/>
      <c r="M969" s="7" t="n"/>
      <c r="N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H970" s="7" t="n"/>
      <c r="I970" s="7" t="n"/>
      <c r="L970" s="7" t="n"/>
      <c r="M970" s="7" t="n"/>
      <c r="N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H971" s="7" t="n"/>
      <c r="I971" s="7" t="n"/>
      <c r="L971" s="7" t="n"/>
      <c r="M971" s="7" t="n"/>
      <c r="N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H972" s="7" t="n"/>
      <c r="I972" s="7" t="n"/>
      <c r="L972" s="7" t="n"/>
      <c r="M972" s="7" t="n"/>
      <c r="N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H973" s="7" t="n"/>
      <c r="I973" s="7" t="n"/>
      <c r="L973" s="7" t="n"/>
      <c r="M973" s="7" t="n"/>
      <c r="N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H974" s="7" t="n"/>
      <c r="I974" s="7" t="n"/>
      <c r="L974" s="7" t="n"/>
      <c r="M974" s="7" t="n"/>
      <c r="N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H975" s="7" t="n"/>
      <c r="I975" s="7" t="n"/>
      <c r="L975" s="7" t="n"/>
      <c r="M975" s="7" t="n"/>
      <c r="N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H976" s="7" t="n"/>
      <c r="I976" s="7" t="n"/>
      <c r="L976" s="7" t="n"/>
      <c r="M976" s="7" t="n"/>
      <c r="N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H977" s="7" t="n"/>
      <c r="I977" s="7" t="n"/>
      <c r="L977" s="7" t="n"/>
      <c r="M977" s="7" t="n"/>
      <c r="N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H978" s="7" t="n"/>
      <c r="I978" s="7" t="n"/>
      <c r="L978" s="7" t="n"/>
      <c r="M978" s="7" t="n"/>
      <c r="N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H979" s="7" t="n"/>
      <c r="I979" s="7" t="n"/>
      <c r="L979" s="7" t="n"/>
      <c r="M979" s="7" t="n"/>
      <c r="N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H980" s="7" t="n"/>
      <c r="I980" s="7" t="n"/>
      <c r="L980" s="7" t="n"/>
      <c r="M980" s="7" t="n"/>
      <c r="N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H981" s="7" t="n"/>
      <c r="I981" s="7" t="n"/>
      <c r="L981" s="7" t="n"/>
      <c r="M981" s="7" t="n"/>
      <c r="N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H982" s="7" t="n"/>
      <c r="I982" s="7" t="n"/>
      <c r="L982" s="7" t="n"/>
      <c r="M982" s="7" t="n"/>
      <c r="N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H983" s="7" t="n"/>
      <c r="I983" s="7" t="n"/>
      <c r="L983" s="7" t="n"/>
      <c r="M983" s="7" t="n"/>
      <c r="N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H984" s="7" t="n"/>
      <c r="I984" s="7" t="n"/>
      <c r="L984" s="7" t="n"/>
      <c r="M984" s="7" t="n"/>
      <c r="N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H985" s="7" t="n"/>
      <c r="I985" s="7" t="n"/>
      <c r="L985" s="7" t="n"/>
      <c r="M985" s="7" t="n"/>
      <c r="N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H986" s="7" t="n"/>
      <c r="I986" s="7" t="n"/>
      <c r="L986" s="7" t="n"/>
      <c r="M986" s="7" t="n"/>
      <c r="N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H987" s="7" t="n"/>
      <c r="I987" s="7" t="n"/>
      <c r="L987" s="7" t="n"/>
      <c r="M987" s="7" t="n"/>
      <c r="N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H988" s="7" t="n"/>
      <c r="I988" s="7" t="n"/>
      <c r="L988" s="7" t="n"/>
      <c r="M988" s="7" t="n"/>
      <c r="N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H989" s="7" t="n"/>
      <c r="I989" s="7" t="n"/>
      <c r="L989" s="7" t="n"/>
      <c r="M989" s="7" t="n"/>
      <c r="N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H990" s="7" t="n"/>
      <c r="I990" s="7" t="n"/>
      <c r="L990" s="7" t="n"/>
      <c r="M990" s="7" t="n"/>
      <c r="N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H991" s="7" t="n"/>
      <c r="I991" s="7" t="n"/>
      <c r="L991" s="7" t="n"/>
      <c r="M991" s="7" t="n"/>
      <c r="N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H992" s="7" t="n"/>
      <c r="I992" s="7" t="n"/>
      <c r="L992" s="7" t="n"/>
      <c r="M992" s="7" t="n"/>
      <c r="N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H993" s="7" t="n"/>
      <c r="I993" s="7" t="n"/>
      <c r="L993" s="7" t="n"/>
      <c r="M993" s="7" t="n"/>
      <c r="N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H994" s="7" t="n"/>
      <c r="I994" s="7" t="n"/>
      <c r="L994" s="7" t="n"/>
      <c r="M994" s="7" t="n"/>
      <c r="N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H995" s="7" t="n"/>
      <c r="I995" s="7" t="n"/>
      <c r="L995" s="7" t="n"/>
      <c r="M995" s="7" t="n"/>
      <c r="N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H996" s="7" t="n"/>
      <c r="I996" s="7" t="n"/>
      <c r="L996" s="7" t="n"/>
      <c r="M996" s="7" t="n"/>
      <c r="N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H997" s="7" t="n"/>
      <c r="I997" s="7" t="n"/>
      <c r="L997" s="7" t="n"/>
      <c r="M997" s="7" t="n"/>
      <c r="N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H998" s="7" t="n"/>
      <c r="I998" s="7" t="n"/>
      <c r="L998" s="7" t="n"/>
      <c r="M998" s="7" t="n"/>
      <c r="N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H999" s="7" t="n"/>
      <c r="I999" s="7" t="n"/>
      <c r="L999" s="7" t="n"/>
      <c r="M999" s="7" t="n"/>
      <c r="N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H1000" s="7" t="n"/>
      <c r="I1000" s="7" t="n"/>
      <c r="L1000" s="7" t="n"/>
      <c r="M1000" s="7" t="n"/>
      <c r="N1000" s="7" t="n"/>
    </row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209" min="1" max="1"/>
    <col width="18" customWidth="1" style="209" min="2" max="2"/>
    <col width="22" customWidth="1" style="209" min="3" max="3"/>
    <col width="46" customWidth="1" style="209" min="4" max="4"/>
    <col width="24" customWidth="1" style="209" min="5" max="5"/>
    <col width="10" customWidth="1" style="209" min="6" max="6"/>
    <col width="14" customWidth="1" style="209" min="7" max="7"/>
    <col width="8.630000000000001" customWidth="1" style="209" min="8" max="10"/>
    <col width="35" customWidth="1" style="209" min="11" max="11"/>
    <col width="8.75" customWidth="1" style="209" min="12" max="12"/>
    <col width="8.630000000000001" customWidth="1" style="209" min="13" max="26"/>
  </cols>
  <sheetData>
    <row r="1" ht="36" customHeight="1" s="209">
      <c r="A1" s="284" t="inlineStr">
        <is>
          <t>🐍 2026 시나공 빅데이터분석기사 실기 Python (퇴근후딴짓) 전유형 실전 마스터 DB</t>
        </is>
      </c>
      <c r="L1" s="7" t="n"/>
    </row>
    <row r="2" ht="24" customHeight="1" s="209">
      <c r="A2" s="285" t="inlineStr">
        <is>
          <t>📅 [2027 제14회 실기 최종 합격 공식 트랙] 2027.04.11 개시 ~ 2027.06.19 실기 시험 합격 목표 (Python 작업형 1·2·3 실전 22개 섹션)</t>
        </is>
      </c>
      <c r="L2" s="7" t="n"/>
    </row>
    <row r="3" ht="27.75" customHeight="1" s="209">
      <c r="A3" s="147" t="inlineStr">
        <is>
          <t>No</t>
        </is>
      </c>
      <c r="B3" s="147" t="inlineStr">
        <is>
          <t>작업형 구분 (PART)</t>
        </is>
      </c>
      <c r="C3" s="147" t="inlineStr">
        <is>
          <t>챕터 (CHAPTER)</t>
        </is>
      </c>
      <c r="D3" s="147" t="inlineStr">
        <is>
          <t>세부 섹션 / 학습 주제</t>
        </is>
      </c>
      <c r="E3" s="147" t="inlineStr">
        <is>
          <t>핵심 라이브러리 / 알고리즘</t>
        </is>
      </c>
      <c r="F3" s="147" t="inlineStr">
        <is>
          <t>출제 중요도</t>
        </is>
      </c>
      <c r="G3" s="147" t="inlineStr">
        <is>
          <t>권장 학습주차</t>
        </is>
      </c>
      <c r="H3" s="147" t="inlineStr">
        <is>
          <t>1회차 실습일자</t>
        </is>
      </c>
      <c r="I3" s="147" t="inlineStr">
        <is>
          <t>2회차 복습일자</t>
        </is>
      </c>
      <c r="J3" s="147" t="inlineStr">
        <is>
          <t>코드 숙지도</t>
        </is>
      </c>
      <c r="K3" s="147" t="inlineStr">
        <is>
          <t>핵심 코드 스니펫 및 오답 메모</t>
        </is>
      </c>
      <c r="L3" s="148" t="n"/>
      <c r="M3" s="148" t="n"/>
      <c r="N3" s="148" t="n"/>
    </row>
    <row r="4" ht="19.5" customHeight="1" s="209">
      <c r="A4" s="149" t="n">
        <v>1</v>
      </c>
      <c r="B4" s="120" t="inlineStr">
        <is>
          <t>PART 1(작업형 1)</t>
        </is>
      </c>
      <c r="C4" s="120" t="inlineStr">
        <is>
          <t>CHAPTER 01 파이썬 기초</t>
        </is>
      </c>
      <c r="D4" s="120" t="inlineStr">
        <is>
          <t>SECTION 01~15 기본 문법 (자료형, 리스트, 딕셔너리, 조건문, 반복문, 함수)</t>
        </is>
      </c>
      <c r="E4" s="120" t="inlineStr">
        <is>
          <t>Python Built-in</t>
        </is>
      </c>
      <c r="F4" s="149" t="inlineStr">
        <is>
          <t>★★★</t>
        </is>
      </c>
      <c r="G4" s="149" t="inlineStr">
        <is>
          <t>W30</t>
        </is>
      </c>
      <c r="J4" s="149">
        <f>IF(AND(H4="",I4=""),"미완료",IF(AND(H4&lt;&gt;"",I4&lt;&gt;""),"🏆 체화완료",IF(H4&lt;&gt;"","1차실습","미완료")))</f>
        <v/>
      </c>
      <c r="K4" s="7" t="n"/>
      <c r="L4" s="7" t="n"/>
    </row>
    <row r="5" ht="19.5" customHeight="1" s="209">
      <c r="A5" s="149" t="n">
        <v>2</v>
      </c>
      <c r="B5" s="120" t="inlineStr">
        <is>
          <t>PART 1(작업형 1)</t>
        </is>
      </c>
      <c r="C5" s="120" t="inlineStr">
        <is>
          <t>CHAPTER 02 판다스 핵심</t>
        </is>
      </c>
      <c r="D5" s="120" t="inlineStr">
        <is>
          <t>SECTION 01~05 DF/시리즈 생성, IO, EDA(head/info/describe), 형변환, 컬럼추가</t>
        </is>
      </c>
      <c r="E5" s="120" t="inlineStr">
        <is>
          <t>pandas</t>
        </is>
      </c>
      <c r="F5" s="149" t="inlineStr">
        <is>
          <t>★★★</t>
        </is>
      </c>
      <c r="G5" s="149" t="inlineStr">
        <is>
          <t>W30</t>
        </is>
      </c>
      <c r="J5" s="149">
        <f>IF(AND(H5="",I5=""),"미완료",IF(AND(H5&lt;&gt;"",I5&lt;&gt;""),"🏆 체화완료",IF(H5&lt;&gt;"","1차실습","미완료")))</f>
        <v/>
      </c>
      <c r="K5" s="7" t="n"/>
      <c r="L5" s="7" t="n"/>
    </row>
    <row r="6" ht="19.5" customHeight="1" s="209">
      <c r="A6" s="149" t="n">
        <v>3</v>
      </c>
      <c r="B6" s="120" t="inlineStr">
        <is>
          <t>PART 1(작업형 1)</t>
        </is>
      </c>
      <c r="C6" s="120" t="inlineStr">
        <is>
          <t>CHAPTER 02 판다스 핵심</t>
        </is>
      </c>
      <c r="D6" s="120" t="inlineStr">
        <is>
          <t>SECTION 06~10 데이터 삭제, loc/iloc 슬라이싱, 데이터 변경, 정렬 sort_values</t>
        </is>
      </c>
      <c r="E6" s="120" t="inlineStr">
        <is>
          <t>pandas</t>
        </is>
      </c>
      <c r="F6" s="149" t="inlineStr">
        <is>
          <t>★★★</t>
        </is>
      </c>
      <c r="G6" s="149" t="inlineStr">
        <is>
          <t>W30</t>
        </is>
      </c>
      <c r="J6" s="149">
        <f>IF(AND(H6="",I6=""),"미완료",IF(AND(H6&lt;&gt;"",I6&lt;&gt;""),"🏆 체화완료",IF(H6&lt;&gt;"","1차실습","미완료")))</f>
        <v/>
      </c>
      <c r="K6" s="7" t="n"/>
      <c r="L6" s="7" t="n"/>
    </row>
    <row r="7" ht="19.5" customHeight="1" s="209">
      <c r="A7" s="149" t="n">
        <v>4</v>
      </c>
      <c r="B7" s="120" t="inlineStr">
        <is>
          <t>PART 1(작업형 1)</t>
        </is>
      </c>
      <c r="C7" s="120" t="inlineStr">
        <is>
          <t>CHAPTER 02 판다스 핵심</t>
        </is>
      </c>
      <c r="D7" s="120" t="inlineStr">
        <is>
          <t>SECTION 11~15 필터링(조건식), 결측치(isna/fillna/dropna), 문자열(str accessor)</t>
        </is>
      </c>
      <c r="E7" s="120" t="inlineStr">
        <is>
          <t>pandas</t>
        </is>
      </c>
      <c r="F7" s="149" t="inlineStr">
        <is>
          <t>★★★</t>
        </is>
      </c>
      <c r="G7" s="149" t="inlineStr">
        <is>
          <t>W31</t>
        </is>
      </c>
      <c r="J7" s="149">
        <f>IF(AND(H7="",I7=""),"미완료",IF(AND(H7&lt;&gt;"",I7&lt;&gt;""),"🏆 체화완료",IF(H7&lt;&gt;"","1차실습","미완료")))</f>
        <v/>
      </c>
      <c r="K7" s="7" t="n"/>
      <c r="L7" s="7" t="n"/>
    </row>
    <row r="8" ht="19.5" customHeight="1" s="209">
      <c r="A8" s="149" t="n">
        <v>5</v>
      </c>
      <c r="B8" s="120" t="inlineStr">
        <is>
          <t>PART 1(작업형 1)</t>
        </is>
      </c>
      <c r="C8" s="120" t="inlineStr">
        <is>
          <t>CHAPTER 02 판다스 핵심</t>
        </is>
      </c>
      <c r="D8" s="120" t="inlineStr">
        <is>
          <t>SECTION 16~20 그룹핑(groupby/agg), 시계열(to_datetime/Timedelta), 병합/피벗</t>
        </is>
      </c>
      <c r="E8" s="120" t="inlineStr">
        <is>
          <t>pandas</t>
        </is>
      </c>
      <c r="F8" s="149" t="inlineStr">
        <is>
          <t>★★★</t>
        </is>
      </c>
      <c r="G8" s="149" t="inlineStr">
        <is>
          <t>W31</t>
        </is>
      </c>
      <c r="J8" s="149">
        <f>IF(AND(H8="",I8=""),"미완료",IF(AND(H8&lt;&gt;"",I8&lt;&gt;""),"🏆 체화완료",IF(H8&lt;&gt;"","1차실습","미완료")))</f>
        <v/>
      </c>
      <c r="K8" s="7" t="n"/>
      <c r="L8" s="7" t="n"/>
    </row>
    <row r="9" ht="19.5" customHeight="1" s="209">
      <c r="A9" s="149" t="n">
        <v>6</v>
      </c>
      <c r="B9" s="120" t="inlineStr">
        <is>
          <t>PART 1(작업형 1)</t>
        </is>
      </c>
      <c r="C9" s="120" t="inlineStr">
        <is>
          <t>CHAPTER 03 작업형1 연습문제</t>
        </is>
      </c>
      <c r="D9" s="120" t="inlineStr">
        <is>
          <t>SECTION 01~10 필터링, 최솟값/중앙값/최빈값, 파생변수, 시계열, 정렬 연습</t>
        </is>
      </c>
      <c r="E9" s="120" t="inlineStr">
        <is>
          <t>pandas</t>
        </is>
      </c>
      <c r="F9" s="149" t="inlineStr">
        <is>
          <t>★★★</t>
        </is>
      </c>
      <c r="G9" s="149" t="inlineStr">
        <is>
          <t>W31</t>
        </is>
      </c>
      <c r="J9" s="149">
        <f>IF(AND(H9="",I9=""),"미완료",IF(AND(H9&lt;&gt;"",I9&lt;&gt;""),"🏆 체화완료",IF(H9&lt;&gt;"","1차실습","미완료")))</f>
        <v/>
      </c>
      <c r="K9" s="7" t="n"/>
      <c r="L9" s="7" t="n"/>
    </row>
    <row r="10" ht="19.5" customHeight="1" s="209">
      <c r="A10" s="149" t="n">
        <v>7</v>
      </c>
      <c r="B10" s="120" t="inlineStr">
        <is>
          <t>PART 1(작업형 1)</t>
        </is>
      </c>
      <c r="C10" s="120" t="inlineStr">
        <is>
          <t>CHAPTER 03 작업형1 연습문제</t>
        </is>
      </c>
      <c r="D10" s="120" t="inlineStr">
        <is>
          <t>SECTION 11~20 결측치/이상치 IQR/소수점 탐지, 시계열 월별 집계</t>
        </is>
      </c>
      <c r="E10" s="120" t="inlineStr">
        <is>
          <t>pandas / numpy</t>
        </is>
      </c>
      <c r="F10" s="149" t="inlineStr">
        <is>
          <t>★★★</t>
        </is>
      </c>
      <c r="G10" s="149" t="inlineStr">
        <is>
          <t>W32</t>
        </is>
      </c>
      <c r="J10" s="149">
        <f>IF(AND(H10="",I10=""),"미완료",IF(AND(H10&lt;&gt;"",I10&lt;&gt;""),"🏆 체화완료",IF(H10&lt;&gt;"","1차실습","미완료")))</f>
        <v/>
      </c>
      <c r="K10" s="7" t="n"/>
      <c r="L10" s="7" t="n"/>
    </row>
    <row r="11" ht="19.5" customHeight="1" s="209">
      <c r="A11" s="149" t="n">
        <v>8</v>
      </c>
      <c r="B11" s="120" t="inlineStr">
        <is>
          <t>PART 1(작업형 1)</t>
        </is>
      </c>
      <c r="C11" s="120" t="inlineStr">
        <is>
          <t>CHAPTER 03 작업형1 연습문제</t>
        </is>
      </c>
      <c r="D11" s="120" t="inlineStr">
        <is>
          <t>SECTION 21~35 시간차 계산(분/일), 비율, 주말평일 구분, concat/merge 완벽 정복</t>
        </is>
      </c>
      <c r="E11" s="120" t="inlineStr">
        <is>
          <t>pandas / datetime</t>
        </is>
      </c>
      <c r="F11" s="149" t="inlineStr">
        <is>
          <t>★★★</t>
        </is>
      </c>
      <c r="G11" s="149" t="inlineStr">
        <is>
          <t>W32</t>
        </is>
      </c>
      <c r="J11" s="149">
        <f>IF(AND(H11="",I11=""),"미완료",IF(AND(H11&lt;&gt;"",I11&lt;&gt;""),"🏆 체화완료",IF(H11&lt;&gt;"","1차실습","미완료")))</f>
        <v/>
      </c>
      <c r="K11" s="7" t="n"/>
      <c r="L11" s="7" t="n"/>
    </row>
    <row r="12" ht="19.5" customHeight="1" s="209">
      <c r="A12" s="151" t="n">
        <v>9</v>
      </c>
      <c r="B12" s="120" t="inlineStr">
        <is>
          <t>PART 2(작업형 2)</t>
        </is>
      </c>
      <c r="C12" s="120" t="inlineStr">
        <is>
          <t>CHAPTER 01~03 ML 기초/평가지표</t>
        </is>
      </c>
      <c r="D12" s="120" t="inlineStr">
        <is>
          <t>머신러닝 프로세스 및 평가지표 (ROC-AUC, Macro F1, RMSE, R2 완벽 숙지)</t>
        </is>
      </c>
      <c r="E12" s="120" t="inlineStr">
        <is>
          <t>scikit-learn.metrics</t>
        </is>
      </c>
      <c r="F12" s="151" t="inlineStr">
        <is>
          <t>★★★</t>
        </is>
      </c>
      <c r="G12" s="151" t="inlineStr">
        <is>
          <t>W33</t>
        </is>
      </c>
      <c r="J12" s="151">
        <f>IF(AND(H12="",I12=""),"미완료",IF(AND(H12&lt;&gt;"",I12&lt;&gt;""),"🏆 체화완료",IF(H12&lt;&gt;"","1차실습","미완료")))</f>
        <v/>
      </c>
      <c r="K12" s="7" t="n"/>
      <c r="L12" s="7" t="n"/>
    </row>
    <row r="13" ht="19.5" customHeight="1" s="209">
      <c r="A13" s="151" t="n">
        <v>10</v>
      </c>
      <c r="B13" s="120" t="inlineStr">
        <is>
          <t>PART 2(작업형 2)</t>
        </is>
      </c>
      <c r="C13" s="120" t="inlineStr">
        <is>
          <t>CHAPTER 02 머신러닝 실습(분류)</t>
        </is>
      </c>
      <c r="D13" s="120" t="inlineStr">
        <is>
          <t>이진 분류 7단계 파이프라인 (EDA -&gt; 결측/인코딩/스케일링 -&gt; 검증 -&gt; 학습 -&gt; 예측/저장)</t>
        </is>
      </c>
      <c r="E13" s="120" t="inlineStr">
        <is>
          <t>RandomForest / XGBoost</t>
        </is>
      </c>
      <c r="F13" s="151" t="inlineStr">
        <is>
          <t>★★★</t>
        </is>
      </c>
      <c r="G13" s="151" t="inlineStr">
        <is>
          <t>W33</t>
        </is>
      </c>
      <c r="J13" s="151">
        <f>IF(AND(H13="",I13=""),"미완료",IF(AND(H13&lt;&gt;"",I13&lt;&gt;""),"🏆 체화완료",IF(H13&lt;&gt;"","1차실습","미완료")))</f>
        <v/>
      </c>
      <c r="K13" s="7" t="n"/>
      <c r="L13" s="7" t="n"/>
    </row>
    <row r="14" ht="19.5" customHeight="1" s="209">
      <c r="A14" s="151" t="n">
        <v>11</v>
      </c>
      <c r="B14" s="120" t="inlineStr">
        <is>
          <t>PART 2(작업형 2)</t>
        </is>
      </c>
      <c r="C14" s="120" t="inlineStr">
        <is>
          <t>CHAPTER 04 머신러닝 실습(회귀)</t>
        </is>
      </c>
      <c r="D14" s="120" t="inlineStr">
        <is>
          <t>회귀 7단계 파이프라인 (연속형 수치 예측, 타깃 로그변환, RMSE 최소화)</t>
        </is>
      </c>
      <c r="E14" s="120" t="inlineStr">
        <is>
          <t>RandomForestRegressor / LightGBM</t>
        </is>
      </c>
      <c r="F14" s="151" t="inlineStr">
        <is>
          <t>★★★</t>
        </is>
      </c>
      <c r="G14" s="151" t="inlineStr">
        <is>
          <t>W33</t>
        </is>
      </c>
      <c r="J14" s="151">
        <f>IF(AND(H14="",I14=""),"미완료",IF(AND(H14&lt;&gt;"",I14&lt;&gt;""),"🏆 체화완료",IF(H14&lt;&gt;"","1차실습","미완료")))</f>
        <v/>
      </c>
      <c r="K14" s="7" t="n"/>
      <c r="L14" s="7" t="n"/>
    </row>
    <row r="15" ht="19.5" customHeight="1" s="209">
      <c r="A15" s="151" t="n">
        <v>12</v>
      </c>
      <c r="B15" s="120" t="inlineStr">
        <is>
          <t>PART 2(작업형 2)</t>
        </is>
      </c>
      <c r="C15" s="120" t="inlineStr">
        <is>
          <t>CHAPTER 05 머신러닝 실습(다중분류)</t>
        </is>
      </c>
      <c r="D15" s="120" t="inlineStr">
        <is>
          <t>다중 분류 7단계 파이프라인 (라벨 인코딩, Macro-F1 최적화, CSV 제출 양식)</t>
        </is>
      </c>
      <c r="E15" s="120" t="inlineStr">
        <is>
          <t>RandomForestClassifier</t>
        </is>
      </c>
      <c r="F15" s="151" t="inlineStr">
        <is>
          <t>★★★</t>
        </is>
      </c>
      <c r="G15" s="151" t="inlineStr">
        <is>
          <t>W34</t>
        </is>
      </c>
      <c r="J15" s="151">
        <f>IF(AND(H15="",I15=""),"미완료",IF(AND(H15&lt;&gt;"",I15&lt;&gt;""),"🏆 체화완료",IF(H15&lt;&gt;"","1차실습","미완료")))</f>
        <v/>
      </c>
      <c r="K15" s="7" t="n"/>
      <c r="L15" s="7" t="n"/>
    </row>
    <row r="16" ht="19.5" customHeight="1" s="209">
      <c r="A16" s="151" t="n">
        <v>13</v>
      </c>
      <c r="B16" s="120" t="inlineStr">
        <is>
          <t>PART 2(작업형 2)</t>
        </is>
      </c>
      <c r="C16" s="120" t="inlineStr">
        <is>
          <t>CHAPTER 06~08 연습문제</t>
        </is>
      </c>
      <c r="D16" s="120" t="inlineStr">
        <is>
          <t>이진 분류(당뇨병/이직/신용), 다중 분류(등급/약물/유리), 회귀(항공권/노트북/중고차)</t>
        </is>
      </c>
      <c r="E16" s="120" t="inlineStr">
        <is>
          <t>실전 9대 연습문제</t>
        </is>
      </c>
      <c r="F16" s="151" t="inlineStr">
        <is>
          <t>★★★</t>
        </is>
      </c>
      <c r="G16" s="151" t="inlineStr">
        <is>
          <t>W34</t>
        </is>
      </c>
      <c r="J16" s="151">
        <f>IF(AND(H16="",I16=""),"미완료",IF(AND(H16&lt;&gt;"",I16&lt;&gt;""),"🏆 체화완료",IF(H16&lt;&gt;"","1차실습","미완료")))</f>
        <v/>
      </c>
      <c r="K16" s="7" t="n"/>
      <c r="L16" s="7" t="n"/>
    </row>
    <row r="17" ht="19.5" customHeight="1" s="209">
      <c r="A17" s="153" t="n">
        <v>14</v>
      </c>
      <c r="B17" s="120" t="inlineStr">
        <is>
          <t>PART 3(작업형 3)</t>
        </is>
      </c>
      <c r="C17" s="120" t="inlineStr">
        <is>
          <t>CHAPTER 01 가설검정</t>
        </is>
      </c>
      <c r="D17" s="120" t="inlineStr">
        <is>
          <t>단일표본 t-검정, 대응표본 t-검정, 독립표본 t-검정 (정규성 shapiro / 등분산 levene)</t>
        </is>
      </c>
      <c r="E17" s="120" t="inlineStr">
        <is>
          <t>scipy.stats (ttest_1samp/rel/ind)</t>
        </is>
      </c>
      <c r="F17" s="153" t="inlineStr">
        <is>
          <t>★★★</t>
        </is>
      </c>
      <c r="G17" s="153" t="inlineStr">
        <is>
          <t>W35</t>
        </is>
      </c>
      <c r="J17" s="153">
        <f>IF(AND(H17="",I17=""),"미완료",IF(AND(H17&lt;&gt;"",I17&lt;&gt;""),"🏆 체화완료",IF(H17&lt;&gt;"","1차실습","미완료")))</f>
        <v/>
      </c>
      <c r="K17" s="7" t="n"/>
      <c r="L17" s="7" t="n"/>
    </row>
    <row r="18" ht="19.5" customHeight="1" s="209">
      <c r="A18" s="153" t="n">
        <v>15</v>
      </c>
      <c r="B18" s="120" t="inlineStr">
        <is>
          <t>PART 3(작업형 3)</t>
        </is>
      </c>
      <c r="C18" s="120" t="inlineStr">
        <is>
          <t>CHAPTER 02 분산 분석 (ANOVA)</t>
        </is>
      </c>
      <c r="D18" s="120" t="inlineStr">
        <is>
          <t>일원 분산 분석(f_oneway), 이원 분산 분석(statsmodels anova_lm)</t>
        </is>
      </c>
      <c r="E18" s="120" t="inlineStr">
        <is>
          <t>scipy.stats / statsmodels</t>
        </is>
      </c>
      <c r="F18" s="153" t="inlineStr">
        <is>
          <t>★★★</t>
        </is>
      </c>
      <c r="G18" s="153" t="inlineStr">
        <is>
          <t>W35</t>
        </is>
      </c>
      <c r="J18" s="153">
        <f>IF(AND(H18="",I18=""),"미완료",IF(AND(H18&lt;&gt;"",I18&lt;&gt;""),"🏆 체화완료",IF(H18&lt;&gt;"","1차실습","미완료")))</f>
        <v/>
      </c>
      <c r="K18" s="7" t="n"/>
      <c r="L18" s="7" t="n"/>
    </row>
    <row r="19" ht="19.5" customHeight="1" s="209">
      <c r="A19" s="153" t="n">
        <v>16</v>
      </c>
      <c r="B19" s="120" t="inlineStr">
        <is>
          <t>PART 3(작업형 3)</t>
        </is>
      </c>
      <c r="C19" s="120" t="inlineStr">
        <is>
          <t>CHAPTER 03 카이제곱 검정</t>
        </is>
      </c>
      <c r="D19" s="120" t="inlineStr">
        <is>
          <t>적합도 검정(chisquare), 독립성 검정(chi2_contingency), 동질성 검정</t>
        </is>
      </c>
      <c r="E19" s="120" t="inlineStr">
        <is>
          <t>scipy.stats</t>
        </is>
      </c>
      <c r="F19" s="153" t="inlineStr">
        <is>
          <t>★★★</t>
        </is>
      </c>
      <c r="G19" s="153" t="inlineStr">
        <is>
          <t>W35</t>
        </is>
      </c>
      <c r="J19" s="153">
        <f>IF(AND(H19="",I19=""),"미완료",IF(AND(H19&lt;&gt;"",I19&lt;&gt;""),"🏆 체화완료",IF(H19&lt;&gt;"","1차실습","미완료")))</f>
        <v/>
      </c>
      <c r="K19" s="7" t="n"/>
      <c r="L19" s="7" t="n"/>
    </row>
    <row r="20" ht="19.5" customHeight="1" s="209">
      <c r="A20" s="153" t="n">
        <v>17</v>
      </c>
      <c r="B20" s="120" t="inlineStr">
        <is>
          <t>PART 3(작업형 3)</t>
        </is>
      </c>
      <c r="C20" s="120" t="inlineStr">
        <is>
          <t>CHAPTER 04~05 회귀/로지스틱</t>
        </is>
      </c>
      <c r="D20" s="120" t="inlineStr">
        <is>
          <t>단순/다중 선형회귀(OLS summary p-value), 로지스틱 회귀(Logit 오즈비 exp(coef))</t>
        </is>
      </c>
      <c r="E20" s="120" t="inlineStr">
        <is>
          <t>statsmodels.formula.api</t>
        </is>
      </c>
      <c r="F20" s="153" t="inlineStr">
        <is>
          <t>★★★</t>
        </is>
      </c>
      <c r="G20" s="153" t="inlineStr">
        <is>
          <t>W36</t>
        </is>
      </c>
      <c r="J20" s="153">
        <f>IF(AND(H20="",I20=""),"미완료",IF(AND(H20&lt;&gt;"",I20&lt;&gt;""),"🏆 체화완료",IF(H20&lt;&gt;"","1차실습","미완료")))</f>
        <v/>
      </c>
      <c r="K20" s="7" t="n"/>
      <c r="L20" s="7" t="n"/>
    </row>
    <row r="21" ht="19.5" customHeight="1" s="209">
      <c r="A21" s="153" t="n">
        <v>18</v>
      </c>
      <c r="B21" s="120" t="inlineStr">
        <is>
          <t>PART 3(작업형 3)</t>
        </is>
      </c>
      <c r="C21" s="120" t="inlineStr">
        <is>
          <t>CHAPTER 06 작업형3 연습문제</t>
        </is>
      </c>
      <c r="D21" s="120" t="inlineStr">
        <is>
          <t>가설검정/분산분석/카이제곱/다중회귀/로지스틱 실전 연습 9선 전수 풀이</t>
        </is>
      </c>
      <c r="E21" s="120" t="inlineStr">
        <is>
          <t>통계 라이브러리 총결산</t>
        </is>
      </c>
      <c r="F21" s="153" t="inlineStr">
        <is>
          <t>★★★</t>
        </is>
      </c>
      <c r="G21" s="153" t="inlineStr">
        <is>
          <t>W36</t>
        </is>
      </c>
      <c r="J21" s="153">
        <f>IF(AND(H21="",I21=""),"미완료",IF(AND(H21&lt;&gt;"",I21&lt;&gt;""),"🏆 체화완료",IF(H21&lt;&gt;"","1차실습","미완료")))</f>
        <v/>
      </c>
      <c r="K21" s="7" t="n"/>
      <c r="L21" s="7" t="n"/>
    </row>
    <row r="22" ht="19.5" customHeight="1" s="209">
      <c r="A22" s="157" t="n">
        <v>19</v>
      </c>
      <c r="B22" s="120" t="inlineStr">
        <is>
          <t>PART 4(최신 기출)</t>
        </is>
      </c>
      <c r="C22" s="120" t="inlineStr">
        <is>
          <t>제04회~제05회 기출복원</t>
        </is>
      </c>
      <c r="D22" s="120" t="inlineStr">
        <is>
          <t>작업형 1·2·3 실전 180분 타임어택 풀이 및 감점 요인 점검</t>
        </is>
      </c>
      <c r="E22" s="120" t="inlineStr">
        <is>
          <t>기출 풀이</t>
        </is>
      </c>
      <c r="F22" s="157" t="inlineStr">
        <is>
          <t>★★★</t>
        </is>
      </c>
      <c r="G22" s="157" t="inlineStr">
        <is>
          <t>W37</t>
        </is>
      </c>
      <c r="J22" s="157">
        <f>IF(AND(H22="",I22=""),"미완료",IF(AND(H22&lt;&gt;"",I22&lt;&gt;""),"🏆 체화완료",IF(H22&lt;&gt;"","1차실습","미완료")))</f>
        <v/>
      </c>
      <c r="K22" s="7" t="n"/>
      <c r="L22" s="7" t="n"/>
    </row>
    <row r="23" ht="19.5" customHeight="1" s="209">
      <c r="A23" s="157" t="n">
        <v>20</v>
      </c>
      <c r="B23" s="120" t="inlineStr">
        <is>
          <t>PART 4(최신 기출)</t>
        </is>
      </c>
      <c r="C23" s="120" t="inlineStr">
        <is>
          <t>제06회~제07회 기출복원</t>
        </is>
      </c>
      <c r="D23" s="120" t="inlineStr">
        <is>
          <t>작업형 1·2·3 실전 180분 타임어택 풀이 및 CSV 제출 검증</t>
        </is>
      </c>
      <c r="E23" s="120" t="inlineStr">
        <is>
          <t>기출 풀이</t>
        </is>
      </c>
      <c r="F23" s="157" t="inlineStr">
        <is>
          <t>★★★</t>
        </is>
      </c>
      <c r="G23" s="157" t="inlineStr">
        <is>
          <t>W37</t>
        </is>
      </c>
      <c r="J23" s="157">
        <f>IF(AND(H23="",I23=""),"미완료",IF(AND(H23&lt;&gt;"",I23&lt;&gt;""),"🏆 체화완료",IF(H23&lt;&gt;"","1차실습","미완료")))</f>
        <v/>
      </c>
      <c r="K23" s="7" t="n"/>
      <c r="L23" s="7" t="n"/>
    </row>
    <row r="24" ht="19.5" customHeight="1" s="209">
      <c r="A24" s="157" t="n">
        <v>21</v>
      </c>
      <c r="B24" s="120" t="inlineStr">
        <is>
          <t>PART 4(최신 기출)</t>
        </is>
      </c>
      <c r="C24" s="120" t="inlineStr">
        <is>
          <t>제08회~제09회 기출복원</t>
        </is>
      </c>
      <c r="D24" s="120" t="inlineStr">
        <is>
          <t>작업형 1·2·3 실전 180분 타임어택 풀이 및 결측치/이상치 처리 재점검</t>
        </is>
      </c>
      <c r="E24" s="120" t="inlineStr">
        <is>
          <t>기출 풀이</t>
        </is>
      </c>
      <c r="F24" s="157" t="inlineStr">
        <is>
          <t>★★★</t>
        </is>
      </c>
      <c r="G24" s="157" t="inlineStr">
        <is>
          <t>W38</t>
        </is>
      </c>
      <c r="J24" s="157">
        <f>IF(AND(H24="",I24=""),"미완료",IF(AND(H24&lt;&gt;"",I24&lt;&gt;""),"🏆 체화완료",IF(H24&lt;&gt;"","1차실습","미완료")))</f>
        <v/>
      </c>
      <c r="K24" s="7" t="n"/>
      <c r="L24" s="7" t="n"/>
    </row>
    <row r="25" ht="19.5" customHeight="1" s="209">
      <c r="A25" s="157" t="n">
        <v>22</v>
      </c>
      <c r="B25" s="120" t="inlineStr">
        <is>
          <t>PART 4(최신 기출)</t>
        </is>
      </c>
      <c r="C25" s="120" t="inlineStr">
        <is>
          <t>제10회~제11회 기출복원</t>
        </is>
      </c>
      <c r="D25" s="120" t="inlineStr">
        <is>
          <t>최신 출제경향(작업형 3 신유형 집중) 파이널 점검</t>
        </is>
      </c>
      <c r="E25" s="120" t="inlineStr">
        <is>
          <t>기출 풀이</t>
        </is>
      </c>
      <c r="F25" s="157" t="inlineStr">
        <is>
          <t>★★★</t>
        </is>
      </c>
      <c r="G25" s="157" t="inlineStr">
        <is>
          <t>W38</t>
        </is>
      </c>
      <c r="J25" s="157">
        <f>IF(AND(H25="",I25=""),"미완료",IF(AND(H25&lt;&gt;"",I25&lt;&gt;""),"🏆 체화완료",IF(H25&lt;&gt;"","1차실습","미완료")))</f>
        <v/>
      </c>
      <c r="K25" s="7" t="n"/>
      <c r="L25" s="7" t="n"/>
    </row>
    <row r="26" ht="15.75" customHeight="1" s="209">
      <c r="A26" s="7" t="n"/>
      <c r="B26" s="7" t="n"/>
      <c r="C26" s="7" t="n"/>
      <c r="D26" s="7" t="n"/>
      <c r="E26" s="7" t="n"/>
      <c r="F26" s="7" t="n"/>
      <c r="G26" s="7" t="n"/>
      <c r="K26" s="7" t="n"/>
      <c r="L26" s="7" t="n"/>
    </row>
    <row r="27" ht="15.75" customHeight="1" s="209">
      <c r="A27" s="7" t="n"/>
      <c r="B27" s="7" t="n"/>
      <c r="C27" s="7" t="n"/>
      <c r="D27" s="7" t="n"/>
      <c r="E27" s="7" t="n"/>
      <c r="F27" s="7" t="n"/>
      <c r="G27" s="7" t="n"/>
      <c r="K27" s="7" t="n"/>
      <c r="L27" s="7" t="n"/>
    </row>
    <row r="28" ht="15.75" customHeight="1" s="209">
      <c r="A28" s="7" t="n"/>
      <c r="B28" s="7" t="n"/>
      <c r="C28" s="7" t="n"/>
      <c r="D28" s="7" t="n"/>
      <c r="E28" s="7" t="n"/>
      <c r="F28" s="7" t="n"/>
      <c r="G28" s="7" t="n"/>
      <c r="K28" s="7" t="n"/>
      <c r="L28" s="7" t="n"/>
    </row>
    <row r="29" ht="15.75" customHeight="1" s="209">
      <c r="A29" s="7" t="n"/>
      <c r="B29" s="7" t="n"/>
      <c r="C29" s="7" t="n"/>
      <c r="D29" s="7" t="n"/>
      <c r="E29" s="7" t="n"/>
      <c r="F29" s="7" t="n"/>
      <c r="G29" s="7" t="n"/>
      <c r="K29" s="7" t="n"/>
      <c r="L29" s="7" t="n"/>
    </row>
    <row r="30" ht="15.75" customHeight="1" s="209">
      <c r="A30" s="7" t="n"/>
      <c r="B30" s="7" t="n"/>
      <c r="C30" s="7" t="n"/>
      <c r="D30" s="7" t="n"/>
      <c r="E30" s="7" t="n"/>
      <c r="F30" s="7" t="n"/>
      <c r="G30" s="7" t="n"/>
      <c r="K30" s="7" t="n"/>
      <c r="L30" s="7" t="n"/>
    </row>
    <row r="31" ht="15.75" customHeight="1" s="209">
      <c r="A31" s="7" t="n"/>
      <c r="B31" s="7" t="n"/>
      <c r="C31" s="7" t="n"/>
      <c r="D31" s="7" t="n"/>
      <c r="E31" s="7" t="n"/>
      <c r="F31" s="7" t="n"/>
      <c r="G31" s="7" t="n"/>
      <c r="K31" s="7" t="n"/>
      <c r="L31" s="7" t="n"/>
    </row>
    <row r="32" ht="15.75" customHeight="1" s="209">
      <c r="A32" s="7" t="n"/>
      <c r="B32" s="7" t="n"/>
      <c r="C32" s="7" t="n"/>
      <c r="D32" s="7" t="n"/>
      <c r="E32" s="7" t="n"/>
      <c r="F32" s="7" t="n"/>
      <c r="G32" s="7" t="n"/>
      <c r="K32" s="7" t="n"/>
      <c r="L32" s="7" t="n"/>
    </row>
    <row r="33" ht="15.75" customHeight="1" s="209">
      <c r="A33" s="7" t="n"/>
      <c r="B33" s="7" t="n"/>
      <c r="C33" s="7" t="n"/>
      <c r="D33" s="7" t="n"/>
      <c r="E33" s="7" t="n"/>
      <c r="F33" s="7" t="n"/>
      <c r="G33" s="7" t="n"/>
      <c r="K33" s="7" t="n"/>
      <c r="L33" s="7" t="n"/>
    </row>
    <row r="34" ht="15.75" customHeight="1" s="209">
      <c r="A34" s="7" t="n"/>
      <c r="B34" s="7" t="n"/>
      <c r="C34" s="7" t="n"/>
      <c r="D34" s="7" t="n"/>
      <c r="E34" s="7" t="n"/>
      <c r="F34" s="7" t="n"/>
      <c r="G34" s="7" t="n"/>
      <c r="K34" s="7" t="n"/>
      <c r="L34" s="7" t="n"/>
    </row>
    <row r="35" ht="15.75" customHeight="1" s="209">
      <c r="A35" s="7" t="n"/>
      <c r="B35" s="7" t="n"/>
      <c r="C35" s="7" t="n"/>
      <c r="D35" s="7" t="n"/>
      <c r="E35" s="7" t="n"/>
      <c r="F35" s="7" t="n"/>
      <c r="G35" s="7" t="n"/>
      <c r="K35" s="7" t="n"/>
      <c r="L35" s="7" t="n"/>
    </row>
    <row r="36" ht="15.75" customHeight="1" s="209">
      <c r="A36" s="7" t="n"/>
      <c r="B36" s="7" t="n"/>
      <c r="C36" s="7" t="n"/>
      <c r="D36" s="7" t="n"/>
      <c r="E36" s="7" t="n"/>
      <c r="F36" s="7" t="n"/>
      <c r="G36" s="7" t="n"/>
      <c r="K36" s="7" t="n"/>
      <c r="L36" s="7" t="n"/>
    </row>
    <row r="37" ht="15.75" customHeight="1" s="209">
      <c r="A37" s="7" t="n"/>
      <c r="B37" s="7" t="n"/>
      <c r="C37" s="7" t="n"/>
      <c r="D37" s="7" t="n"/>
      <c r="E37" s="7" t="n"/>
      <c r="F37" s="7" t="n"/>
      <c r="G37" s="7" t="n"/>
      <c r="K37" s="7" t="n"/>
      <c r="L37" s="7" t="n"/>
    </row>
    <row r="38" ht="15.75" customHeight="1" s="209">
      <c r="A38" s="7" t="n"/>
      <c r="B38" s="7" t="n"/>
      <c r="C38" s="7" t="n"/>
      <c r="D38" s="7" t="n"/>
      <c r="E38" s="7" t="n"/>
      <c r="F38" s="7" t="n"/>
      <c r="G38" s="7" t="n"/>
      <c r="K38" s="7" t="n"/>
      <c r="L38" s="7" t="n"/>
    </row>
    <row r="39" ht="15.75" customHeight="1" s="209">
      <c r="A39" s="7" t="n"/>
      <c r="B39" s="7" t="n"/>
      <c r="C39" s="7" t="n"/>
      <c r="D39" s="7" t="n"/>
      <c r="E39" s="7" t="n"/>
      <c r="F39" s="7" t="n"/>
      <c r="G39" s="7" t="n"/>
      <c r="K39" s="7" t="n"/>
      <c r="L39" s="7" t="n"/>
    </row>
    <row r="40" ht="15.75" customHeight="1" s="209">
      <c r="A40" s="7" t="n"/>
      <c r="B40" s="7" t="n"/>
      <c r="C40" s="7" t="n"/>
      <c r="D40" s="7" t="n"/>
      <c r="E40" s="7" t="n"/>
      <c r="F40" s="7" t="n"/>
      <c r="G40" s="7" t="n"/>
      <c r="K40" s="7" t="n"/>
      <c r="L40" s="7" t="n"/>
    </row>
    <row r="41" ht="15.75" customHeight="1" s="209">
      <c r="A41" s="7" t="n"/>
      <c r="B41" s="7" t="n"/>
      <c r="C41" s="7" t="n"/>
      <c r="D41" s="7" t="n"/>
      <c r="E41" s="7" t="n"/>
      <c r="F41" s="7" t="n"/>
      <c r="G41" s="7" t="n"/>
      <c r="K41" s="7" t="n"/>
      <c r="L41" s="7" t="n"/>
    </row>
    <row r="42" ht="15.75" customHeight="1" s="209">
      <c r="A42" s="7" t="n"/>
      <c r="B42" s="7" t="n"/>
      <c r="C42" s="7" t="n"/>
      <c r="D42" s="7" t="n"/>
      <c r="E42" s="7" t="n"/>
      <c r="F42" s="7" t="n"/>
      <c r="G42" s="7" t="n"/>
      <c r="K42" s="7" t="n"/>
      <c r="L42" s="7" t="n"/>
    </row>
    <row r="43" ht="15.75" customHeight="1" s="209">
      <c r="A43" s="7" t="n"/>
      <c r="B43" s="7" t="n"/>
      <c r="C43" s="7" t="n"/>
      <c r="D43" s="7" t="n"/>
      <c r="E43" s="7" t="n"/>
      <c r="F43" s="7" t="n"/>
      <c r="G43" s="7" t="n"/>
      <c r="K43" s="7" t="n"/>
      <c r="L43" s="7" t="n"/>
    </row>
    <row r="44" ht="15.75" customHeight="1" s="209">
      <c r="A44" s="7" t="n"/>
      <c r="B44" s="7" t="n"/>
      <c r="C44" s="7" t="n"/>
      <c r="D44" s="7" t="n"/>
      <c r="E44" s="7" t="n"/>
      <c r="F44" s="7" t="n"/>
      <c r="G44" s="7" t="n"/>
      <c r="K44" s="7" t="n"/>
      <c r="L44" s="7" t="n"/>
    </row>
    <row r="45" ht="15.75" customHeight="1" s="209">
      <c r="A45" s="7" t="n"/>
      <c r="B45" s="7" t="n"/>
      <c r="C45" s="7" t="n"/>
      <c r="D45" s="7" t="n"/>
      <c r="E45" s="7" t="n"/>
      <c r="F45" s="7" t="n"/>
      <c r="G45" s="7" t="n"/>
      <c r="K45" s="7" t="n"/>
      <c r="L45" s="7" t="n"/>
    </row>
    <row r="46" ht="15.75" customHeight="1" s="209">
      <c r="A46" s="7" t="n"/>
      <c r="B46" s="7" t="n"/>
      <c r="C46" s="7" t="n"/>
      <c r="D46" s="7" t="n"/>
      <c r="E46" s="7" t="n"/>
      <c r="F46" s="7" t="n"/>
      <c r="G46" s="7" t="n"/>
      <c r="K46" s="7" t="n"/>
      <c r="L46" s="7" t="n"/>
    </row>
    <row r="47" ht="15.75" customHeight="1" s="209">
      <c r="A47" s="7" t="n"/>
      <c r="B47" s="7" t="n"/>
      <c r="C47" s="7" t="n"/>
      <c r="D47" s="7" t="n"/>
      <c r="E47" s="7" t="n"/>
      <c r="F47" s="7" t="n"/>
      <c r="G47" s="7" t="n"/>
      <c r="K47" s="7" t="n"/>
      <c r="L47" s="7" t="n"/>
    </row>
    <row r="48" ht="15.75" customHeight="1" s="209">
      <c r="A48" s="7" t="n"/>
      <c r="B48" s="7" t="n"/>
      <c r="C48" s="7" t="n"/>
      <c r="D48" s="7" t="n"/>
      <c r="E48" s="7" t="n"/>
      <c r="F48" s="7" t="n"/>
      <c r="G48" s="7" t="n"/>
      <c r="K48" s="7" t="n"/>
      <c r="L48" s="7" t="n"/>
    </row>
    <row r="49" ht="15.75" customHeight="1" s="209">
      <c r="A49" s="7" t="n"/>
      <c r="B49" s="7" t="n"/>
      <c r="C49" s="7" t="n"/>
      <c r="D49" s="7" t="n"/>
      <c r="E49" s="7" t="n"/>
      <c r="F49" s="7" t="n"/>
      <c r="G49" s="7" t="n"/>
      <c r="K49" s="7" t="n"/>
      <c r="L49" s="7" t="n"/>
    </row>
    <row r="50" ht="15.75" customHeight="1" s="209">
      <c r="A50" s="7" t="n"/>
      <c r="B50" s="7" t="n"/>
      <c r="C50" s="7" t="n"/>
      <c r="D50" s="7" t="n"/>
      <c r="E50" s="7" t="n"/>
      <c r="F50" s="7" t="n"/>
      <c r="G50" s="7" t="n"/>
      <c r="K50" s="7" t="n"/>
      <c r="L50" s="7" t="n"/>
    </row>
    <row r="51" ht="15.75" customHeight="1" s="209">
      <c r="A51" s="7" t="n"/>
      <c r="B51" s="7" t="n"/>
      <c r="C51" s="7" t="n"/>
      <c r="D51" s="7" t="n"/>
      <c r="E51" s="7" t="n"/>
      <c r="F51" s="7" t="n"/>
      <c r="G51" s="7" t="n"/>
      <c r="K51" s="7" t="n"/>
      <c r="L51" s="7" t="n"/>
    </row>
    <row r="52" ht="15.75" customHeight="1" s="209">
      <c r="A52" s="7" t="n"/>
      <c r="B52" s="7" t="n"/>
      <c r="C52" s="7" t="n"/>
      <c r="D52" s="7" t="n"/>
      <c r="E52" s="7" t="n"/>
      <c r="F52" s="7" t="n"/>
      <c r="G52" s="7" t="n"/>
      <c r="K52" s="7" t="n"/>
      <c r="L52" s="7" t="n"/>
    </row>
    <row r="53" ht="15.75" customHeight="1" s="209">
      <c r="A53" s="7" t="n"/>
      <c r="B53" s="7" t="n"/>
      <c r="C53" s="7" t="n"/>
      <c r="D53" s="7" t="n"/>
      <c r="E53" s="7" t="n"/>
      <c r="F53" s="7" t="n"/>
      <c r="G53" s="7" t="n"/>
      <c r="K53" s="7" t="n"/>
      <c r="L53" s="7" t="n"/>
    </row>
    <row r="54" ht="15.75" customHeight="1" s="209">
      <c r="A54" s="7" t="n"/>
      <c r="B54" s="7" t="n"/>
      <c r="C54" s="7" t="n"/>
      <c r="D54" s="7" t="n"/>
      <c r="E54" s="7" t="n"/>
      <c r="F54" s="7" t="n"/>
      <c r="G54" s="7" t="n"/>
      <c r="K54" s="7" t="n"/>
      <c r="L54" s="7" t="n"/>
    </row>
    <row r="55" ht="15.75" customHeight="1" s="209">
      <c r="A55" s="7" t="n"/>
      <c r="B55" s="7" t="n"/>
      <c r="C55" s="7" t="n"/>
      <c r="D55" s="7" t="n"/>
      <c r="E55" s="7" t="n"/>
      <c r="F55" s="7" t="n"/>
      <c r="G55" s="7" t="n"/>
      <c r="K55" s="7" t="n"/>
      <c r="L55" s="7" t="n"/>
    </row>
    <row r="56" ht="15.75" customHeight="1" s="209">
      <c r="A56" s="7" t="n"/>
      <c r="B56" s="7" t="n"/>
      <c r="C56" s="7" t="n"/>
      <c r="D56" s="7" t="n"/>
      <c r="E56" s="7" t="n"/>
      <c r="F56" s="7" t="n"/>
      <c r="G56" s="7" t="n"/>
      <c r="K56" s="7" t="n"/>
      <c r="L56" s="7" t="n"/>
    </row>
    <row r="57" ht="15.75" customHeight="1" s="209">
      <c r="A57" s="7" t="n"/>
      <c r="B57" s="7" t="n"/>
      <c r="C57" s="7" t="n"/>
      <c r="D57" s="7" t="n"/>
      <c r="E57" s="7" t="n"/>
      <c r="F57" s="7" t="n"/>
      <c r="G57" s="7" t="n"/>
      <c r="K57" s="7" t="n"/>
      <c r="L57" s="7" t="n"/>
    </row>
    <row r="58" ht="15.75" customHeight="1" s="209">
      <c r="A58" s="7" t="n"/>
      <c r="B58" s="7" t="n"/>
      <c r="C58" s="7" t="n"/>
      <c r="D58" s="7" t="n"/>
      <c r="E58" s="7" t="n"/>
      <c r="F58" s="7" t="n"/>
      <c r="G58" s="7" t="n"/>
      <c r="K58" s="7" t="n"/>
      <c r="L58" s="7" t="n"/>
    </row>
    <row r="59" ht="15.75" customHeight="1" s="209">
      <c r="A59" s="7" t="n"/>
      <c r="B59" s="7" t="n"/>
      <c r="C59" s="7" t="n"/>
      <c r="D59" s="7" t="n"/>
      <c r="E59" s="7" t="n"/>
      <c r="F59" s="7" t="n"/>
      <c r="G59" s="7" t="n"/>
      <c r="K59" s="7" t="n"/>
      <c r="L59" s="7" t="n"/>
    </row>
    <row r="60" ht="15.75" customHeight="1" s="209">
      <c r="A60" s="7" t="n"/>
      <c r="B60" s="7" t="n"/>
      <c r="C60" s="7" t="n"/>
      <c r="D60" s="7" t="n"/>
      <c r="E60" s="7" t="n"/>
      <c r="F60" s="7" t="n"/>
      <c r="G60" s="7" t="n"/>
      <c r="K60" s="7" t="n"/>
      <c r="L60" s="7" t="n"/>
    </row>
    <row r="61" ht="15.75" customHeight="1" s="209">
      <c r="A61" s="7" t="n"/>
      <c r="B61" s="7" t="n"/>
      <c r="C61" s="7" t="n"/>
      <c r="D61" s="7" t="n"/>
      <c r="E61" s="7" t="n"/>
      <c r="F61" s="7" t="n"/>
      <c r="G61" s="7" t="n"/>
      <c r="K61" s="7" t="n"/>
      <c r="L61" s="7" t="n"/>
    </row>
    <row r="62" ht="15.75" customHeight="1" s="209">
      <c r="A62" s="7" t="n"/>
      <c r="B62" s="7" t="n"/>
      <c r="C62" s="7" t="n"/>
      <c r="D62" s="7" t="n"/>
      <c r="E62" s="7" t="n"/>
      <c r="F62" s="7" t="n"/>
      <c r="G62" s="7" t="n"/>
      <c r="K62" s="7" t="n"/>
      <c r="L62" s="7" t="n"/>
    </row>
    <row r="63" ht="15.75" customHeight="1" s="209">
      <c r="A63" s="7" t="n"/>
      <c r="B63" s="7" t="n"/>
      <c r="C63" s="7" t="n"/>
      <c r="D63" s="7" t="n"/>
      <c r="E63" s="7" t="n"/>
      <c r="F63" s="7" t="n"/>
      <c r="G63" s="7" t="n"/>
      <c r="K63" s="7" t="n"/>
      <c r="L63" s="7" t="n"/>
    </row>
    <row r="64" ht="15.75" customHeight="1" s="209">
      <c r="A64" s="7" t="n"/>
      <c r="B64" s="7" t="n"/>
      <c r="C64" s="7" t="n"/>
      <c r="D64" s="7" t="n"/>
      <c r="E64" s="7" t="n"/>
      <c r="F64" s="7" t="n"/>
      <c r="G64" s="7" t="n"/>
      <c r="K64" s="7" t="n"/>
      <c r="L64" s="7" t="n"/>
    </row>
    <row r="65" ht="15.75" customHeight="1" s="209">
      <c r="A65" s="7" t="n"/>
      <c r="B65" s="7" t="n"/>
      <c r="C65" s="7" t="n"/>
      <c r="D65" s="7" t="n"/>
      <c r="E65" s="7" t="n"/>
      <c r="F65" s="7" t="n"/>
      <c r="G65" s="7" t="n"/>
      <c r="K65" s="7" t="n"/>
      <c r="L65" s="7" t="n"/>
    </row>
    <row r="66" ht="15.75" customHeight="1" s="209">
      <c r="A66" s="7" t="n"/>
      <c r="B66" s="7" t="n"/>
      <c r="C66" s="7" t="n"/>
      <c r="D66" s="7" t="n"/>
      <c r="E66" s="7" t="n"/>
      <c r="F66" s="7" t="n"/>
      <c r="G66" s="7" t="n"/>
      <c r="K66" s="7" t="n"/>
      <c r="L66" s="7" t="n"/>
    </row>
    <row r="67" ht="15.75" customHeight="1" s="209">
      <c r="A67" s="7" t="n"/>
      <c r="B67" s="7" t="n"/>
      <c r="C67" s="7" t="n"/>
      <c r="D67" s="7" t="n"/>
      <c r="E67" s="7" t="n"/>
      <c r="F67" s="7" t="n"/>
      <c r="G67" s="7" t="n"/>
      <c r="K67" s="7" t="n"/>
      <c r="L67" s="7" t="n"/>
    </row>
    <row r="68" ht="15.75" customHeight="1" s="209">
      <c r="A68" s="7" t="n"/>
      <c r="B68" s="7" t="n"/>
      <c r="C68" s="7" t="n"/>
      <c r="D68" s="7" t="n"/>
      <c r="E68" s="7" t="n"/>
      <c r="F68" s="7" t="n"/>
      <c r="G68" s="7" t="n"/>
      <c r="K68" s="7" t="n"/>
      <c r="L68" s="7" t="n"/>
    </row>
    <row r="69" ht="15.75" customHeight="1" s="209">
      <c r="A69" s="7" t="n"/>
      <c r="B69" s="7" t="n"/>
      <c r="C69" s="7" t="n"/>
      <c r="D69" s="7" t="n"/>
      <c r="E69" s="7" t="n"/>
      <c r="F69" s="7" t="n"/>
      <c r="G69" s="7" t="n"/>
      <c r="K69" s="7" t="n"/>
      <c r="L69" s="7" t="n"/>
    </row>
    <row r="70" ht="15.75" customHeight="1" s="209">
      <c r="A70" s="7" t="n"/>
      <c r="B70" s="7" t="n"/>
      <c r="C70" s="7" t="n"/>
      <c r="D70" s="7" t="n"/>
      <c r="E70" s="7" t="n"/>
      <c r="F70" s="7" t="n"/>
      <c r="G70" s="7" t="n"/>
      <c r="K70" s="7" t="n"/>
      <c r="L70" s="7" t="n"/>
    </row>
    <row r="71" ht="15.75" customHeight="1" s="209">
      <c r="A71" s="7" t="n"/>
      <c r="B71" s="7" t="n"/>
      <c r="C71" s="7" t="n"/>
      <c r="D71" s="7" t="n"/>
      <c r="E71" s="7" t="n"/>
      <c r="F71" s="7" t="n"/>
      <c r="G71" s="7" t="n"/>
      <c r="K71" s="7" t="n"/>
      <c r="L71" s="7" t="n"/>
    </row>
    <row r="72" ht="15.75" customHeight="1" s="209">
      <c r="A72" s="7" t="n"/>
      <c r="B72" s="7" t="n"/>
      <c r="C72" s="7" t="n"/>
      <c r="D72" s="7" t="n"/>
      <c r="E72" s="7" t="n"/>
      <c r="F72" s="7" t="n"/>
      <c r="G72" s="7" t="n"/>
      <c r="K72" s="7" t="n"/>
      <c r="L72" s="7" t="n"/>
    </row>
    <row r="73" ht="15.75" customHeight="1" s="209">
      <c r="A73" s="7" t="n"/>
      <c r="B73" s="7" t="n"/>
      <c r="C73" s="7" t="n"/>
      <c r="D73" s="7" t="n"/>
      <c r="E73" s="7" t="n"/>
      <c r="F73" s="7" t="n"/>
      <c r="G73" s="7" t="n"/>
      <c r="K73" s="7" t="n"/>
      <c r="L73" s="7" t="n"/>
    </row>
    <row r="74" ht="15.75" customHeight="1" s="209">
      <c r="A74" s="7" t="n"/>
      <c r="B74" s="7" t="n"/>
      <c r="C74" s="7" t="n"/>
      <c r="D74" s="7" t="n"/>
      <c r="E74" s="7" t="n"/>
      <c r="F74" s="7" t="n"/>
      <c r="G74" s="7" t="n"/>
      <c r="K74" s="7" t="n"/>
      <c r="L74" s="7" t="n"/>
    </row>
    <row r="75" ht="15.75" customHeight="1" s="209">
      <c r="A75" s="7" t="n"/>
      <c r="B75" s="7" t="n"/>
      <c r="C75" s="7" t="n"/>
      <c r="D75" s="7" t="n"/>
      <c r="E75" s="7" t="n"/>
      <c r="F75" s="7" t="n"/>
      <c r="G75" s="7" t="n"/>
      <c r="K75" s="7" t="n"/>
      <c r="L75" s="7" t="n"/>
    </row>
    <row r="76" ht="15.75" customHeight="1" s="209">
      <c r="A76" s="7" t="n"/>
      <c r="B76" s="7" t="n"/>
      <c r="C76" s="7" t="n"/>
      <c r="D76" s="7" t="n"/>
      <c r="E76" s="7" t="n"/>
      <c r="F76" s="7" t="n"/>
      <c r="G76" s="7" t="n"/>
      <c r="K76" s="7" t="n"/>
      <c r="L76" s="7" t="n"/>
    </row>
    <row r="77" ht="15.75" customHeight="1" s="209">
      <c r="A77" s="7" t="n"/>
      <c r="B77" s="7" t="n"/>
      <c r="C77" s="7" t="n"/>
      <c r="D77" s="7" t="n"/>
      <c r="E77" s="7" t="n"/>
      <c r="F77" s="7" t="n"/>
      <c r="G77" s="7" t="n"/>
      <c r="K77" s="7" t="n"/>
      <c r="L77" s="7" t="n"/>
    </row>
    <row r="78" ht="15.75" customHeight="1" s="209">
      <c r="A78" s="7" t="n"/>
      <c r="B78" s="7" t="n"/>
      <c r="C78" s="7" t="n"/>
      <c r="D78" s="7" t="n"/>
      <c r="E78" s="7" t="n"/>
      <c r="F78" s="7" t="n"/>
      <c r="G78" s="7" t="n"/>
      <c r="K78" s="7" t="n"/>
      <c r="L78" s="7" t="n"/>
    </row>
    <row r="79" ht="15.75" customHeight="1" s="209">
      <c r="A79" s="7" t="n"/>
      <c r="B79" s="7" t="n"/>
      <c r="C79" s="7" t="n"/>
      <c r="D79" s="7" t="n"/>
      <c r="E79" s="7" t="n"/>
      <c r="F79" s="7" t="n"/>
      <c r="G79" s="7" t="n"/>
      <c r="K79" s="7" t="n"/>
      <c r="L79" s="7" t="n"/>
    </row>
    <row r="80" ht="15.75" customHeight="1" s="209">
      <c r="A80" s="7" t="n"/>
      <c r="B80" s="7" t="n"/>
      <c r="C80" s="7" t="n"/>
      <c r="D80" s="7" t="n"/>
      <c r="E80" s="7" t="n"/>
      <c r="F80" s="7" t="n"/>
      <c r="G80" s="7" t="n"/>
      <c r="K80" s="7" t="n"/>
      <c r="L80" s="7" t="n"/>
    </row>
    <row r="81" ht="15.75" customHeight="1" s="209">
      <c r="A81" s="7" t="n"/>
      <c r="B81" s="7" t="n"/>
      <c r="C81" s="7" t="n"/>
      <c r="D81" s="7" t="n"/>
      <c r="E81" s="7" t="n"/>
      <c r="F81" s="7" t="n"/>
      <c r="G81" s="7" t="n"/>
      <c r="K81" s="7" t="n"/>
      <c r="L81" s="7" t="n"/>
    </row>
    <row r="82" ht="15.75" customHeight="1" s="209">
      <c r="A82" s="7" t="n"/>
      <c r="B82" s="7" t="n"/>
      <c r="C82" s="7" t="n"/>
      <c r="D82" s="7" t="n"/>
      <c r="E82" s="7" t="n"/>
      <c r="F82" s="7" t="n"/>
      <c r="G82" s="7" t="n"/>
      <c r="K82" s="7" t="n"/>
      <c r="L82" s="7" t="n"/>
    </row>
    <row r="83" ht="15.75" customHeight="1" s="209">
      <c r="A83" s="7" t="n"/>
      <c r="B83" s="7" t="n"/>
      <c r="C83" s="7" t="n"/>
      <c r="D83" s="7" t="n"/>
      <c r="E83" s="7" t="n"/>
      <c r="F83" s="7" t="n"/>
      <c r="G83" s="7" t="n"/>
      <c r="K83" s="7" t="n"/>
      <c r="L83" s="7" t="n"/>
    </row>
    <row r="84" ht="15.75" customHeight="1" s="209">
      <c r="A84" s="7" t="n"/>
      <c r="B84" s="7" t="n"/>
      <c r="C84" s="7" t="n"/>
      <c r="D84" s="7" t="n"/>
      <c r="E84" s="7" t="n"/>
      <c r="F84" s="7" t="n"/>
      <c r="G84" s="7" t="n"/>
      <c r="K84" s="7" t="n"/>
      <c r="L84" s="7" t="n"/>
    </row>
    <row r="85" ht="15.75" customHeight="1" s="209">
      <c r="A85" s="7" t="n"/>
      <c r="B85" s="7" t="n"/>
      <c r="C85" s="7" t="n"/>
      <c r="D85" s="7" t="n"/>
      <c r="E85" s="7" t="n"/>
      <c r="F85" s="7" t="n"/>
      <c r="G85" s="7" t="n"/>
      <c r="K85" s="7" t="n"/>
      <c r="L85" s="7" t="n"/>
    </row>
    <row r="86" ht="15.75" customHeight="1" s="209">
      <c r="A86" s="7" t="n"/>
      <c r="B86" s="7" t="n"/>
      <c r="C86" s="7" t="n"/>
      <c r="D86" s="7" t="n"/>
      <c r="E86" s="7" t="n"/>
      <c r="F86" s="7" t="n"/>
      <c r="G86" s="7" t="n"/>
      <c r="K86" s="7" t="n"/>
      <c r="L86" s="7" t="n"/>
    </row>
    <row r="87" ht="15.75" customHeight="1" s="209">
      <c r="A87" s="7" t="n"/>
      <c r="B87" s="7" t="n"/>
      <c r="C87" s="7" t="n"/>
      <c r="D87" s="7" t="n"/>
      <c r="E87" s="7" t="n"/>
      <c r="F87" s="7" t="n"/>
      <c r="G87" s="7" t="n"/>
      <c r="K87" s="7" t="n"/>
      <c r="L87" s="7" t="n"/>
    </row>
    <row r="88" ht="15.75" customHeight="1" s="209">
      <c r="A88" s="7" t="n"/>
      <c r="B88" s="7" t="n"/>
      <c r="C88" s="7" t="n"/>
      <c r="D88" s="7" t="n"/>
      <c r="E88" s="7" t="n"/>
      <c r="F88" s="7" t="n"/>
      <c r="G88" s="7" t="n"/>
      <c r="K88" s="7" t="n"/>
      <c r="L88" s="7" t="n"/>
    </row>
    <row r="89" ht="15.75" customHeight="1" s="209">
      <c r="A89" s="7" t="n"/>
      <c r="B89" s="7" t="n"/>
      <c r="C89" s="7" t="n"/>
      <c r="D89" s="7" t="n"/>
      <c r="E89" s="7" t="n"/>
      <c r="F89" s="7" t="n"/>
      <c r="G89" s="7" t="n"/>
      <c r="K89" s="7" t="n"/>
      <c r="L89" s="7" t="n"/>
    </row>
    <row r="90" ht="15.75" customHeight="1" s="209">
      <c r="A90" s="7" t="n"/>
      <c r="B90" s="7" t="n"/>
      <c r="C90" s="7" t="n"/>
      <c r="D90" s="7" t="n"/>
      <c r="E90" s="7" t="n"/>
      <c r="F90" s="7" t="n"/>
      <c r="G90" s="7" t="n"/>
      <c r="K90" s="7" t="n"/>
      <c r="L90" s="7" t="n"/>
    </row>
    <row r="91" ht="15.75" customHeight="1" s="209">
      <c r="A91" s="7" t="n"/>
      <c r="B91" s="7" t="n"/>
      <c r="C91" s="7" t="n"/>
      <c r="D91" s="7" t="n"/>
      <c r="E91" s="7" t="n"/>
      <c r="F91" s="7" t="n"/>
      <c r="G91" s="7" t="n"/>
      <c r="K91" s="7" t="n"/>
      <c r="L91" s="7" t="n"/>
    </row>
    <row r="92" ht="15.75" customHeight="1" s="209">
      <c r="A92" s="7" t="n"/>
      <c r="B92" s="7" t="n"/>
      <c r="C92" s="7" t="n"/>
      <c r="D92" s="7" t="n"/>
      <c r="E92" s="7" t="n"/>
      <c r="F92" s="7" t="n"/>
      <c r="G92" s="7" t="n"/>
      <c r="K92" s="7" t="n"/>
      <c r="L92" s="7" t="n"/>
    </row>
    <row r="93" ht="15.75" customHeight="1" s="209">
      <c r="A93" s="7" t="n"/>
      <c r="B93" s="7" t="n"/>
      <c r="C93" s="7" t="n"/>
      <c r="D93" s="7" t="n"/>
      <c r="E93" s="7" t="n"/>
      <c r="F93" s="7" t="n"/>
      <c r="G93" s="7" t="n"/>
      <c r="K93" s="7" t="n"/>
      <c r="L93" s="7" t="n"/>
    </row>
    <row r="94" ht="15.75" customHeight="1" s="209">
      <c r="A94" s="7" t="n"/>
      <c r="B94" s="7" t="n"/>
      <c r="C94" s="7" t="n"/>
      <c r="D94" s="7" t="n"/>
      <c r="E94" s="7" t="n"/>
      <c r="F94" s="7" t="n"/>
      <c r="G94" s="7" t="n"/>
      <c r="K94" s="7" t="n"/>
      <c r="L94" s="7" t="n"/>
    </row>
    <row r="95" ht="15.75" customHeight="1" s="209">
      <c r="A95" s="7" t="n"/>
      <c r="B95" s="7" t="n"/>
      <c r="C95" s="7" t="n"/>
      <c r="D95" s="7" t="n"/>
      <c r="E95" s="7" t="n"/>
      <c r="F95" s="7" t="n"/>
      <c r="G95" s="7" t="n"/>
      <c r="K95" s="7" t="n"/>
      <c r="L95" s="7" t="n"/>
    </row>
    <row r="96" ht="15.75" customHeight="1" s="209">
      <c r="A96" s="7" t="n"/>
      <c r="B96" s="7" t="n"/>
      <c r="C96" s="7" t="n"/>
      <c r="D96" s="7" t="n"/>
      <c r="E96" s="7" t="n"/>
      <c r="F96" s="7" t="n"/>
      <c r="G96" s="7" t="n"/>
      <c r="K96" s="7" t="n"/>
      <c r="L96" s="7" t="n"/>
    </row>
    <row r="97" ht="15.75" customHeight="1" s="209">
      <c r="A97" s="7" t="n"/>
      <c r="B97" s="7" t="n"/>
      <c r="C97" s="7" t="n"/>
      <c r="D97" s="7" t="n"/>
      <c r="E97" s="7" t="n"/>
      <c r="F97" s="7" t="n"/>
      <c r="G97" s="7" t="n"/>
      <c r="K97" s="7" t="n"/>
      <c r="L97" s="7" t="n"/>
    </row>
    <row r="98" ht="15.75" customHeight="1" s="209">
      <c r="A98" s="7" t="n"/>
      <c r="B98" s="7" t="n"/>
      <c r="C98" s="7" t="n"/>
      <c r="D98" s="7" t="n"/>
      <c r="E98" s="7" t="n"/>
      <c r="F98" s="7" t="n"/>
      <c r="G98" s="7" t="n"/>
      <c r="K98" s="7" t="n"/>
      <c r="L98" s="7" t="n"/>
    </row>
    <row r="99" ht="15.75" customHeight="1" s="209">
      <c r="A99" s="7" t="n"/>
      <c r="B99" s="7" t="n"/>
      <c r="C99" s="7" t="n"/>
      <c r="D99" s="7" t="n"/>
      <c r="E99" s="7" t="n"/>
      <c r="F99" s="7" t="n"/>
      <c r="G99" s="7" t="n"/>
      <c r="K99" s="7" t="n"/>
      <c r="L99" s="7" t="n"/>
    </row>
    <row r="100" ht="15.75" customHeight="1" s="209">
      <c r="A100" s="7" t="n"/>
      <c r="B100" s="7" t="n"/>
      <c r="C100" s="7" t="n"/>
      <c r="D100" s="7" t="n"/>
      <c r="E100" s="7" t="n"/>
      <c r="F100" s="7" t="n"/>
      <c r="G100" s="7" t="n"/>
      <c r="K100" s="7" t="n"/>
      <c r="L100" s="7" t="n"/>
    </row>
    <row r="101" ht="15.75" customHeight="1" s="209">
      <c r="A101" s="7" t="n"/>
      <c r="B101" s="7" t="n"/>
      <c r="C101" s="7" t="n"/>
      <c r="D101" s="7" t="n"/>
      <c r="E101" s="7" t="n"/>
      <c r="F101" s="7" t="n"/>
      <c r="G101" s="7" t="n"/>
      <c r="K101" s="7" t="n"/>
      <c r="L101" s="7" t="n"/>
    </row>
    <row r="102" ht="15.75" customHeight="1" s="209">
      <c r="A102" s="7" t="n"/>
      <c r="B102" s="7" t="n"/>
      <c r="C102" s="7" t="n"/>
      <c r="D102" s="7" t="n"/>
      <c r="E102" s="7" t="n"/>
      <c r="F102" s="7" t="n"/>
      <c r="G102" s="7" t="n"/>
      <c r="K102" s="7" t="n"/>
      <c r="L102" s="7" t="n"/>
    </row>
    <row r="103" ht="15.75" customHeight="1" s="209">
      <c r="A103" s="7" t="n"/>
      <c r="B103" s="7" t="n"/>
      <c r="C103" s="7" t="n"/>
      <c r="D103" s="7" t="n"/>
      <c r="E103" s="7" t="n"/>
      <c r="F103" s="7" t="n"/>
      <c r="G103" s="7" t="n"/>
      <c r="K103" s="7" t="n"/>
      <c r="L103" s="7" t="n"/>
    </row>
    <row r="104" ht="15.75" customHeight="1" s="209">
      <c r="A104" s="7" t="n"/>
      <c r="B104" s="7" t="n"/>
      <c r="C104" s="7" t="n"/>
      <c r="D104" s="7" t="n"/>
      <c r="E104" s="7" t="n"/>
      <c r="F104" s="7" t="n"/>
      <c r="G104" s="7" t="n"/>
      <c r="K104" s="7" t="n"/>
      <c r="L104" s="7" t="n"/>
    </row>
    <row r="105" ht="15.75" customHeight="1" s="209">
      <c r="A105" s="7" t="n"/>
      <c r="B105" s="7" t="n"/>
      <c r="C105" s="7" t="n"/>
      <c r="D105" s="7" t="n"/>
      <c r="E105" s="7" t="n"/>
      <c r="F105" s="7" t="n"/>
      <c r="G105" s="7" t="n"/>
      <c r="K105" s="7" t="n"/>
      <c r="L105" s="7" t="n"/>
    </row>
    <row r="106" ht="15.75" customHeight="1" s="209">
      <c r="A106" s="7" t="n"/>
      <c r="B106" s="7" t="n"/>
      <c r="C106" s="7" t="n"/>
      <c r="D106" s="7" t="n"/>
      <c r="E106" s="7" t="n"/>
      <c r="F106" s="7" t="n"/>
      <c r="G106" s="7" t="n"/>
      <c r="K106" s="7" t="n"/>
      <c r="L106" s="7" t="n"/>
    </row>
    <row r="107" ht="15.75" customHeight="1" s="209">
      <c r="A107" s="7" t="n"/>
      <c r="B107" s="7" t="n"/>
      <c r="C107" s="7" t="n"/>
      <c r="D107" s="7" t="n"/>
      <c r="E107" s="7" t="n"/>
      <c r="F107" s="7" t="n"/>
      <c r="G107" s="7" t="n"/>
      <c r="K107" s="7" t="n"/>
      <c r="L107" s="7" t="n"/>
    </row>
    <row r="108" ht="15.75" customHeight="1" s="209">
      <c r="A108" s="7" t="n"/>
      <c r="B108" s="7" t="n"/>
      <c r="C108" s="7" t="n"/>
      <c r="D108" s="7" t="n"/>
      <c r="E108" s="7" t="n"/>
      <c r="F108" s="7" t="n"/>
      <c r="G108" s="7" t="n"/>
      <c r="K108" s="7" t="n"/>
      <c r="L108" s="7" t="n"/>
    </row>
    <row r="109" ht="15.75" customHeight="1" s="209">
      <c r="A109" s="7" t="n"/>
      <c r="B109" s="7" t="n"/>
      <c r="C109" s="7" t="n"/>
      <c r="D109" s="7" t="n"/>
      <c r="E109" s="7" t="n"/>
      <c r="F109" s="7" t="n"/>
      <c r="G109" s="7" t="n"/>
      <c r="K109" s="7" t="n"/>
      <c r="L109" s="7" t="n"/>
    </row>
    <row r="110" ht="15.75" customHeight="1" s="209">
      <c r="A110" s="7" t="n"/>
      <c r="B110" s="7" t="n"/>
      <c r="C110" s="7" t="n"/>
      <c r="D110" s="7" t="n"/>
      <c r="E110" s="7" t="n"/>
      <c r="F110" s="7" t="n"/>
      <c r="G110" s="7" t="n"/>
      <c r="K110" s="7" t="n"/>
      <c r="L110" s="7" t="n"/>
    </row>
    <row r="111" ht="15.75" customHeight="1" s="209">
      <c r="A111" s="7" t="n"/>
      <c r="B111" s="7" t="n"/>
      <c r="C111" s="7" t="n"/>
      <c r="D111" s="7" t="n"/>
      <c r="E111" s="7" t="n"/>
      <c r="F111" s="7" t="n"/>
      <c r="G111" s="7" t="n"/>
      <c r="K111" s="7" t="n"/>
      <c r="L111" s="7" t="n"/>
    </row>
    <row r="112" ht="15.75" customHeight="1" s="209">
      <c r="A112" s="7" t="n"/>
      <c r="B112" s="7" t="n"/>
      <c r="C112" s="7" t="n"/>
      <c r="D112" s="7" t="n"/>
      <c r="E112" s="7" t="n"/>
      <c r="F112" s="7" t="n"/>
      <c r="G112" s="7" t="n"/>
      <c r="K112" s="7" t="n"/>
      <c r="L112" s="7" t="n"/>
    </row>
    <row r="113" ht="15.75" customHeight="1" s="209">
      <c r="A113" s="7" t="n"/>
      <c r="B113" s="7" t="n"/>
      <c r="C113" s="7" t="n"/>
      <c r="D113" s="7" t="n"/>
      <c r="E113" s="7" t="n"/>
      <c r="F113" s="7" t="n"/>
      <c r="G113" s="7" t="n"/>
      <c r="K113" s="7" t="n"/>
      <c r="L113" s="7" t="n"/>
    </row>
    <row r="114" ht="15.75" customHeight="1" s="209">
      <c r="A114" s="7" t="n"/>
      <c r="B114" s="7" t="n"/>
      <c r="C114" s="7" t="n"/>
      <c r="D114" s="7" t="n"/>
      <c r="E114" s="7" t="n"/>
      <c r="F114" s="7" t="n"/>
      <c r="G114" s="7" t="n"/>
      <c r="K114" s="7" t="n"/>
      <c r="L114" s="7" t="n"/>
    </row>
    <row r="115" ht="15.75" customHeight="1" s="209">
      <c r="A115" s="7" t="n"/>
      <c r="B115" s="7" t="n"/>
      <c r="C115" s="7" t="n"/>
      <c r="D115" s="7" t="n"/>
      <c r="E115" s="7" t="n"/>
      <c r="F115" s="7" t="n"/>
      <c r="G115" s="7" t="n"/>
      <c r="K115" s="7" t="n"/>
      <c r="L115" s="7" t="n"/>
    </row>
    <row r="116" ht="15.75" customHeight="1" s="209">
      <c r="A116" s="7" t="n"/>
      <c r="B116" s="7" t="n"/>
      <c r="C116" s="7" t="n"/>
      <c r="D116" s="7" t="n"/>
      <c r="E116" s="7" t="n"/>
      <c r="F116" s="7" t="n"/>
      <c r="G116" s="7" t="n"/>
      <c r="K116" s="7" t="n"/>
      <c r="L116" s="7" t="n"/>
    </row>
    <row r="117" ht="15.75" customHeight="1" s="209">
      <c r="A117" s="7" t="n"/>
      <c r="B117" s="7" t="n"/>
      <c r="C117" s="7" t="n"/>
      <c r="D117" s="7" t="n"/>
      <c r="E117" s="7" t="n"/>
      <c r="F117" s="7" t="n"/>
      <c r="G117" s="7" t="n"/>
      <c r="K117" s="7" t="n"/>
      <c r="L117" s="7" t="n"/>
    </row>
    <row r="118" ht="15.75" customHeight="1" s="209">
      <c r="A118" s="7" t="n"/>
      <c r="B118" s="7" t="n"/>
      <c r="C118" s="7" t="n"/>
      <c r="D118" s="7" t="n"/>
      <c r="E118" s="7" t="n"/>
      <c r="F118" s="7" t="n"/>
      <c r="G118" s="7" t="n"/>
      <c r="K118" s="7" t="n"/>
      <c r="L118" s="7" t="n"/>
    </row>
    <row r="119" ht="15.75" customHeight="1" s="209">
      <c r="A119" s="7" t="n"/>
      <c r="B119" s="7" t="n"/>
      <c r="C119" s="7" t="n"/>
      <c r="D119" s="7" t="n"/>
      <c r="E119" s="7" t="n"/>
      <c r="F119" s="7" t="n"/>
      <c r="G119" s="7" t="n"/>
      <c r="K119" s="7" t="n"/>
      <c r="L119" s="7" t="n"/>
    </row>
    <row r="120" ht="15.75" customHeight="1" s="209">
      <c r="A120" s="7" t="n"/>
      <c r="B120" s="7" t="n"/>
      <c r="C120" s="7" t="n"/>
      <c r="D120" s="7" t="n"/>
      <c r="E120" s="7" t="n"/>
      <c r="F120" s="7" t="n"/>
      <c r="G120" s="7" t="n"/>
      <c r="K120" s="7" t="n"/>
      <c r="L120" s="7" t="n"/>
    </row>
    <row r="121" ht="15.75" customHeight="1" s="209">
      <c r="A121" s="7" t="n"/>
      <c r="B121" s="7" t="n"/>
      <c r="C121" s="7" t="n"/>
      <c r="D121" s="7" t="n"/>
      <c r="E121" s="7" t="n"/>
      <c r="F121" s="7" t="n"/>
      <c r="G121" s="7" t="n"/>
      <c r="K121" s="7" t="n"/>
      <c r="L121" s="7" t="n"/>
    </row>
    <row r="122" ht="15.75" customHeight="1" s="209">
      <c r="A122" s="7" t="n"/>
      <c r="B122" s="7" t="n"/>
      <c r="C122" s="7" t="n"/>
      <c r="D122" s="7" t="n"/>
      <c r="E122" s="7" t="n"/>
      <c r="F122" s="7" t="n"/>
      <c r="G122" s="7" t="n"/>
      <c r="K122" s="7" t="n"/>
      <c r="L122" s="7" t="n"/>
    </row>
    <row r="123" ht="15.75" customHeight="1" s="209">
      <c r="A123" s="7" t="n"/>
      <c r="B123" s="7" t="n"/>
      <c r="C123" s="7" t="n"/>
      <c r="D123" s="7" t="n"/>
      <c r="E123" s="7" t="n"/>
      <c r="F123" s="7" t="n"/>
      <c r="G123" s="7" t="n"/>
      <c r="K123" s="7" t="n"/>
      <c r="L123" s="7" t="n"/>
    </row>
    <row r="124" ht="15.75" customHeight="1" s="209">
      <c r="A124" s="7" t="n"/>
      <c r="B124" s="7" t="n"/>
      <c r="C124" s="7" t="n"/>
      <c r="D124" s="7" t="n"/>
      <c r="E124" s="7" t="n"/>
      <c r="F124" s="7" t="n"/>
      <c r="G124" s="7" t="n"/>
      <c r="K124" s="7" t="n"/>
      <c r="L124" s="7" t="n"/>
    </row>
    <row r="125" ht="15.75" customHeight="1" s="209">
      <c r="A125" s="7" t="n"/>
      <c r="B125" s="7" t="n"/>
      <c r="C125" s="7" t="n"/>
      <c r="D125" s="7" t="n"/>
      <c r="E125" s="7" t="n"/>
      <c r="F125" s="7" t="n"/>
      <c r="G125" s="7" t="n"/>
      <c r="K125" s="7" t="n"/>
      <c r="L125" s="7" t="n"/>
    </row>
    <row r="126" ht="15.75" customHeight="1" s="209">
      <c r="A126" s="7" t="n"/>
      <c r="B126" s="7" t="n"/>
      <c r="C126" s="7" t="n"/>
      <c r="D126" s="7" t="n"/>
      <c r="E126" s="7" t="n"/>
      <c r="F126" s="7" t="n"/>
      <c r="G126" s="7" t="n"/>
      <c r="K126" s="7" t="n"/>
      <c r="L126" s="7" t="n"/>
    </row>
    <row r="127" ht="15.75" customHeight="1" s="209">
      <c r="A127" s="7" t="n"/>
      <c r="B127" s="7" t="n"/>
      <c r="C127" s="7" t="n"/>
      <c r="D127" s="7" t="n"/>
      <c r="E127" s="7" t="n"/>
      <c r="F127" s="7" t="n"/>
      <c r="G127" s="7" t="n"/>
      <c r="K127" s="7" t="n"/>
      <c r="L127" s="7" t="n"/>
    </row>
    <row r="128" ht="15.75" customHeight="1" s="209">
      <c r="A128" s="7" t="n"/>
      <c r="B128" s="7" t="n"/>
      <c r="C128" s="7" t="n"/>
      <c r="D128" s="7" t="n"/>
      <c r="E128" s="7" t="n"/>
      <c r="F128" s="7" t="n"/>
      <c r="G128" s="7" t="n"/>
      <c r="K128" s="7" t="n"/>
      <c r="L128" s="7" t="n"/>
    </row>
    <row r="129" ht="15.75" customHeight="1" s="209">
      <c r="A129" s="7" t="n"/>
      <c r="B129" s="7" t="n"/>
      <c r="C129" s="7" t="n"/>
      <c r="D129" s="7" t="n"/>
      <c r="E129" s="7" t="n"/>
      <c r="F129" s="7" t="n"/>
      <c r="G129" s="7" t="n"/>
      <c r="K129" s="7" t="n"/>
      <c r="L129" s="7" t="n"/>
    </row>
    <row r="130" ht="15.75" customHeight="1" s="209">
      <c r="A130" s="7" t="n"/>
      <c r="B130" s="7" t="n"/>
      <c r="C130" s="7" t="n"/>
      <c r="D130" s="7" t="n"/>
      <c r="E130" s="7" t="n"/>
      <c r="F130" s="7" t="n"/>
      <c r="G130" s="7" t="n"/>
      <c r="K130" s="7" t="n"/>
      <c r="L130" s="7" t="n"/>
    </row>
    <row r="131" ht="15.75" customHeight="1" s="209">
      <c r="A131" s="7" t="n"/>
      <c r="B131" s="7" t="n"/>
      <c r="C131" s="7" t="n"/>
      <c r="D131" s="7" t="n"/>
      <c r="E131" s="7" t="n"/>
      <c r="F131" s="7" t="n"/>
      <c r="G131" s="7" t="n"/>
      <c r="K131" s="7" t="n"/>
      <c r="L131" s="7" t="n"/>
    </row>
    <row r="132" ht="15.75" customHeight="1" s="209">
      <c r="A132" s="7" t="n"/>
      <c r="B132" s="7" t="n"/>
      <c r="C132" s="7" t="n"/>
      <c r="D132" s="7" t="n"/>
      <c r="E132" s="7" t="n"/>
      <c r="F132" s="7" t="n"/>
      <c r="G132" s="7" t="n"/>
      <c r="K132" s="7" t="n"/>
      <c r="L132" s="7" t="n"/>
    </row>
    <row r="133" ht="15.75" customHeight="1" s="209">
      <c r="A133" s="7" t="n"/>
      <c r="B133" s="7" t="n"/>
      <c r="C133" s="7" t="n"/>
      <c r="D133" s="7" t="n"/>
      <c r="E133" s="7" t="n"/>
      <c r="F133" s="7" t="n"/>
      <c r="G133" s="7" t="n"/>
      <c r="K133" s="7" t="n"/>
      <c r="L133" s="7" t="n"/>
    </row>
    <row r="134" ht="15.75" customHeight="1" s="209">
      <c r="A134" s="7" t="n"/>
      <c r="B134" s="7" t="n"/>
      <c r="C134" s="7" t="n"/>
      <c r="D134" s="7" t="n"/>
      <c r="E134" s="7" t="n"/>
      <c r="F134" s="7" t="n"/>
      <c r="G134" s="7" t="n"/>
      <c r="K134" s="7" t="n"/>
      <c r="L134" s="7" t="n"/>
    </row>
    <row r="135" ht="15.75" customHeight="1" s="209">
      <c r="A135" s="7" t="n"/>
      <c r="B135" s="7" t="n"/>
      <c r="C135" s="7" t="n"/>
      <c r="D135" s="7" t="n"/>
      <c r="E135" s="7" t="n"/>
      <c r="F135" s="7" t="n"/>
      <c r="G135" s="7" t="n"/>
      <c r="K135" s="7" t="n"/>
      <c r="L135" s="7" t="n"/>
    </row>
    <row r="136" ht="15.75" customHeight="1" s="209">
      <c r="A136" s="7" t="n"/>
      <c r="B136" s="7" t="n"/>
      <c r="C136" s="7" t="n"/>
      <c r="D136" s="7" t="n"/>
      <c r="E136" s="7" t="n"/>
      <c r="F136" s="7" t="n"/>
      <c r="G136" s="7" t="n"/>
      <c r="K136" s="7" t="n"/>
      <c r="L136" s="7" t="n"/>
    </row>
    <row r="137" ht="15.75" customHeight="1" s="209">
      <c r="A137" s="7" t="n"/>
      <c r="B137" s="7" t="n"/>
      <c r="C137" s="7" t="n"/>
      <c r="D137" s="7" t="n"/>
      <c r="E137" s="7" t="n"/>
      <c r="F137" s="7" t="n"/>
      <c r="G137" s="7" t="n"/>
      <c r="K137" s="7" t="n"/>
      <c r="L137" s="7" t="n"/>
    </row>
    <row r="138" ht="15.75" customHeight="1" s="209">
      <c r="A138" s="7" t="n"/>
      <c r="B138" s="7" t="n"/>
      <c r="C138" s="7" t="n"/>
      <c r="D138" s="7" t="n"/>
      <c r="E138" s="7" t="n"/>
      <c r="F138" s="7" t="n"/>
      <c r="G138" s="7" t="n"/>
      <c r="K138" s="7" t="n"/>
      <c r="L138" s="7" t="n"/>
    </row>
    <row r="139" ht="15.75" customHeight="1" s="209">
      <c r="A139" s="7" t="n"/>
      <c r="B139" s="7" t="n"/>
      <c r="C139" s="7" t="n"/>
      <c r="D139" s="7" t="n"/>
      <c r="E139" s="7" t="n"/>
      <c r="F139" s="7" t="n"/>
      <c r="G139" s="7" t="n"/>
      <c r="K139" s="7" t="n"/>
      <c r="L139" s="7" t="n"/>
    </row>
    <row r="140" ht="15.75" customHeight="1" s="209">
      <c r="A140" s="7" t="n"/>
      <c r="B140" s="7" t="n"/>
      <c r="C140" s="7" t="n"/>
      <c r="D140" s="7" t="n"/>
      <c r="E140" s="7" t="n"/>
      <c r="F140" s="7" t="n"/>
      <c r="G140" s="7" t="n"/>
      <c r="K140" s="7" t="n"/>
      <c r="L140" s="7" t="n"/>
    </row>
    <row r="141" ht="15.75" customHeight="1" s="209">
      <c r="A141" s="7" t="n"/>
      <c r="B141" s="7" t="n"/>
      <c r="C141" s="7" t="n"/>
      <c r="D141" s="7" t="n"/>
      <c r="E141" s="7" t="n"/>
      <c r="F141" s="7" t="n"/>
      <c r="G141" s="7" t="n"/>
      <c r="K141" s="7" t="n"/>
      <c r="L141" s="7" t="n"/>
    </row>
    <row r="142" ht="15.75" customHeight="1" s="209">
      <c r="A142" s="7" t="n"/>
      <c r="B142" s="7" t="n"/>
      <c r="C142" s="7" t="n"/>
      <c r="D142" s="7" t="n"/>
      <c r="E142" s="7" t="n"/>
      <c r="F142" s="7" t="n"/>
      <c r="G142" s="7" t="n"/>
      <c r="K142" s="7" t="n"/>
      <c r="L142" s="7" t="n"/>
    </row>
    <row r="143" ht="15.75" customHeight="1" s="209">
      <c r="A143" s="7" t="n"/>
      <c r="B143" s="7" t="n"/>
      <c r="C143" s="7" t="n"/>
      <c r="D143" s="7" t="n"/>
      <c r="E143" s="7" t="n"/>
      <c r="F143" s="7" t="n"/>
      <c r="G143" s="7" t="n"/>
      <c r="K143" s="7" t="n"/>
      <c r="L143" s="7" t="n"/>
    </row>
    <row r="144" ht="15.75" customHeight="1" s="209">
      <c r="A144" s="7" t="n"/>
      <c r="B144" s="7" t="n"/>
      <c r="C144" s="7" t="n"/>
      <c r="D144" s="7" t="n"/>
      <c r="E144" s="7" t="n"/>
      <c r="F144" s="7" t="n"/>
      <c r="G144" s="7" t="n"/>
      <c r="K144" s="7" t="n"/>
      <c r="L144" s="7" t="n"/>
    </row>
    <row r="145" ht="15.75" customHeight="1" s="209">
      <c r="A145" s="7" t="n"/>
      <c r="B145" s="7" t="n"/>
      <c r="C145" s="7" t="n"/>
      <c r="D145" s="7" t="n"/>
      <c r="E145" s="7" t="n"/>
      <c r="F145" s="7" t="n"/>
      <c r="G145" s="7" t="n"/>
      <c r="K145" s="7" t="n"/>
      <c r="L145" s="7" t="n"/>
    </row>
    <row r="146" ht="15.75" customHeight="1" s="209">
      <c r="A146" s="7" t="n"/>
      <c r="B146" s="7" t="n"/>
      <c r="C146" s="7" t="n"/>
      <c r="D146" s="7" t="n"/>
      <c r="E146" s="7" t="n"/>
      <c r="F146" s="7" t="n"/>
      <c r="G146" s="7" t="n"/>
      <c r="K146" s="7" t="n"/>
      <c r="L146" s="7" t="n"/>
    </row>
    <row r="147" ht="15.75" customHeight="1" s="209">
      <c r="A147" s="7" t="n"/>
      <c r="B147" s="7" t="n"/>
      <c r="C147" s="7" t="n"/>
      <c r="D147" s="7" t="n"/>
      <c r="E147" s="7" t="n"/>
      <c r="F147" s="7" t="n"/>
      <c r="G147" s="7" t="n"/>
      <c r="K147" s="7" t="n"/>
      <c r="L147" s="7" t="n"/>
    </row>
    <row r="148" ht="15.75" customHeight="1" s="209">
      <c r="A148" s="7" t="n"/>
      <c r="B148" s="7" t="n"/>
      <c r="C148" s="7" t="n"/>
      <c r="D148" s="7" t="n"/>
      <c r="E148" s="7" t="n"/>
      <c r="F148" s="7" t="n"/>
      <c r="G148" s="7" t="n"/>
      <c r="K148" s="7" t="n"/>
      <c r="L148" s="7" t="n"/>
    </row>
    <row r="149" ht="15.75" customHeight="1" s="209">
      <c r="A149" s="7" t="n"/>
      <c r="B149" s="7" t="n"/>
      <c r="C149" s="7" t="n"/>
      <c r="D149" s="7" t="n"/>
      <c r="E149" s="7" t="n"/>
      <c r="F149" s="7" t="n"/>
      <c r="G149" s="7" t="n"/>
      <c r="K149" s="7" t="n"/>
      <c r="L149" s="7" t="n"/>
    </row>
    <row r="150" ht="15.75" customHeight="1" s="209">
      <c r="A150" s="7" t="n"/>
      <c r="B150" s="7" t="n"/>
      <c r="C150" s="7" t="n"/>
      <c r="D150" s="7" t="n"/>
      <c r="E150" s="7" t="n"/>
      <c r="F150" s="7" t="n"/>
      <c r="G150" s="7" t="n"/>
      <c r="K150" s="7" t="n"/>
      <c r="L150" s="7" t="n"/>
    </row>
    <row r="151" ht="15.75" customHeight="1" s="209">
      <c r="A151" s="7" t="n"/>
      <c r="B151" s="7" t="n"/>
      <c r="C151" s="7" t="n"/>
      <c r="D151" s="7" t="n"/>
      <c r="E151" s="7" t="n"/>
      <c r="F151" s="7" t="n"/>
      <c r="G151" s="7" t="n"/>
      <c r="K151" s="7" t="n"/>
      <c r="L151" s="7" t="n"/>
    </row>
    <row r="152" ht="15.75" customHeight="1" s="209">
      <c r="A152" s="7" t="n"/>
      <c r="B152" s="7" t="n"/>
      <c r="C152" s="7" t="n"/>
      <c r="D152" s="7" t="n"/>
      <c r="E152" s="7" t="n"/>
      <c r="F152" s="7" t="n"/>
      <c r="G152" s="7" t="n"/>
      <c r="K152" s="7" t="n"/>
      <c r="L152" s="7" t="n"/>
    </row>
    <row r="153" ht="15.75" customHeight="1" s="209">
      <c r="A153" s="7" t="n"/>
      <c r="B153" s="7" t="n"/>
      <c r="C153" s="7" t="n"/>
      <c r="D153" s="7" t="n"/>
      <c r="E153" s="7" t="n"/>
      <c r="F153" s="7" t="n"/>
      <c r="G153" s="7" t="n"/>
      <c r="K153" s="7" t="n"/>
      <c r="L153" s="7" t="n"/>
    </row>
    <row r="154" ht="15.75" customHeight="1" s="209">
      <c r="A154" s="7" t="n"/>
      <c r="B154" s="7" t="n"/>
      <c r="C154" s="7" t="n"/>
      <c r="D154" s="7" t="n"/>
      <c r="E154" s="7" t="n"/>
      <c r="F154" s="7" t="n"/>
      <c r="G154" s="7" t="n"/>
      <c r="K154" s="7" t="n"/>
      <c r="L154" s="7" t="n"/>
    </row>
    <row r="155" ht="15.75" customHeight="1" s="209">
      <c r="A155" s="7" t="n"/>
      <c r="B155" s="7" t="n"/>
      <c r="C155" s="7" t="n"/>
      <c r="D155" s="7" t="n"/>
      <c r="E155" s="7" t="n"/>
      <c r="F155" s="7" t="n"/>
      <c r="G155" s="7" t="n"/>
      <c r="K155" s="7" t="n"/>
      <c r="L155" s="7" t="n"/>
    </row>
    <row r="156" ht="15.75" customHeight="1" s="209">
      <c r="A156" s="7" t="n"/>
      <c r="B156" s="7" t="n"/>
      <c r="C156" s="7" t="n"/>
      <c r="D156" s="7" t="n"/>
      <c r="E156" s="7" t="n"/>
      <c r="F156" s="7" t="n"/>
      <c r="G156" s="7" t="n"/>
      <c r="K156" s="7" t="n"/>
      <c r="L156" s="7" t="n"/>
    </row>
    <row r="157" ht="15.75" customHeight="1" s="209">
      <c r="A157" s="7" t="n"/>
      <c r="B157" s="7" t="n"/>
      <c r="C157" s="7" t="n"/>
      <c r="D157" s="7" t="n"/>
      <c r="E157" s="7" t="n"/>
      <c r="F157" s="7" t="n"/>
      <c r="G157" s="7" t="n"/>
      <c r="K157" s="7" t="n"/>
      <c r="L157" s="7" t="n"/>
    </row>
    <row r="158" ht="15.75" customHeight="1" s="209">
      <c r="A158" s="7" t="n"/>
      <c r="B158" s="7" t="n"/>
      <c r="C158" s="7" t="n"/>
      <c r="D158" s="7" t="n"/>
      <c r="E158" s="7" t="n"/>
      <c r="F158" s="7" t="n"/>
      <c r="G158" s="7" t="n"/>
      <c r="K158" s="7" t="n"/>
      <c r="L158" s="7" t="n"/>
    </row>
    <row r="159" ht="15.75" customHeight="1" s="209">
      <c r="A159" s="7" t="n"/>
      <c r="B159" s="7" t="n"/>
      <c r="C159" s="7" t="n"/>
      <c r="D159" s="7" t="n"/>
      <c r="E159" s="7" t="n"/>
      <c r="F159" s="7" t="n"/>
      <c r="G159" s="7" t="n"/>
      <c r="K159" s="7" t="n"/>
      <c r="L159" s="7" t="n"/>
    </row>
    <row r="160" ht="15.75" customHeight="1" s="209">
      <c r="A160" s="7" t="n"/>
      <c r="B160" s="7" t="n"/>
      <c r="C160" s="7" t="n"/>
      <c r="D160" s="7" t="n"/>
      <c r="E160" s="7" t="n"/>
      <c r="F160" s="7" t="n"/>
      <c r="G160" s="7" t="n"/>
      <c r="K160" s="7" t="n"/>
      <c r="L160" s="7" t="n"/>
    </row>
    <row r="161" ht="15.75" customHeight="1" s="209">
      <c r="A161" s="7" t="n"/>
      <c r="B161" s="7" t="n"/>
      <c r="C161" s="7" t="n"/>
      <c r="D161" s="7" t="n"/>
      <c r="E161" s="7" t="n"/>
      <c r="F161" s="7" t="n"/>
      <c r="G161" s="7" t="n"/>
      <c r="K161" s="7" t="n"/>
      <c r="L161" s="7" t="n"/>
    </row>
    <row r="162" ht="15.75" customHeight="1" s="209">
      <c r="A162" s="7" t="n"/>
      <c r="B162" s="7" t="n"/>
      <c r="C162" s="7" t="n"/>
      <c r="D162" s="7" t="n"/>
      <c r="E162" s="7" t="n"/>
      <c r="F162" s="7" t="n"/>
      <c r="G162" s="7" t="n"/>
      <c r="K162" s="7" t="n"/>
      <c r="L162" s="7" t="n"/>
    </row>
    <row r="163" ht="15.75" customHeight="1" s="209">
      <c r="A163" s="7" t="n"/>
      <c r="B163" s="7" t="n"/>
      <c r="C163" s="7" t="n"/>
      <c r="D163" s="7" t="n"/>
      <c r="E163" s="7" t="n"/>
      <c r="F163" s="7" t="n"/>
      <c r="G163" s="7" t="n"/>
      <c r="K163" s="7" t="n"/>
      <c r="L163" s="7" t="n"/>
    </row>
    <row r="164" ht="15.75" customHeight="1" s="209">
      <c r="A164" s="7" t="n"/>
      <c r="B164" s="7" t="n"/>
      <c r="C164" s="7" t="n"/>
      <c r="D164" s="7" t="n"/>
      <c r="E164" s="7" t="n"/>
      <c r="F164" s="7" t="n"/>
      <c r="G164" s="7" t="n"/>
      <c r="K164" s="7" t="n"/>
      <c r="L164" s="7" t="n"/>
    </row>
    <row r="165" ht="15.75" customHeight="1" s="209">
      <c r="A165" s="7" t="n"/>
      <c r="B165" s="7" t="n"/>
      <c r="C165" s="7" t="n"/>
      <c r="D165" s="7" t="n"/>
      <c r="E165" s="7" t="n"/>
      <c r="F165" s="7" t="n"/>
      <c r="G165" s="7" t="n"/>
      <c r="K165" s="7" t="n"/>
      <c r="L165" s="7" t="n"/>
    </row>
    <row r="166" ht="15.75" customHeight="1" s="209">
      <c r="A166" s="7" t="n"/>
      <c r="B166" s="7" t="n"/>
      <c r="C166" s="7" t="n"/>
      <c r="D166" s="7" t="n"/>
      <c r="E166" s="7" t="n"/>
      <c r="F166" s="7" t="n"/>
      <c r="G166" s="7" t="n"/>
      <c r="K166" s="7" t="n"/>
      <c r="L166" s="7" t="n"/>
    </row>
    <row r="167" ht="15.75" customHeight="1" s="209">
      <c r="A167" s="7" t="n"/>
      <c r="B167" s="7" t="n"/>
      <c r="C167" s="7" t="n"/>
      <c r="D167" s="7" t="n"/>
      <c r="E167" s="7" t="n"/>
      <c r="F167" s="7" t="n"/>
      <c r="G167" s="7" t="n"/>
      <c r="K167" s="7" t="n"/>
      <c r="L167" s="7" t="n"/>
    </row>
    <row r="168" ht="15.75" customHeight="1" s="209">
      <c r="A168" s="7" t="n"/>
      <c r="B168" s="7" t="n"/>
      <c r="C168" s="7" t="n"/>
      <c r="D168" s="7" t="n"/>
      <c r="E168" s="7" t="n"/>
      <c r="F168" s="7" t="n"/>
      <c r="G168" s="7" t="n"/>
      <c r="K168" s="7" t="n"/>
      <c r="L168" s="7" t="n"/>
    </row>
    <row r="169" ht="15.75" customHeight="1" s="209">
      <c r="A169" s="7" t="n"/>
      <c r="B169" s="7" t="n"/>
      <c r="C169" s="7" t="n"/>
      <c r="D169" s="7" t="n"/>
      <c r="E169" s="7" t="n"/>
      <c r="F169" s="7" t="n"/>
      <c r="G169" s="7" t="n"/>
      <c r="K169" s="7" t="n"/>
      <c r="L169" s="7" t="n"/>
    </row>
    <row r="170" ht="15.75" customHeight="1" s="209">
      <c r="A170" s="7" t="n"/>
      <c r="B170" s="7" t="n"/>
      <c r="C170" s="7" t="n"/>
      <c r="D170" s="7" t="n"/>
      <c r="E170" s="7" t="n"/>
      <c r="F170" s="7" t="n"/>
      <c r="G170" s="7" t="n"/>
      <c r="K170" s="7" t="n"/>
      <c r="L170" s="7" t="n"/>
    </row>
    <row r="171" ht="15.75" customHeight="1" s="209">
      <c r="A171" s="7" t="n"/>
      <c r="B171" s="7" t="n"/>
      <c r="C171" s="7" t="n"/>
      <c r="D171" s="7" t="n"/>
      <c r="E171" s="7" t="n"/>
      <c r="F171" s="7" t="n"/>
      <c r="G171" s="7" t="n"/>
      <c r="K171" s="7" t="n"/>
      <c r="L171" s="7" t="n"/>
    </row>
    <row r="172" ht="15.75" customHeight="1" s="209">
      <c r="A172" s="7" t="n"/>
      <c r="B172" s="7" t="n"/>
      <c r="C172" s="7" t="n"/>
      <c r="D172" s="7" t="n"/>
      <c r="E172" s="7" t="n"/>
      <c r="F172" s="7" t="n"/>
      <c r="G172" s="7" t="n"/>
      <c r="K172" s="7" t="n"/>
      <c r="L172" s="7" t="n"/>
    </row>
    <row r="173" ht="15.75" customHeight="1" s="209">
      <c r="A173" s="7" t="n"/>
      <c r="B173" s="7" t="n"/>
      <c r="C173" s="7" t="n"/>
      <c r="D173" s="7" t="n"/>
      <c r="E173" s="7" t="n"/>
      <c r="F173" s="7" t="n"/>
      <c r="G173" s="7" t="n"/>
      <c r="K173" s="7" t="n"/>
      <c r="L173" s="7" t="n"/>
    </row>
    <row r="174" ht="15.75" customHeight="1" s="209">
      <c r="A174" s="7" t="n"/>
      <c r="B174" s="7" t="n"/>
      <c r="C174" s="7" t="n"/>
      <c r="D174" s="7" t="n"/>
      <c r="E174" s="7" t="n"/>
      <c r="F174" s="7" t="n"/>
      <c r="G174" s="7" t="n"/>
      <c r="K174" s="7" t="n"/>
      <c r="L174" s="7" t="n"/>
    </row>
    <row r="175" ht="15.75" customHeight="1" s="209">
      <c r="A175" s="7" t="n"/>
      <c r="B175" s="7" t="n"/>
      <c r="C175" s="7" t="n"/>
      <c r="D175" s="7" t="n"/>
      <c r="E175" s="7" t="n"/>
      <c r="F175" s="7" t="n"/>
      <c r="G175" s="7" t="n"/>
      <c r="K175" s="7" t="n"/>
      <c r="L175" s="7" t="n"/>
    </row>
    <row r="176" ht="15.75" customHeight="1" s="209">
      <c r="A176" s="7" t="n"/>
      <c r="B176" s="7" t="n"/>
      <c r="C176" s="7" t="n"/>
      <c r="D176" s="7" t="n"/>
      <c r="E176" s="7" t="n"/>
      <c r="F176" s="7" t="n"/>
      <c r="G176" s="7" t="n"/>
      <c r="K176" s="7" t="n"/>
      <c r="L176" s="7" t="n"/>
    </row>
    <row r="177" ht="15.75" customHeight="1" s="209">
      <c r="A177" s="7" t="n"/>
      <c r="B177" s="7" t="n"/>
      <c r="C177" s="7" t="n"/>
      <c r="D177" s="7" t="n"/>
      <c r="E177" s="7" t="n"/>
      <c r="F177" s="7" t="n"/>
      <c r="G177" s="7" t="n"/>
      <c r="K177" s="7" t="n"/>
      <c r="L177" s="7" t="n"/>
    </row>
    <row r="178" ht="15.75" customHeight="1" s="209">
      <c r="A178" s="7" t="n"/>
      <c r="B178" s="7" t="n"/>
      <c r="C178" s="7" t="n"/>
      <c r="D178" s="7" t="n"/>
      <c r="E178" s="7" t="n"/>
      <c r="F178" s="7" t="n"/>
      <c r="G178" s="7" t="n"/>
      <c r="K178" s="7" t="n"/>
      <c r="L178" s="7" t="n"/>
    </row>
    <row r="179" ht="15.75" customHeight="1" s="209">
      <c r="A179" s="7" t="n"/>
      <c r="B179" s="7" t="n"/>
      <c r="C179" s="7" t="n"/>
      <c r="D179" s="7" t="n"/>
      <c r="E179" s="7" t="n"/>
      <c r="F179" s="7" t="n"/>
      <c r="G179" s="7" t="n"/>
      <c r="K179" s="7" t="n"/>
      <c r="L179" s="7" t="n"/>
    </row>
    <row r="180" ht="15.75" customHeight="1" s="209">
      <c r="A180" s="7" t="n"/>
      <c r="B180" s="7" t="n"/>
      <c r="C180" s="7" t="n"/>
      <c r="D180" s="7" t="n"/>
      <c r="E180" s="7" t="n"/>
      <c r="F180" s="7" t="n"/>
      <c r="G180" s="7" t="n"/>
      <c r="K180" s="7" t="n"/>
      <c r="L180" s="7" t="n"/>
    </row>
    <row r="181" ht="15.75" customHeight="1" s="209">
      <c r="A181" s="7" t="n"/>
      <c r="B181" s="7" t="n"/>
      <c r="C181" s="7" t="n"/>
      <c r="D181" s="7" t="n"/>
      <c r="E181" s="7" t="n"/>
      <c r="F181" s="7" t="n"/>
      <c r="G181" s="7" t="n"/>
      <c r="K181" s="7" t="n"/>
      <c r="L181" s="7" t="n"/>
    </row>
    <row r="182" ht="15.75" customHeight="1" s="209">
      <c r="A182" s="7" t="n"/>
      <c r="B182" s="7" t="n"/>
      <c r="C182" s="7" t="n"/>
      <c r="D182" s="7" t="n"/>
      <c r="E182" s="7" t="n"/>
      <c r="F182" s="7" t="n"/>
      <c r="G182" s="7" t="n"/>
      <c r="K182" s="7" t="n"/>
      <c r="L182" s="7" t="n"/>
    </row>
    <row r="183" ht="15.75" customHeight="1" s="209">
      <c r="A183" s="7" t="n"/>
      <c r="B183" s="7" t="n"/>
      <c r="C183" s="7" t="n"/>
      <c r="D183" s="7" t="n"/>
      <c r="E183" s="7" t="n"/>
      <c r="F183" s="7" t="n"/>
      <c r="G183" s="7" t="n"/>
      <c r="K183" s="7" t="n"/>
      <c r="L183" s="7" t="n"/>
    </row>
    <row r="184" ht="15.75" customHeight="1" s="209">
      <c r="A184" s="7" t="n"/>
      <c r="B184" s="7" t="n"/>
      <c r="C184" s="7" t="n"/>
      <c r="D184" s="7" t="n"/>
      <c r="E184" s="7" t="n"/>
      <c r="F184" s="7" t="n"/>
      <c r="G184" s="7" t="n"/>
      <c r="K184" s="7" t="n"/>
      <c r="L184" s="7" t="n"/>
    </row>
    <row r="185" ht="15.75" customHeight="1" s="209">
      <c r="A185" s="7" t="n"/>
      <c r="B185" s="7" t="n"/>
      <c r="C185" s="7" t="n"/>
      <c r="D185" s="7" t="n"/>
      <c r="E185" s="7" t="n"/>
      <c r="F185" s="7" t="n"/>
      <c r="G185" s="7" t="n"/>
      <c r="K185" s="7" t="n"/>
      <c r="L185" s="7" t="n"/>
    </row>
    <row r="186" ht="15.75" customHeight="1" s="209">
      <c r="A186" s="7" t="n"/>
      <c r="B186" s="7" t="n"/>
      <c r="C186" s="7" t="n"/>
      <c r="D186" s="7" t="n"/>
      <c r="E186" s="7" t="n"/>
      <c r="F186" s="7" t="n"/>
      <c r="G186" s="7" t="n"/>
      <c r="K186" s="7" t="n"/>
      <c r="L186" s="7" t="n"/>
    </row>
    <row r="187" ht="15.75" customHeight="1" s="209">
      <c r="A187" s="7" t="n"/>
      <c r="B187" s="7" t="n"/>
      <c r="C187" s="7" t="n"/>
      <c r="D187" s="7" t="n"/>
      <c r="E187" s="7" t="n"/>
      <c r="F187" s="7" t="n"/>
      <c r="G187" s="7" t="n"/>
      <c r="K187" s="7" t="n"/>
      <c r="L187" s="7" t="n"/>
    </row>
    <row r="188" ht="15.75" customHeight="1" s="209">
      <c r="A188" s="7" t="n"/>
      <c r="B188" s="7" t="n"/>
      <c r="C188" s="7" t="n"/>
      <c r="D188" s="7" t="n"/>
      <c r="E188" s="7" t="n"/>
      <c r="F188" s="7" t="n"/>
      <c r="G188" s="7" t="n"/>
      <c r="K188" s="7" t="n"/>
      <c r="L188" s="7" t="n"/>
    </row>
    <row r="189" ht="15.75" customHeight="1" s="209">
      <c r="A189" s="7" t="n"/>
      <c r="B189" s="7" t="n"/>
      <c r="C189" s="7" t="n"/>
      <c r="D189" s="7" t="n"/>
      <c r="E189" s="7" t="n"/>
      <c r="F189" s="7" t="n"/>
      <c r="G189" s="7" t="n"/>
      <c r="K189" s="7" t="n"/>
      <c r="L189" s="7" t="n"/>
    </row>
    <row r="190" ht="15.75" customHeight="1" s="209">
      <c r="A190" s="7" t="n"/>
      <c r="B190" s="7" t="n"/>
      <c r="C190" s="7" t="n"/>
      <c r="D190" s="7" t="n"/>
      <c r="E190" s="7" t="n"/>
      <c r="F190" s="7" t="n"/>
      <c r="G190" s="7" t="n"/>
      <c r="K190" s="7" t="n"/>
      <c r="L190" s="7" t="n"/>
    </row>
    <row r="191" ht="15.75" customHeight="1" s="209">
      <c r="A191" s="7" t="n"/>
      <c r="B191" s="7" t="n"/>
      <c r="C191" s="7" t="n"/>
      <c r="D191" s="7" t="n"/>
      <c r="E191" s="7" t="n"/>
      <c r="F191" s="7" t="n"/>
      <c r="G191" s="7" t="n"/>
      <c r="K191" s="7" t="n"/>
      <c r="L191" s="7" t="n"/>
    </row>
    <row r="192" ht="15.75" customHeight="1" s="209">
      <c r="A192" s="7" t="n"/>
      <c r="B192" s="7" t="n"/>
      <c r="C192" s="7" t="n"/>
      <c r="D192" s="7" t="n"/>
      <c r="E192" s="7" t="n"/>
      <c r="F192" s="7" t="n"/>
      <c r="G192" s="7" t="n"/>
      <c r="K192" s="7" t="n"/>
      <c r="L192" s="7" t="n"/>
    </row>
    <row r="193" ht="15.75" customHeight="1" s="209">
      <c r="A193" s="7" t="n"/>
      <c r="B193" s="7" t="n"/>
      <c r="C193" s="7" t="n"/>
      <c r="D193" s="7" t="n"/>
      <c r="E193" s="7" t="n"/>
      <c r="F193" s="7" t="n"/>
      <c r="G193" s="7" t="n"/>
      <c r="K193" s="7" t="n"/>
      <c r="L193" s="7" t="n"/>
    </row>
    <row r="194" ht="15.75" customHeight="1" s="209">
      <c r="A194" s="7" t="n"/>
      <c r="B194" s="7" t="n"/>
      <c r="C194" s="7" t="n"/>
      <c r="D194" s="7" t="n"/>
      <c r="E194" s="7" t="n"/>
      <c r="F194" s="7" t="n"/>
      <c r="G194" s="7" t="n"/>
      <c r="K194" s="7" t="n"/>
      <c r="L194" s="7" t="n"/>
    </row>
    <row r="195" ht="15.75" customHeight="1" s="209">
      <c r="A195" s="7" t="n"/>
      <c r="B195" s="7" t="n"/>
      <c r="C195" s="7" t="n"/>
      <c r="D195" s="7" t="n"/>
      <c r="E195" s="7" t="n"/>
      <c r="F195" s="7" t="n"/>
      <c r="G195" s="7" t="n"/>
      <c r="K195" s="7" t="n"/>
      <c r="L195" s="7" t="n"/>
    </row>
    <row r="196" ht="15.75" customHeight="1" s="209">
      <c r="A196" s="7" t="n"/>
      <c r="B196" s="7" t="n"/>
      <c r="C196" s="7" t="n"/>
      <c r="D196" s="7" t="n"/>
      <c r="E196" s="7" t="n"/>
      <c r="F196" s="7" t="n"/>
      <c r="G196" s="7" t="n"/>
      <c r="K196" s="7" t="n"/>
      <c r="L196" s="7" t="n"/>
    </row>
    <row r="197" ht="15.75" customHeight="1" s="209">
      <c r="A197" s="7" t="n"/>
      <c r="B197" s="7" t="n"/>
      <c r="C197" s="7" t="n"/>
      <c r="D197" s="7" t="n"/>
      <c r="E197" s="7" t="n"/>
      <c r="F197" s="7" t="n"/>
      <c r="G197" s="7" t="n"/>
      <c r="K197" s="7" t="n"/>
      <c r="L197" s="7" t="n"/>
    </row>
    <row r="198" ht="15.75" customHeight="1" s="209">
      <c r="A198" s="7" t="n"/>
      <c r="B198" s="7" t="n"/>
      <c r="C198" s="7" t="n"/>
      <c r="D198" s="7" t="n"/>
      <c r="E198" s="7" t="n"/>
      <c r="F198" s="7" t="n"/>
      <c r="G198" s="7" t="n"/>
      <c r="K198" s="7" t="n"/>
      <c r="L198" s="7" t="n"/>
    </row>
    <row r="199" ht="15.75" customHeight="1" s="209">
      <c r="A199" s="7" t="n"/>
      <c r="B199" s="7" t="n"/>
      <c r="C199" s="7" t="n"/>
      <c r="D199" s="7" t="n"/>
      <c r="E199" s="7" t="n"/>
      <c r="F199" s="7" t="n"/>
      <c r="G199" s="7" t="n"/>
      <c r="K199" s="7" t="n"/>
      <c r="L199" s="7" t="n"/>
    </row>
    <row r="200" ht="15.75" customHeight="1" s="209">
      <c r="A200" s="7" t="n"/>
      <c r="B200" s="7" t="n"/>
      <c r="C200" s="7" t="n"/>
      <c r="D200" s="7" t="n"/>
      <c r="E200" s="7" t="n"/>
      <c r="F200" s="7" t="n"/>
      <c r="G200" s="7" t="n"/>
      <c r="K200" s="7" t="n"/>
      <c r="L200" s="7" t="n"/>
    </row>
    <row r="201" ht="15.75" customHeight="1" s="209">
      <c r="A201" s="7" t="n"/>
      <c r="B201" s="7" t="n"/>
      <c r="C201" s="7" t="n"/>
      <c r="D201" s="7" t="n"/>
      <c r="E201" s="7" t="n"/>
      <c r="F201" s="7" t="n"/>
      <c r="G201" s="7" t="n"/>
      <c r="K201" s="7" t="n"/>
      <c r="L201" s="7" t="n"/>
    </row>
    <row r="202" ht="15.75" customHeight="1" s="209">
      <c r="A202" s="7" t="n"/>
      <c r="B202" s="7" t="n"/>
      <c r="C202" s="7" t="n"/>
      <c r="D202" s="7" t="n"/>
      <c r="E202" s="7" t="n"/>
      <c r="F202" s="7" t="n"/>
      <c r="G202" s="7" t="n"/>
      <c r="K202" s="7" t="n"/>
      <c r="L202" s="7" t="n"/>
    </row>
    <row r="203" ht="15.75" customHeight="1" s="209">
      <c r="A203" s="7" t="n"/>
      <c r="B203" s="7" t="n"/>
      <c r="C203" s="7" t="n"/>
      <c r="D203" s="7" t="n"/>
      <c r="E203" s="7" t="n"/>
      <c r="F203" s="7" t="n"/>
      <c r="G203" s="7" t="n"/>
      <c r="K203" s="7" t="n"/>
      <c r="L203" s="7" t="n"/>
    </row>
    <row r="204" ht="15.75" customHeight="1" s="209">
      <c r="A204" s="7" t="n"/>
      <c r="B204" s="7" t="n"/>
      <c r="C204" s="7" t="n"/>
      <c r="D204" s="7" t="n"/>
      <c r="E204" s="7" t="n"/>
      <c r="F204" s="7" t="n"/>
      <c r="G204" s="7" t="n"/>
      <c r="K204" s="7" t="n"/>
      <c r="L204" s="7" t="n"/>
    </row>
    <row r="205" ht="15.75" customHeight="1" s="209">
      <c r="A205" s="7" t="n"/>
      <c r="B205" s="7" t="n"/>
      <c r="C205" s="7" t="n"/>
      <c r="D205" s="7" t="n"/>
      <c r="E205" s="7" t="n"/>
      <c r="F205" s="7" t="n"/>
      <c r="G205" s="7" t="n"/>
      <c r="K205" s="7" t="n"/>
      <c r="L205" s="7" t="n"/>
    </row>
    <row r="206" ht="15.75" customHeight="1" s="209">
      <c r="A206" s="7" t="n"/>
      <c r="B206" s="7" t="n"/>
      <c r="C206" s="7" t="n"/>
      <c r="D206" s="7" t="n"/>
      <c r="E206" s="7" t="n"/>
      <c r="F206" s="7" t="n"/>
      <c r="G206" s="7" t="n"/>
      <c r="K206" s="7" t="n"/>
      <c r="L206" s="7" t="n"/>
    </row>
    <row r="207" ht="15.75" customHeight="1" s="209">
      <c r="A207" s="7" t="n"/>
      <c r="B207" s="7" t="n"/>
      <c r="C207" s="7" t="n"/>
      <c r="D207" s="7" t="n"/>
      <c r="E207" s="7" t="n"/>
      <c r="F207" s="7" t="n"/>
      <c r="G207" s="7" t="n"/>
      <c r="K207" s="7" t="n"/>
      <c r="L207" s="7" t="n"/>
    </row>
    <row r="208" ht="15.75" customHeight="1" s="209">
      <c r="A208" s="7" t="n"/>
      <c r="B208" s="7" t="n"/>
      <c r="C208" s="7" t="n"/>
      <c r="D208" s="7" t="n"/>
      <c r="E208" s="7" t="n"/>
      <c r="F208" s="7" t="n"/>
      <c r="G208" s="7" t="n"/>
      <c r="K208" s="7" t="n"/>
      <c r="L208" s="7" t="n"/>
    </row>
    <row r="209" ht="15.75" customHeight="1" s="209">
      <c r="A209" s="7" t="n"/>
      <c r="B209" s="7" t="n"/>
      <c r="C209" s="7" t="n"/>
      <c r="D209" s="7" t="n"/>
      <c r="E209" s="7" t="n"/>
      <c r="F209" s="7" t="n"/>
      <c r="G209" s="7" t="n"/>
      <c r="K209" s="7" t="n"/>
      <c r="L209" s="7" t="n"/>
    </row>
    <row r="210" ht="15.75" customHeight="1" s="209">
      <c r="A210" s="7" t="n"/>
      <c r="B210" s="7" t="n"/>
      <c r="C210" s="7" t="n"/>
      <c r="D210" s="7" t="n"/>
      <c r="E210" s="7" t="n"/>
      <c r="F210" s="7" t="n"/>
      <c r="G210" s="7" t="n"/>
      <c r="K210" s="7" t="n"/>
      <c r="L210" s="7" t="n"/>
    </row>
    <row r="211" ht="15.75" customHeight="1" s="209">
      <c r="A211" s="7" t="n"/>
      <c r="B211" s="7" t="n"/>
      <c r="C211" s="7" t="n"/>
      <c r="D211" s="7" t="n"/>
      <c r="E211" s="7" t="n"/>
      <c r="F211" s="7" t="n"/>
      <c r="G211" s="7" t="n"/>
      <c r="K211" s="7" t="n"/>
      <c r="L211" s="7" t="n"/>
    </row>
    <row r="212" ht="15.75" customHeight="1" s="209">
      <c r="A212" s="7" t="n"/>
      <c r="B212" s="7" t="n"/>
      <c r="C212" s="7" t="n"/>
      <c r="D212" s="7" t="n"/>
      <c r="E212" s="7" t="n"/>
      <c r="F212" s="7" t="n"/>
      <c r="G212" s="7" t="n"/>
      <c r="K212" s="7" t="n"/>
      <c r="L212" s="7" t="n"/>
    </row>
    <row r="213" ht="15.75" customHeight="1" s="209">
      <c r="A213" s="7" t="n"/>
      <c r="B213" s="7" t="n"/>
      <c r="C213" s="7" t="n"/>
      <c r="D213" s="7" t="n"/>
      <c r="E213" s="7" t="n"/>
      <c r="F213" s="7" t="n"/>
      <c r="G213" s="7" t="n"/>
      <c r="K213" s="7" t="n"/>
      <c r="L213" s="7" t="n"/>
    </row>
    <row r="214" ht="15.75" customHeight="1" s="209">
      <c r="A214" s="7" t="n"/>
      <c r="B214" s="7" t="n"/>
      <c r="C214" s="7" t="n"/>
      <c r="D214" s="7" t="n"/>
      <c r="E214" s="7" t="n"/>
      <c r="F214" s="7" t="n"/>
      <c r="G214" s="7" t="n"/>
      <c r="K214" s="7" t="n"/>
      <c r="L214" s="7" t="n"/>
    </row>
    <row r="215" ht="15.75" customHeight="1" s="209">
      <c r="A215" s="7" t="n"/>
      <c r="B215" s="7" t="n"/>
      <c r="C215" s="7" t="n"/>
      <c r="D215" s="7" t="n"/>
      <c r="E215" s="7" t="n"/>
      <c r="F215" s="7" t="n"/>
      <c r="G215" s="7" t="n"/>
      <c r="K215" s="7" t="n"/>
      <c r="L215" s="7" t="n"/>
    </row>
    <row r="216" ht="15.75" customHeight="1" s="209">
      <c r="A216" s="7" t="n"/>
      <c r="B216" s="7" t="n"/>
      <c r="C216" s="7" t="n"/>
      <c r="D216" s="7" t="n"/>
      <c r="E216" s="7" t="n"/>
      <c r="F216" s="7" t="n"/>
      <c r="G216" s="7" t="n"/>
      <c r="K216" s="7" t="n"/>
      <c r="L216" s="7" t="n"/>
    </row>
    <row r="217" ht="15.75" customHeight="1" s="209">
      <c r="A217" s="7" t="n"/>
      <c r="B217" s="7" t="n"/>
      <c r="C217" s="7" t="n"/>
      <c r="D217" s="7" t="n"/>
      <c r="E217" s="7" t="n"/>
      <c r="F217" s="7" t="n"/>
      <c r="G217" s="7" t="n"/>
      <c r="K217" s="7" t="n"/>
      <c r="L217" s="7" t="n"/>
    </row>
    <row r="218" ht="15.75" customHeight="1" s="209">
      <c r="A218" s="7" t="n"/>
      <c r="B218" s="7" t="n"/>
      <c r="C218" s="7" t="n"/>
      <c r="D218" s="7" t="n"/>
      <c r="E218" s="7" t="n"/>
      <c r="F218" s="7" t="n"/>
      <c r="G218" s="7" t="n"/>
      <c r="K218" s="7" t="n"/>
      <c r="L218" s="7" t="n"/>
    </row>
    <row r="219" ht="15.75" customHeight="1" s="209">
      <c r="A219" s="7" t="n"/>
      <c r="B219" s="7" t="n"/>
      <c r="C219" s="7" t="n"/>
      <c r="D219" s="7" t="n"/>
      <c r="E219" s="7" t="n"/>
      <c r="F219" s="7" t="n"/>
      <c r="G219" s="7" t="n"/>
      <c r="K219" s="7" t="n"/>
      <c r="L219" s="7" t="n"/>
    </row>
    <row r="220" ht="15.75" customHeight="1" s="209">
      <c r="A220" s="7" t="n"/>
      <c r="B220" s="7" t="n"/>
      <c r="C220" s="7" t="n"/>
      <c r="D220" s="7" t="n"/>
      <c r="E220" s="7" t="n"/>
      <c r="F220" s="7" t="n"/>
      <c r="G220" s="7" t="n"/>
      <c r="K220" s="7" t="n"/>
      <c r="L220" s="7" t="n"/>
    </row>
    <row r="221" ht="15.75" customHeight="1" s="209">
      <c r="A221" s="7" t="n"/>
      <c r="B221" s="7" t="n"/>
      <c r="C221" s="7" t="n"/>
      <c r="D221" s="7" t="n"/>
      <c r="E221" s="7" t="n"/>
      <c r="F221" s="7" t="n"/>
      <c r="G221" s="7" t="n"/>
      <c r="K221" s="7" t="n"/>
      <c r="L221" s="7" t="n"/>
    </row>
    <row r="222" ht="15.75" customHeight="1" s="209">
      <c r="A222" s="7" t="n"/>
      <c r="B222" s="7" t="n"/>
      <c r="C222" s="7" t="n"/>
      <c r="D222" s="7" t="n"/>
      <c r="E222" s="7" t="n"/>
      <c r="F222" s="7" t="n"/>
      <c r="G222" s="7" t="n"/>
      <c r="K222" s="7" t="n"/>
      <c r="L222" s="7" t="n"/>
    </row>
    <row r="223" ht="15.75" customHeight="1" s="209">
      <c r="A223" s="7" t="n"/>
      <c r="B223" s="7" t="n"/>
      <c r="C223" s="7" t="n"/>
      <c r="D223" s="7" t="n"/>
      <c r="E223" s="7" t="n"/>
      <c r="F223" s="7" t="n"/>
      <c r="G223" s="7" t="n"/>
      <c r="K223" s="7" t="n"/>
      <c r="L223" s="7" t="n"/>
    </row>
    <row r="224" ht="15.75" customHeight="1" s="209">
      <c r="A224" s="7" t="n"/>
      <c r="B224" s="7" t="n"/>
      <c r="C224" s="7" t="n"/>
      <c r="D224" s="7" t="n"/>
      <c r="E224" s="7" t="n"/>
      <c r="F224" s="7" t="n"/>
      <c r="G224" s="7" t="n"/>
      <c r="K224" s="7" t="n"/>
      <c r="L224" s="7" t="n"/>
    </row>
    <row r="225" ht="15.75" customHeight="1" s="209">
      <c r="A225" s="7" t="n"/>
      <c r="B225" s="7" t="n"/>
      <c r="C225" s="7" t="n"/>
      <c r="D225" s="7" t="n"/>
      <c r="E225" s="7" t="n"/>
      <c r="F225" s="7" t="n"/>
      <c r="G225" s="7" t="n"/>
      <c r="K225" s="7" t="n"/>
      <c r="L225" s="7" t="n"/>
    </row>
    <row r="226" ht="15.75" customHeight="1" s="209">
      <c r="A226" s="7" t="n"/>
      <c r="B226" s="7" t="n"/>
      <c r="C226" s="7" t="n"/>
      <c r="D226" s="7" t="n"/>
      <c r="E226" s="7" t="n"/>
      <c r="F226" s="7" t="n"/>
      <c r="G226" s="7" t="n"/>
      <c r="K226" s="7" t="n"/>
      <c r="L226" s="7" t="n"/>
    </row>
    <row r="227" ht="15.75" customHeight="1" s="209">
      <c r="A227" s="7" t="n"/>
      <c r="B227" s="7" t="n"/>
      <c r="C227" s="7" t="n"/>
      <c r="D227" s="7" t="n"/>
      <c r="E227" s="7" t="n"/>
      <c r="F227" s="7" t="n"/>
      <c r="G227" s="7" t="n"/>
      <c r="K227" s="7" t="n"/>
      <c r="L227" s="7" t="n"/>
    </row>
    <row r="228" ht="15.75" customHeight="1" s="209">
      <c r="A228" s="7" t="n"/>
      <c r="B228" s="7" t="n"/>
      <c r="C228" s="7" t="n"/>
      <c r="D228" s="7" t="n"/>
      <c r="E228" s="7" t="n"/>
      <c r="F228" s="7" t="n"/>
      <c r="G228" s="7" t="n"/>
      <c r="K228" s="7" t="n"/>
      <c r="L228" s="7" t="n"/>
    </row>
    <row r="229" ht="15.75" customHeight="1" s="209">
      <c r="A229" s="7" t="n"/>
      <c r="B229" s="7" t="n"/>
      <c r="C229" s="7" t="n"/>
      <c r="D229" s="7" t="n"/>
      <c r="E229" s="7" t="n"/>
      <c r="F229" s="7" t="n"/>
      <c r="G229" s="7" t="n"/>
      <c r="K229" s="7" t="n"/>
      <c r="L229" s="7" t="n"/>
    </row>
    <row r="230" ht="15.75" customHeight="1" s="209">
      <c r="A230" s="7" t="n"/>
      <c r="B230" s="7" t="n"/>
      <c r="C230" s="7" t="n"/>
      <c r="D230" s="7" t="n"/>
      <c r="E230" s="7" t="n"/>
      <c r="F230" s="7" t="n"/>
      <c r="G230" s="7" t="n"/>
      <c r="K230" s="7" t="n"/>
      <c r="L230" s="7" t="n"/>
    </row>
    <row r="231" ht="15.75" customHeight="1" s="209">
      <c r="A231" s="7" t="n"/>
      <c r="B231" s="7" t="n"/>
      <c r="C231" s="7" t="n"/>
      <c r="D231" s="7" t="n"/>
      <c r="E231" s="7" t="n"/>
      <c r="F231" s="7" t="n"/>
      <c r="G231" s="7" t="n"/>
      <c r="K231" s="7" t="n"/>
      <c r="L231" s="7" t="n"/>
    </row>
    <row r="232" ht="15.75" customHeight="1" s="209">
      <c r="A232" s="7" t="n"/>
      <c r="B232" s="7" t="n"/>
      <c r="C232" s="7" t="n"/>
      <c r="D232" s="7" t="n"/>
      <c r="E232" s="7" t="n"/>
      <c r="F232" s="7" t="n"/>
      <c r="G232" s="7" t="n"/>
      <c r="K232" s="7" t="n"/>
      <c r="L232" s="7" t="n"/>
    </row>
    <row r="233" ht="15.75" customHeight="1" s="209">
      <c r="A233" s="7" t="n"/>
      <c r="B233" s="7" t="n"/>
      <c r="C233" s="7" t="n"/>
      <c r="D233" s="7" t="n"/>
      <c r="E233" s="7" t="n"/>
      <c r="F233" s="7" t="n"/>
      <c r="G233" s="7" t="n"/>
      <c r="K233" s="7" t="n"/>
      <c r="L233" s="7" t="n"/>
    </row>
    <row r="234" ht="15.75" customHeight="1" s="209">
      <c r="A234" s="7" t="n"/>
      <c r="B234" s="7" t="n"/>
      <c r="C234" s="7" t="n"/>
      <c r="D234" s="7" t="n"/>
      <c r="E234" s="7" t="n"/>
      <c r="F234" s="7" t="n"/>
      <c r="G234" s="7" t="n"/>
      <c r="K234" s="7" t="n"/>
      <c r="L234" s="7" t="n"/>
    </row>
    <row r="235" ht="15.75" customHeight="1" s="209">
      <c r="A235" s="7" t="n"/>
      <c r="B235" s="7" t="n"/>
      <c r="C235" s="7" t="n"/>
      <c r="D235" s="7" t="n"/>
      <c r="E235" s="7" t="n"/>
      <c r="F235" s="7" t="n"/>
      <c r="G235" s="7" t="n"/>
      <c r="K235" s="7" t="n"/>
      <c r="L235" s="7" t="n"/>
    </row>
    <row r="236" ht="15.75" customHeight="1" s="209">
      <c r="A236" s="7" t="n"/>
      <c r="B236" s="7" t="n"/>
      <c r="C236" s="7" t="n"/>
      <c r="D236" s="7" t="n"/>
      <c r="E236" s="7" t="n"/>
      <c r="F236" s="7" t="n"/>
      <c r="G236" s="7" t="n"/>
      <c r="K236" s="7" t="n"/>
      <c r="L236" s="7" t="n"/>
    </row>
    <row r="237" ht="15.75" customHeight="1" s="209">
      <c r="A237" s="7" t="n"/>
      <c r="B237" s="7" t="n"/>
      <c r="C237" s="7" t="n"/>
      <c r="D237" s="7" t="n"/>
      <c r="E237" s="7" t="n"/>
      <c r="F237" s="7" t="n"/>
      <c r="G237" s="7" t="n"/>
      <c r="K237" s="7" t="n"/>
      <c r="L237" s="7" t="n"/>
    </row>
    <row r="238" ht="15.75" customHeight="1" s="209">
      <c r="A238" s="7" t="n"/>
      <c r="B238" s="7" t="n"/>
      <c r="C238" s="7" t="n"/>
      <c r="D238" s="7" t="n"/>
      <c r="E238" s="7" t="n"/>
      <c r="F238" s="7" t="n"/>
      <c r="G238" s="7" t="n"/>
      <c r="K238" s="7" t="n"/>
      <c r="L238" s="7" t="n"/>
    </row>
    <row r="239" ht="15.75" customHeight="1" s="209">
      <c r="A239" s="7" t="n"/>
      <c r="B239" s="7" t="n"/>
      <c r="C239" s="7" t="n"/>
      <c r="D239" s="7" t="n"/>
      <c r="E239" s="7" t="n"/>
      <c r="F239" s="7" t="n"/>
      <c r="G239" s="7" t="n"/>
      <c r="K239" s="7" t="n"/>
      <c r="L239" s="7" t="n"/>
    </row>
    <row r="240" ht="15.75" customHeight="1" s="209">
      <c r="A240" s="7" t="n"/>
      <c r="B240" s="7" t="n"/>
      <c r="C240" s="7" t="n"/>
      <c r="D240" s="7" t="n"/>
      <c r="E240" s="7" t="n"/>
      <c r="F240" s="7" t="n"/>
      <c r="G240" s="7" t="n"/>
      <c r="K240" s="7" t="n"/>
      <c r="L240" s="7" t="n"/>
    </row>
    <row r="241" ht="15.75" customHeight="1" s="209">
      <c r="A241" s="7" t="n"/>
      <c r="B241" s="7" t="n"/>
      <c r="C241" s="7" t="n"/>
      <c r="D241" s="7" t="n"/>
      <c r="E241" s="7" t="n"/>
      <c r="F241" s="7" t="n"/>
      <c r="G241" s="7" t="n"/>
      <c r="K241" s="7" t="n"/>
      <c r="L241" s="7" t="n"/>
    </row>
    <row r="242" ht="15.75" customHeight="1" s="209">
      <c r="A242" s="7" t="n"/>
      <c r="B242" s="7" t="n"/>
      <c r="C242" s="7" t="n"/>
      <c r="D242" s="7" t="n"/>
      <c r="E242" s="7" t="n"/>
      <c r="F242" s="7" t="n"/>
      <c r="G242" s="7" t="n"/>
      <c r="K242" s="7" t="n"/>
      <c r="L242" s="7" t="n"/>
    </row>
    <row r="243" ht="15.75" customHeight="1" s="209">
      <c r="A243" s="7" t="n"/>
      <c r="B243" s="7" t="n"/>
      <c r="C243" s="7" t="n"/>
      <c r="D243" s="7" t="n"/>
      <c r="E243" s="7" t="n"/>
      <c r="F243" s="7" t="n"/>
      <c r="G243" s="7" t="n"/>
      <c r="K243" s="7" t="n"/>
      <c r="L243" s="7" t="n"/>
    </row>
    <row r="244" ht="15.75" customHeight="1" s="209">
      <c r="A244" s="7" t="n"/>
      <c r="B244" s="7" t="n"/>
      <c r="C244" s="7" t="n"/>
      <c r="D244" s="7" t="n"/>
      <c r="E244" s="7" t="n"/>
      <c r="F244" s="7" t="n"/>
      <c r="G244" s="7" t="n"/>
      <c r="K244" s="7" t="n"/>
      <c r="L244" s="7" t="n"/>
    </row>
    <row r="245" ht="15.75" customHeight="1" s="209">
      <c r="A245" s="7" t="n"/>
      <c r="B245" s="7" t="n"/>
      <c r="C245" s="7" t="n"/>
      <c r="D245" s="7" t="n"/>
      <c r="E245" s="7" t="n"/>
      <c r="F245" s="7" t="n"/>
      <c r="G245" s="7" t="n"/>
      <c r="K245" s="7" t="n"/>
      <c r="L245" s="7" t="n"/>
    </row>
    <row r="246" ht="15.75" customHeight="1" s="209">
      <c r="A246" s="7" t="n"/>
      <c r="B246" s="7" t="n"/>
      <c r="C246" s="7" t="n"/>
      <c r="D246" s="7" t="n"/>
      <c r="E246" s="7" t="n"/>
      <c r="F246" s="7" t="n"/>
      <c r="G246" s="7" t="n"/>
      <c r="K246" s="7" t="n"/>
      <c r="L246" s="7" t="n"/>
    </row>
    <row r="247" ht="15.75" customHeight="1" s="209">
      <c r="A247" s="7" t="n"/>
      <c r="B247" s="7" t="n"/>
      <c r="C247" s="7" t="n"/>
      <c r="D247" s="7" t="n"/>
      <c r="E247" s="7" t="n"/>
      <c r="F247" s="7" t="n"/>
      <c r="G247" s="7" t="n"/>
      <c r="K247" s="7" t="n"/>
      <c r="L247" s="7" t="n"/>
    </row>
    <row r="248" ht="15.75" customHeight="1" s="209">
      <c r="A248" s="7" t="n"/>
      <c r="B248" s="7" t="n"/>
      <c r="C248" s="7" t="n"/>
      <c r="D248" s="7" t="n"/>
      <c r="E248" s="7" t="n"/>
      <c r="F248" s="7" t="n"/>
      <c r="G248" s="7" t="n"/>
      <c r="K248" s="7" t="n"/>
      <c r="L248" s="7" t="n"/>
    </row>
    <row r="249" ht="15.75" customHeight="1" s="209">
      <c r="A249" s="7" t="n"/>
      <c r="B249" s="7" t="n"/>
      <c r="C249" s="7" t="n"/>
      <c r="D249" s="7" t="n"/>
      <c r="E249" s="7" t="n"/>
      <c r="F249" s="7" t="n"/>
      <c r="G249" s="7" t="n"/>
      <c r="K249" s="7" t="n"/>
      <c r="L249" s="7" t="n"/>
    </row>
    <row r="250" ht="15.75" customHeight="1" s="209">
      <c r="A250" s="7" t="n"/>
      <c r="B250" s="7" t="n"/>
      <c r="C250" s="7" t="n"/>
      <c r="D250" s="7" t="n"/>
      <c r="E250" s="7" t="n"/>
      <c r="F250" s="7" t="n"/>
      <c r="G250" s="7" t="n"/>
      <c r="K250" s="7" t="n"/>
      <c r="L250" s="7" t="n"/>
    </row>
    <row r="251" ht="15.75" customHeight="1" s="209">
      <c r="A251" s="7" t="n"/>
      <c r="B251" s="7" t="n"/>
      <c r="C251" s="7" t="n"/>
      <c r="D251" s="7" t="n"/>
      <c r="E251" s="7" t="n"/>
      <c r="F251" s="7" t="n"/>
      <c r="G251" s="7" t="n"/>
      <c r="K251" s="7" t="n"/>
      <c r="L251" s="7" t="n"/>
    </row>
    <row r="252" ht="15.75" customHeight="1" s="209">
      <c r="A252" s="7" t="n"/>
      <c r="B252" s="7" t="n"/>
      <c r="C252" s="7" t="n"/>
      <c r="D252" s="7" t="n"/>
      <c r="E252" s="7" t="n"/>
      <c r="F252" s="7" t="n"/>
      <c r="G252" s="7" t="n"/>
      <c r="K252" s="7" t="n"/>
      <c r="L252" s="7" t="n"/>
    </row>
    <row r="253" ht="15.75" customHeight="1" s="209">
      <c r="A253" s="7" t="n"/>
      <c r="B253" s="7" t="n"/>
      <c r="C253" s="7" t="n"/>
      <c r="D253" s="7" t="n"/>
      <c r="E253" s="7" t="n"/>
      <c r="F253" s="7" t="n"/>
      <c r="G253" s="7" t="n"/>
      <c r="K253" s="7" t="n"/>
      <c r="L253" s="7" t="n"/>
    </row>
    <row r="254" ht="15.75" customHeight="1" s="209">
      <c r="A254" s="7" t="n"/>
      <c r="B254" s="7" t="n"/>
      <c r="C254" s="7" t="n"/>
      <c r="D254" s="7" t="n"/>
      <c r="E254" s="7" t="n"/>
      <c r="F254" s="7" t="n"/>
      <c r="G254" s="7" t="n"/>
      <c r="K254" s="7" t="n"/>
      <c r="L254" s="7" t="n"/>
    </row>
    <row r="255" ht="15.75" customHeight="1" s="209">
      <c r="A255" s="7" t="n"/>
      <c r="B255" s="7" t="n"/>
      <c r="C255" s="7" t="n"/>
      <c r="D255" s="7" t="n"/>
      <c r="E255" s="7" t="n"/>
      <c r="F255" s="7" t="n"/>
      <c r="G255" s="7" t="n"/>
      <c r="K255" s="7" t="n"/>
      <c r="L255" s="7" t="n"/>
    </row>
    <row r="256" ht="15.75" customHeight="1" s="209">
      <c r="A256" s="7" t="n"/>
      <c r="B256" s="7" t="n"/>
      <c r="C256" s="7" t="n"/>
      <c r="D256" s="7" t="n"/>
      <c r="E256" s="7" t="n"/>
      <c r="F256" s="7" t="n"/>
      <c r="G256" s="7" t="n"/>
      <c r="K256" s="7" t="n"/>
      <c r="L256" s="7" t="n"/>
    </row>
    <row r="257" ht="15.75" customHeight="1" s="209">
      <c r="A257" s="7" t="n"/>
      <c r="B257" s="7" t="n"/>
      <c r="C257" s="7" t="n"/>
      <c r="D257" s="7" t="n"/>
      <c r="E257" s="7" t="n"/>
      <c r="F257" s="7" t="n"/>
      <c r="G257" s="7" t="n"/>
      <c r="K257" s="7" t="n"/>
      <c r="L257" s="7" t="n"/>
    </row>
    <row r="258" ht="15.75" customHeight="1" s="209">
      <c r="A258" s="7" t="n"/>
      <c r="B258" s="7" t="n"/>
      <c r="C258" s="7" t="n"/>
      <c r="D258" s="7" t="n"/>
      <c r="E258" s="7" t="n"/>
      <c r="F258" s="7" t="n"/>
      <c r="G258" s="7" t="n"/>
      <c r="K258" s="7" t="n"/>
      <c r="L258" s="7" t="n"/>
    </row>
    <row r="259" ht="15.75" customHeight="1" s="209">
      <c r="A259" s="7" t="n"/>
      <c r="B259" s="7" t="n"/>
      <c r="C259" s="7" t="n"/>
      <c r="D259" s="7" t="n"/>
      <c r="E259" s="7" t="n"/>
      <c r="F259" s="7" t="n"/>
      <c r="G259" s="7" t="n"/>
      <c r="K259" s="7" t="n"/>
      <c r="L259" s="7" t="n"/>
    </row>
    <row r="260" ht="15.75" customHeight="1" s="209">
      <c r="A260" s="7" t="n"/>
      <c r="B260" s="7" t="n"/>
      <c r="C260" s="7" t="n"/>
      <c r="D260" s="7" t="n"/>
      <c r="E260" s="7" t="n"/>
      <c r="F260" s="7" t="n"/>
      <c r="G260" s="7" t="n"/>
      <c r="K260" s="7" t="n"/>
      <c r="L260" s="7" t="n"/>
    </row>
    <row r="261" ht="15.75" customHeight="1" s="209">
      <c r="A261" s="7" t="n"/>
      <c r="B261" s="7" t="n"/>
      <c r="C261" s="7" t="n"/>
      <c r="D261" s="7" t="n"/>
      <c r="E261" s="7" t="n"/>
      <c r="F261" s="7" t="n"/>
      <c r="G261" s="7" t="n"/>
      <c r="K261" s="7" t="n"/>
      <c r="L261" s="7" t="n"/>
    </row>
    <row r="262" ht="15.75" customHeight="1" s="209">
      <c r="A262" s="7" t="n"/>
      <c r="B262" s="7" t="n"/>
      <c r="C262" s="7" t="n"/>
      <c r="D262" s="7" t="n"/>
      <c r="E262" s="7" t="n"/>
      <c r="F262" s="7" t="n"/>
      <c r="G262" s="7" t="n"/>
      <c r="K262" s="7" t="n"/>
      <c r="L262" s="7" t="n"/>
    </row>
    <row r="263" ht="15.75" customHeight="1" s="209">
      <c r="A263" s="7" t="n"/>
      <c r="B263" s="7" t="n"/>
      <c r="C263" s="7" t="n"/>
      <c r="D263" s="7" t="n"/>
      <c r="E263" s="7" t="n"/>
      <c r="F263" s="7" t="n"/>
      <c r="G263" s="7" t="n"/>
      <c r="K263" s="7" t="n"/>
      <c r="L263" s="7" t="n"/>
    </row>
    <row r="264" ht="15.75" customHeight="1" s="209">
      <c r="A264" s="7" t="n"/>
      <c r="B264" s="7" t="n"/>
      <c r="C264" s="7" t="n"/>
      <c r="D264" s="7" t="n"/>
      <c r="E264" s="7" t="n"/>
      <c r="F264" s="7" t="n"/>
      <c r="G264" s="7" t="n"/>
      <c r="K264" s="7" t="n"/>
      <c r="L264" s="7" t="n"/>
    </row>
    <row r="265" ht="15.75" customHeight="1" s="209">
      <c r="A265" s="7" t="n"/>
      <c r="B265" s="7" t="n"/>
      <c r="C265" s="7" t="n"/>
      <c r="D265" s="7" t="n"/>
      <c r="E265" s="7" t="n"/>
      <c r="F265" s="7" t="n"/>
      <c r="G265" s="7" t="n"/>
      <c r="K265" s="7" t="n"/>
      <c r="L265" s="7" t="n"/>
    </row>
    <row r="266" ht="15.75" customHeight="1" s="209">
      <c r="A266" s="7" t="n"/>
      <c r="B266" s="7" t="n"/>
      <c r="C266" s="7" t="n"/>
      <c r="D266" s="7" t="n"/>
      <c r="E266" s="7" t="n"/>
      <c r="F266" s="7" t="n"/>
      <c r="G266" s="7" t="n"/>
      <c r="K266" s="7" t="n"/>
      <c r="L266" s="7" t="n"/>
    </row>
    <row r="267" ht="15.75" customHeight="1" s="209">
      <c r="A267" s="7" t="n"/>
      <c r="B267" s="7" t="n"/>
      <c r="C267" s="7" t="n"/>
      <c r="D267" s="7" t="n"/>
      <c r="E267" s="7" t="n"/>
      <c r="F267" s="7" t="n"/>
      <c r="G267" s="7" t="n"/>
      <c r="K267" s="7" t="n"/>
      <c r="L267" s="7" t="n"/>
    </row>
    <row r="268" ht="15.75" customHeight="1" s="209">
      <c r="A268" s="7" t="n"/>
      <c r="B268" s="7" t="n"/>
      <c r="C268" s="7" t="n"/>
      <c r="D268" s="7" t="n"/>
      <c r="E268" s="7" t="n"/>
      <c r="F268" s="7" t="n"/>
      <c r="G268" s="7" t="n"/>
      <c r="K268" s="7" t="n"/>
      <c r="L268" s="7" t="n"/>
    </row>
    <row r="269" ht="15.75" customHeight="1" s="209">
      <c r="A269" s="7" t="n"/>
      <c r="B269" s="7" t="n"/>
      <c r="C269" s="7" t="n"/>
      <c r="D269" s="7" t="n"/>
      <c r="E269" s="7" t="n"/>
      <c r="F269" s="7" t="n"/>
      <c r="G269" s="7" t="n"/>
      <c r="K269" s="7" t="n"/>
      <c r="L269" s="7" t="n"/>
    </row>
    <row r="270" ht="15.75" customHeight="1" s="209">
      <c r="A270" s="7" t="n"/>
      <c r="B270" s="7" t="n"/>
      <c r="C270" s="7" t="n"/>
      <c r="D270" s="7" t="n"/>
      <c r="E270" s="7" t="n"/>
      <c r="F270" s="7" t="n"/>
      <c r="G270" s="7" t="n"/>
      <c r="K270" s="7" t="n"/>
      <c r="L270" s="7" t="n"/>
    </row>
    <row r="271" ht="15.75" customHeight="1" s="209">
      <c r="A271" s="7" t="n"/>
      <c r="B271" s="7" t="n"/>
      <c r="C271" s="7" t="n"/>
      <c r="D271" s="7" t="n"/>
      <c r="E271" s="7" t="n"/>
      <c r="F271" s="7" t="n"/>
      <c r="G271" s="7" t="n"/>
      <c r="K271" s="7" t="n"/>
      <c r="L271" s="7" t="n"/>
    </row>
    <row r="272" ht="15.75" customHeight="1" s="209">
      <c r="A272" s="7" t="n"/>
      <c r="B272" s="7" t="n"/>
      <c r="C272" s="7" t="n"/>
      <c r="D272" s="7" t="n"/>
      <c r="E272" s="7" t="n"/>
      <c r="F272" s="7" t="n"/>
      <c r="G272" s="7" t="n"/>
      <c r="K272" s="7" t="n"/>
      <c r="L272" s="7" t="n"/>
    </row>
    <row r="273" ht="15.75" customHeight="1" s="209">
      <c r="A273" s="7" t="n"/>
      <c r="B273" s="7" t="n"/>
      <c r="C273" s="7" t="n"/>
      <c r="D273" s="7" t="n"/>
      <c r="E273" s="7" t="n"/>
      <c r="F273" s="7" t="n"/>
      <c r="G273" s="7" t="n"/>
      <c r="K273" s="7" t="n"/>
      <c r="L273" s="7" t="n"/>
    </row>
    <row r="274" ht="15.75" customHeight="1" s="209">
      <c r="A274" s="7" t="n"/>
      <c r="B274" s="7" t="n"/>
      <c r="C274" s="7" t="n"/>
      <c r="D274" s="7" t="n"/>
      <c r="E274" s="7" t="n"/>
      <c r="F274" s="7" t="n"/>
      <c r="G274" s="7" t="n"/>
      <c r="K274" s="7" t="n"/>
      <c r="L274" s="7" t="n"/>
    </row>
    <row r="275" ht="15.75" customHeight="1" s="209">
      <c r="A275" s="7" t="n"/>
      <c r="B275" s="7" t="n"/>
      <c r="C275" s="7" t="n"/>
      <c r="D275" s="7" t="n"/>
      <c r="E275" s="7" t="n"/>
      <c r="F275" s="7" t="n"/>
      <c r="G275" s="7" t="n"/>
      <c r="K275" s="7" t="n"/>
      <c r="L275" s="7" t="n"/>
    </row>
    <row r="276" ht="15.75" customHeight="1" s="209">
      <c r="A276" s="7" t="n"/>
      <c r="B276" s="7" t="n"/>
      <c r="C276" s="7" t="n"/>
      <c r="D276" s="7" t="n"/>
      <c r="E276" s="7" t="n"/>
      <c r="F276" s="7" t="n"/>
      <c r="G276" s="7" t="n"/>
      <c r="K276" s="7" t="n"/>
      <c r="L276" s="7" t="n"/>
    </row>
    <row r="277" ht="15.75" customHeight="1" s="209">
      <c r="A277" s="7" t="n"/>
      <c r="B277" s="7" t="n"/>
      <c r="C277" s="7" t="n"/>
      <c r="D277" s="7" t="n"/>
      <c r="E277" s="7" t="n"/>
      <c r="F277" s="7" t="n"/>
      <c r="G277" s="7" t="n"/>
      <c r="K277" s="7" t="n"/>
      <c r="L277" s="7" t="n"/>
    </row>
    <row r="278" ht="15.75" customHeight="1" s="209">
      <c r="A278" s="7" t="n"/>
      <c r="B278" s="7" t="n"/>
      <c r="C278" s="7" t="n"/>
      <c r="D278" s="7" t="n"/>
      <c r="E278" s="7" t="n"/>
      <c r="F278" s="7" t="n"/>
      <c r="G278" s="7" t="n"/>
      <c r="K278" s="7" t="n"/>
      <c r="L278" s="7" t="n"/>
    </row>
    <row r="279" ht="15.75" customHeight="1" s="209">
      <c r="A279" s="7" t="n"/>
      <c r="B279" s="7" t="n"/>
      <c r="C279" s="7" t="n"/>
      <c r="D279" s="7" t="n"/>
      <c r="E279" s="7" t="n"/>
      <c r="F279" s="7" t="n"/>
      <c r="G279" s="7" t="n"/>
      <c r="K279" s="7" t="n"/>
      <c r="L279" s="7" t="n"/>
    </row>
    <row r="280" ht="15.75" customHeight="1" s="209">
      <c r="A280" s="7" t="n"/>
      <c r="B280" s="7" t="n"/>
      <c r="C280" s="7" t="n"/>
      <c r="D280" s="7" t="n"/>
      <c r="E280" s="7" t="n"/>
      <c r="F280" s="7" t="n"/>
      <c r="G280" s="7" t="n"/>
      <c r="K280" s="7" t="n"/>
      <c r="L280" s="7" t="n"/>
    </row>
    <row r="281" ht="15.75" customHeight="1" s="209">
      <c r="A281" s="7" t="n"/>
      <c r="B281" s="7" t="n"/>
      <c r="C281" s="7" t="n"/>
      <c r="D281" s="7" t="n"/>
      <c r="E281" s="7" t="n"/>
      <c r="F281" s="7" t="n"/>
      <c r="G281" s="7" t="n"/>
      <c r="K281" s="7" t="n"/>
      <c r="L281" s="7" t="n"/>
    </row>
    <row r="282" ht="15.75" customHeight="1" s="209">
      <c r="A282" s="7" t="n"/>
      <c r="B282" s="7" t="n"/>
      <c r="C282" s="7" t="n"/>
      <c r="D282" s="7" t="n"/>
      <c r="E282" s="7" t="n"/>
      <c r="F282" s="7" t="n"/>
      <c r="G282" s="7" t="n"/>
      <c r="K282" s="7" t="n"/>
      <c r="L282" s="7" t="n"/>
    </row>
    <row r="283" ht="15.75" customHeight="1" s="209">
      <c r="A283" s="7" t="n"/>
      <c r="B283" s="7" t="n"/>
      <c r="C283" s="7" t="n"/>
      <c r="D283" s="7" t="n"/>
      <c r="E283" s="7" t="n"/>
      <c r="F283" s="7" t="n"/>
      <c r="G283" s="7" t="n"/>
      <c r="K283" s="7" t="n"/>
      <c r="L283" s="7" t="n"/>
    </row>
    <row r="284" ht="15.75" customHeight="1" s="209">
      <c r="A284" s="7" t="n"/>
      <c r="B284" s="7" t="n"/>
      <c r="C284" s="7" t="n"/>
      <c r="D284" s="7" t="n"/>
      <c r="E284" s="7" t="n"/>
      <c r="F284" s="7" t="n"/>
      <c r="G284" s="7" t="n"/>
      <c r="K284" s="7" t="n"/>
      <c r="L284" s="7" t="n"/>
    </row>
    <row r="285" ht="15.75" customHeight="1" s="209">
      <c r="A285" s="7" t="n"/>
      <c r="B285" s="7" t="n"/>
      <c r="C285" s="7" t="n"/>
      <c r="D285" s="7" t="n"/>
      <c r="E285" s="7" t="n"/>
      <c r="F285" s="7" t="n"/>
      <c r="G285" s="7" t="n"/>
      <c r="K285" s="7" t="n"/>
      <c r="L285" s="7" t="n"/>
    </row>
    <row r="286" ht="15.75" customHeight="1" s="209">
      <c r="A286" s="7" t="n"/>
      <c r="B286" s="7" t="n"/>
      <c r="C286" s="7" t="n"/>
      <c r="D286" s="7" t="n"/>
      <c r="E286" s="7" t="n"/>
      <c r="F286" s="7" t="n"/>
      <c r="G286" s="7" t="n"/>
      <c r="K286" s="7" t="n"/>
      <c r="L286" s="7" t="n"/>
    </row>
    <row r="287" ht="15.75" customHeight="1" s="209">
      <c r="A287" s="7" t="n"/>
      <c r="B287" s="7" t="n"/>
      <c r="C287" s="7" t="n"/>
      <c r="D287" s="7" t="n"/>
      <c r="E287" s="7" t="n"/>
      <c r="F287" s="7" t="n"/>
      <c r="G287" s="7" t="n"/>
      <c r="K287" s="7" t="n"/>
      <c r="L287" s="7" t="n"/>
    </row>
    <row r="288" ht="15.75" customHeight="1" s="209">
      <c r="A288" s="7" t="n"/>
      <c r="B288" s="7" t="n"/>
      <c r="C288" s="7" t="n"/>
      <c r="D288" s="7" t="n"/>
      <c r="E288" s="7" t="n"/>
      <c r="F288" s="7" t="n"/>
      <c r="G288" s="7" t="n"/>
      <c r="K288" s="7" t="n"/>
      <c r="L288" s="7" t="n"/>
    </row>
    <row r="289" ht="15.75" customHeight="1" s="209">
      <c r="A289" s="7" t="n"/>
      <c r="B289" s="7" t="n"/>
      <c r="C289" s="7" t="n"/>
      <c r="D289" s="7" t="n"/>
      <c r="E289" s="7" t="n"/>
      <c r="F289" s="7" t="n"/>
      <c r="G289" s="7" t="n"/>
      <c r="K289" s="7" t="n"/>
      <c r="L289" s="7" t="n"/>
    </row>
    <row r="290" ht="15.75" customHeight="1" s="209">
      <c r="A290" s="7" t="n"/>
      <c r="B290" s="7" t="n"/>
      <c r="C290" s="7" t="n"/>
      <c r="D290" s="7" t="n"/>
      <c r="E290" s="7" t="n"/>
      <c r="F290" s="7" t="n"/>
      <c r="G290" s="7" t="n"/>
      <c r="K290" s="7" t="n"/>
      <c r="L290" s="7" t="n"/>
    </row>
    <row r="291" ht="15.75" customHeight="1" s="209">
      <c r="A291" s="7" t="n"/>
      <c r="B291" s="7" t="n"/>
      <c r="C291" s="7" t="n"/>
      <c r="D291" s="7" t="n"/>
      <c r="E291" s="7" t="n"/>
      <c r="F291" s="7" t="n"/>
      <c r="G291" s="7" t="n"/>
      <c r="K291" s="7" t="n"/>
      <c r="L291" s="7" t="n"/>
    </row>
    <row r="292" ht="15.75" customHeight="1" s="209">
      <c r="A292" s="7" t="n"/>
      <c r="B292" s="7" t="n"/>
      <c r="C292" s="7" t="n"/>
      <c r="D292" s="7" t="n"/>
      <c r="E292" s="7" t="n"/>
      <c r="F292" s="7" t="n"/>
      <c r="G292" s="7" t="n"/>
      <c r="K292" s="7" t="n"/>
      <c r="L292" s="7" t="n"/>
    </row>
    <row r="293" ht="15.75" customHeight="1" s="209">
      <c r="A293" s="7" t="n"/>
      <c r="B293" s="7" t="n"/>
      <c r="C293" s="7" t="n"/>
      <c r="D293" s="7" t="n"/>
      <c r="E293" s="7" t="n"/>
      <c r="F293" s="7" t="n"/>
      <c r="G293" s="7" t="n"/>
      <c r="K293" s="7" t="n"/>
      <c r="L293" s="7" t="n"/>
    </row>
    <row r="294" ht="15.75" customHeight="1" s="209">
      <c r="A294" s="7" t="n"/>
      <c r="B294" s="7" t="n"/>
      <c r="C294" s="7" t="n"/>
      <c r="D294" s="7" t="n"/>
      <c r="E294" s="7" t="n"/>
      <c r="F294" s="7" t="n"/>
      <c r="G294" s="7" t="n"/>
      <c r="K294" s="7" t="n"/>
      <c r="L294" s="7" t="n"/>
    </row>
    <row r="295" ht="15.75" customHeight="1" s="209">
      <c r="A295" s="7" t="n"/>
      <c r="B295" s="7" t="n"/>
      <c r="C295" s="7" t="n"/>
      <c r="D295" s="7" t="n"/>
      <c r="E295" s="7" t="n"/>
      <c r="F295" s="7" t="n"/>
      <c r="G295" s="7" t="n"/>
      <c r="K295" s="7" t="n"/>
      <c r="L295" s="7" t="n"/>
    </row>
    <row r="296" ht="15.75" customHeight="1" s="209">
      <c r="A296" s="7" t="n"/>
      <c r="B296" s="7" t="n"/>
      <c r="C296" s="7" t="n"/>
      <c r="D296" s="7" t="n"/>
      <c r="E296" s="7" t="n"/>
      <c r="F296" s="7" t="n"/>
      <c r="G296" s="7" t="n"/>
      <c r="K296" s="7" t="n"/>
      <c r="L296" s="7" t="n"/>
    </row>
    <row r="297" ht="15.75" customHeight="1" s="209">
      <c r="A297" s="7" t="n"/>
      <c r="B297" s="7" t="n"/>
      <c r="C297" s="7" t="n"/>
      <c r="D297" s="7" t="n"/>
      <c r="E297" s="7" t="n"/>
      <c r="F297" s="7" t="n"/>
      <c r="G297" s="7" t="n"/>
      <c r="K297" s="7" t="n"/>
      <c r="L297" s="7" t="n"/>
    </row>
    <row r="298" ht="15.75" customHeight="1" s="209">
      <c r="A298" s="7" t="n"/>
      <c r="B298" s="7" t="n"/>
      <c r="C298" s="7" t="n"/>
      <c r="D298" s="7" t="n"/>
      <c r="E298" s="7" t="n"/>
      <c r="F298" s="7" t="n"/>
      <c r="G298" s="7" t="n"/>
      <c r="K298" s="7" t="n"/>
      <c r="L298" s="7" t="n"/>
    </row>
    <row r="299" ht="15.75" customHeight="1" s="209">
      <c r="A299" s="7" t="n"/>
      <c r="B299" s="7" t="n"/>
      <c r="C299" s="7" t="n"/>
      <c r="D299" s="7" t="n"/>
      <c r="E299" s="7" t="n"/>
      <c r="F299" s="7" t="n"/>
      <c r="G299" s="7" t="n"/>
      <c r="K299" s="7" t="n"/>
      <c r="L299" s="7" t="n"/>
    </row>
    <row r="300" ht="15.75" customHeight="1" s="209">
      <c r="A300" s="7" t="n"/>
      <c r="B300" s="7" t="n"/>
      <c r="C300" s="7" t="n"/>
      <c r="D300" s="7" t="n"/>
      <c r="E300" s="7" t="n"/>
      <c r="F300" s="7" t="n"/>
      <c r="G300" s="7" t="n"/>
      <c r="K300" s="7" t="n"/>
      <c r="L300" s="7" t="n"/>
    </row>
    <row r="301" ht="15.75" customHeight="1" s="209">
      <c r="A301" s="7" t="n"/>
      <c r="B301" s="7" t="n"/>
      <c r="C301" s="7" t="n"/>
      <c r="D301" s="7" t="n"/>
      <c r="E301" s="7" t="n"/>
      <c r="F301" s="7" t="n"/>
      <c r="G301" s="7" t="n"/>
      <c r="K301" s="7" t="n"/>
      <c r="L301" s="7" t="n"/>
    </row>
    <row r="302" ht="15.75" customHeight="1" s="209">
      <c r="A302" s="7" t="n"/>
      <c r="B302" s="7" t="n"/>
      <c r="C302" s="7" t="n"/>
      <c r="D302" s="7" t="n"/>
      <c r="E302" s="7" t="n"/>
      <c r="F302" s="7" t="n"/>
      <c r="G302" s="7" t="n"/>
      <c r="K302" s="7" t="n"/>
      <c r="L302" s="7" t="n"/>
    </row>
    <row r="303" ht="15.75" customHeight="1" s="209">
      <c r="A303" s="7" t="n"/>
      <c r="B303" s="7" t="n"/>
      <c r="C303" s="7" t="n"/>
      <c r="D303" s="7" t="n"/>
      <c r="E303" s="7" t="n"/>
      <c r="F303" s="7" t="n"/>
      <c r="G303" s="7" t="n"/>
      <c r="K303" s="7" t="n"/>
      <c r="L303" s="7" t="n"/>
    </row>
    <row r="304" ht="15.75" customHeight="1" s="209">
      <c r="A304" s="7" t="n"/>
      <c r="B304" s="7" t="n"/>
      <c r="C304" s="7" t="n"/>
      <c r="D304" s="7" t="n"/>
      <c r="E304" s="7" t="n"/>
      <c r="F304" s="7" t="n"/>
      <c r="G304" s="7" t="n"/>
      <c r="K304" s="7" t="n"/>
      <c r="L304" s="7" t="n"/>
    </row>
    <row r="305" ht="15.75" customHeight="1" s="209">
      <c r="A305" s="7" t="n"/>
      <c r="B305" s="7" t="n"/>
      <c r="C305" s="7" t="n"/>
      <c r="D305" s="7" t="n"/>
      <c r="E305" s="7" t="n"/>
      <c r="F305" s="7" t="n"/>
      <c r="G305" s="7" t="n"/>
      <c r="K305" s="7" t="n"/>
      <c r="L305" s="7" t="n"/>
    </row>
    <row r="306" ht="15.75" customHeight="1" s="209">
      <c r="A306" s="7" t="n"/>
      <c r="B306" s="7" t="n"/>
      <c r="C306" s="7" t="n"/>
      <c r="D306" s="7" t="n"/>
      <c r="E306" s="7" t="n"/>
      <c r="F306" s="7" t="n"/>
      <c r="G306" s="7" t="n"/>
      <c r="K306" s="7" t="n"/>
      <c r="L306" s="7" t="n"/>
    </row>
    <row r="307" ht="15.75" customHeight="1" s="209">
      <c r="A307" s="7" t="n"/>
      <c r="B307" s="7" t="n"/>
      <c r="C307" s="7" t="n"/>
      <c r="D307" s="7" t="n"/>
      <c r="E307" s="7" t="n"/>
      <c r="F307" s="7" t="n"/>
      <c r="G307" s="7" t="n"/>
      <c r="K307" s="7" t="n"/>
      <c r="L307" s="7" t="n"/>
    </row>
    <row r="308" ht="15.75" customHeight="1" s="209">
      <c r="A308" s="7" t="n"/>
      <c r="B308" s="7" t="n"/>
      <c r="C308" s="7" t="n"/>
      <c r="D308" s="7" t="n"/>
      <c r="E308" s="7" t="n"/>
      <c r="F308" s="7" t="n"/>
      <c r="G308" s="7" t="n"/>
      <c r="K308" s="7" t="n"/>
      <c r="L308" s="7" t="n"/>
    </row>
    <row r="309" ht="15.75" customHeight="1" s="209">
      <c r="A309" s="7" t="n"/>
      <c r="B309" s="7" t="n"/>
      <c r="C309" s="7" t="n"/>
      <c r="D309" s="7" t="n"/>
      <c r="E309" s="7" t="n"/>
      <c r="F309" s="7" t="n"/>
      <c r="G309" s="7" t="n"/>
      <c r="K309" s="7" t="n"/>
      <c r="L309" s="7" t="n"/>
    </row>
    <row r="310" ht="15.75" customHeight="1" s="209">
      <c r="A310" s="7" t="n"/>
      <c r="B310" s="7" t="n"/>
      <c r="C310" s="7" t="n"/>
      <c r="D310" s="7" t="n"/>
      <c r="E310" s="7" t="n"/>
      <c r="F310" s="7" t="n"/>
      <c r="G310" s="7" t="n"/>
      <c r="K310" s="7" t="n"/>
      <c r="L310" s="7" t="n"/>
    </row>
    <row r="311" ht="15.75" customHeight="1" s="209">
      <c r="A311" s="7" t="n"/>
      <c r="B311" s="7" t="n"/>
      <c r="C311" s="7" t="n"/>
      <c r="D311" s="7" t="n"/>
      <c r="E311" s="7" t="n"/>
      <c r="F311" s="7" t="n"/>
      <c r="G311" s="7" t="n"/>
      <c r="K311" s="7" t="n"/>
      <c r="L311" s="7" t="n"/>
    </row>
    <row r="312" ht="15.75" customHeight="1" s="209">
      <c r="A312" s="7" t="n"/>
      <c r="B312" s="7" t="n"/>
      <c r="C312" s="7" t="n"/>
      <c r="D312" s="7" t="n"/>
      <c r="E312" s="7" t="n"/>
      <c r="F312" s="7" t="n"/>
      <c r="G312" s="7" t="n"/>
      <c r="K312" s="7" t="n"/>
      <c r="L312" s="7" t="n"/>
    </row>
    <row r="313" ht="15.75" customHeight="1" s="209">
      <c r="A313" s="7" t="n"/>
      <c r="B313" s="7" t="n"/>
      <c r="C313" s="7" t="n"/>
      <c r="D313" s="7" t="n"/>
      <c r="E313" s="7" t="n"/>
      <c r="F313" s="7" t="n"/>
      <c r="G313" s="7" t="n"/>
      <c r="K313" s="7" t="n"/>
      <c r="L313" s="7" t="n"/>
    </row>
    <row r="314" ht="15.75" customHeight="1" s="209">
      <c r="A314" s="7" t="n"/>
      <c r="B314" s="7" t="n"/>
      <c r="C314" s="7" t="n"/>
      <c r="D314" s="7" t="n"/>
      <c r="E314" s="7" t="n"/>
      <c r="F314" s="7" t="n"/>
      <c r="G314" s="7" t="n"/>
      <c r="K314" s="7" t="n"/>
      <c r="L314" s="7" t="n"/>
    </row>
    <row r="315" ht="15.75" customHeight="1" s="209">
      <c r="A315" s="7" t="n"/>
      <c r="B315" s="7" t="n"/>
      <c r="C315" s="7" t="n"/>
      <c r="D315" s="7" t="n"/>
      <c r="E315" s="7" t="n"/>
      <c r="F315" s="7" t="n"/>
      <c r="G315" s="7" t="n"/>
      <c r="K315" s="7" t="n"/>
      <c r="L315" s="7" t="n"/>
    </row>
    <row r="316" ht="15.75" customHeight="1" s="209">
      <c r="A316" s="7" t="n"/>
      <c r="B316" s="7" t="n"/>
      <c r="C316" s="7" t="n"/>
      <c r="D316" s="7" t="n"/>
      <c r="E316" s="7" t="n"/>
      <c r="F316" s="7" t="n"/>
      <c r="G316" s="7" t="n"/>
      <c r="K316" s="7" t="n"/>
      <c r="L316" s="7" t="n"/>
    </row>
    <row r="317" ht="15.75" customHeight="1" s="209">
      <c r="A317" s="7" t="n"/>
      <c r="B317" s="7" t="n"/>
      <c r="C317" s="7" t="n"/>
      <c r="D317" s="7" t="n"/>
      <c r="E317" s="7" t="n"/>
      <c r="F317" s="7" t="n"/>
      <c r="G317" s="7" t="n"/>
      <c r="K317" s="7" t="n"/>
      <c r="L317" s="7" t="n"/>
    </row>
    <row r="318" ht="15.75" customHeight="1" s="209">
      <c r="A318" s="7" t="n"/>
      <c r="B318" s="7" t="n"/>
      <c r="C318" s="7" t="n"/>
      <c r="D318" s="7" t="n"/>
      <c r="E318" s="7" t="n"/>
      <c r="F318" s="7" t="n"/>
      <c r="G318" s="7" t="n"/>
      <c r="K318" s="7" t="n"/>
      <c r="L318" s="7" t="n"/>
    </row>
    <row r="319" ht="15.75" customHeight="1" s="209">
      <c r="A319" s="7" t="n"/>
      <c r="B319" s="7" t="n"/>
      <c r="C319" s="7" t="n"/>
      <c r="D319" s="7" t="n"/>
      <c r="E319" s="7" t="n"/>
      <c r="F319" s="7" t="n"/>
      <c r="G319" s="7" t="n"/>
      <c r="K319" s="7" t="n"/>
      <c r="L319" s="7" t="n"/>
    </row>
    <row r="320" ht="15.75" customHeight="1" s="209">
      <c r="A320" s="7" t="n"/>
      <c r="B320" s="7" t="n"/>
      <c r="C320" s="7" t="n"/>
      <c r="D320" s="7" t="n"/>
      <c r="E320" s="7" t="n"/>
      <c r="F320" s="7" t="n"/>
      <c r="G320" s="7" t="n"/>
      <c r="K320" s="7" t="n"/>
      <c r="L320" s="7" t="n"/>
    </row>
    <row r="321" ht="15.75" customHeight="1" s="209">
      <c r="A321" s="7" t="n"/>
      <c r="B321" s="7" t="n"/>
      <c r="C321" s="7" t="n"/>
      <c r="D321" s="7" t="n"/>
      <c r="E321" s="7" t="n"/>
      <c r="F321" s="7" t="n"/>
      <c r="G321" s="7" t="n"/>
      <c r="K321" s="7" t="n"/>
      <c r="L321" s="7" t="n"/>
    </row>
    <row r="322" ht="15.75" customHeight="1" s="209">
      <c r="A322" s="7" t="n"/>
      <c r="B322" s="7" t="n"/>
      <c r="C322" s="7" t="n"/>
      <c r="D322" s="7" t="n"/>
      <c r="E322" s="7" t="n"/>
      <c r="F322" s="7" t="n"/>
      <c r="G322" s="7" t="n"/>
      <c r="K322" s="7" t="n"/>
      <c r="L322" s="7" t="n"/>
    </row>
    <row r="323" ht="15.75" customHeight="1" s="209">
      <c r="A323" s="7" t="n"/>
      <c r="B323" s="7" t="n"/>
      <c r="C323" s="7" t="n"/>
      <c r="D323" s="7" t="n"/>
      <c r="E323" s="7" t="n"/>
      <c r="F323" s="7" t="n"/>
      <c r="G323" s="7" t="n"/>
      <c r="K323" s="7" t="n"/>
      <c r="L323" s="7" t="n"/>
    </row>
    <row r="324" ht="15.75" customHeight="1" s="209">
      <c r="A324" s="7" t="n"/>
      <c r="B324" s="7" t="n"/>
      <c r="C324" s="7" t="n"/>
      <c r="D324" s="7" t="n"/>
      <c r="E324" s="7" t="n"/>
      <c r="F324" s="7" t="n"/>
      <c r="G324" s="7" t="n"/>
      <c r="K324" s="7" t="n"/>
      <c r="L324" s="7" t="n"/>
    </row>
    <row r="325" ht="15.75" customHeight="1" s="209">
      <c r="A325" s="7" t="n"/>
      <c r="B325" s="7" t="n"/>
      <c r="C325" s="7" t="n"/>
      <c r="D325" s="7" t="n"/>
      <c r="E325" s="7" t="n"/>
      <c r="F325" s="7" t="n"/>
      <c r="G325" s="7" t="n"/>
      <c r="K325" s="7" t="n"/>
      <c r="L325" s="7" t="n"/>
    </row>
    <row r="326" ht="15.75" customHeight="1" s="209">
      <c r="A326" s="7" t="n"/>
      <c r="B326" s="7" t="n"/>
      <c r="C326" s="7" t="n"/>
      <c r="D326" s="7" t="n"/>
      <c r="E326" s="7" t="n"/>
      <c r="F326" s="7" t="n"/>
      <c r="G326" s="7" t="n"/>
      <c r="K326" s="7" t="n"/>
      <c r="L326" s="7" t="n"/>
    </row>
    <row r="327" ht="15.75" customHeight="1" s="209">
      <c r="A327" s="7" t="n"/>
      <c r="B327" s="7" t="n"/>
      <c r="C327" s="7" t="n"/>
      <c r="D327" s="7" t="n"/>
      <c r="E327" s="7" t="n"/>
      <c r="F327" s="7" t="n"/>
      <c r="G327" s="7" t="n"/>
      <c r="K327" s="7" t="n"/>
      <c r="L327" s="7" t="n"/>
    </row>
    <row r="328" ht="15.75" customHeight="1" s="209">
      <c r="A328" s="7" t="n"/>
      <c r="B328" s="7" t="n"/>
      <c r="C328" s="7" t="n"/>
      <c r="D328" s="7" t="n"/>
      <c r="E328" s="7" t="n"/>
      <c r="F328" s="7" t="n"/>
      <c r="G328" s="7" t="n"/>
      <c r="K328" s="7" t="n"/>
      <c r="L328" s="7" t="n"/>
    </row>
    <row r="329" ht="15.75" customHeight="1" s="209">
      <c r="A329" s="7" t="n"/>
      <c r="B329" s="7" t="n"/>
      <c r="C329" s="7" t="n"/>
      <c r="D329" s="7" t="n"/>
      <c r="E329" s="7" t="n"/>
      <c r="F329" s="7" t="n"/>
      <c r="G329" s="7" t="n"/>
      <c r="K329" s="7" t="n"/>
      <c r="L329" s="7" t="n"/>
    </row>
    <row r="330" ht="15.75" customHeight="1" s="209">
      <c r="A330" s="7" t="n"/>
      <c r="B330" s="7" t="n"/>
      <c r="C330" s="7" t="n"/>
      <c r="D330" s="7" t="n"/>
      <c r="E330" s="7" t="n"/>
      <c r="F330" s="7" t="n"/>
      <c r="G330" s="7" t="n"/>
      <c r="K330" s="7" t="n"/>
      <c r="L330" s="7" t="n"/>
    </row>
    <row r="331" ht="15.75" customHeight="1" s="209">
      <c r="A331" s="7" t="n"/>
      <c r="B331" s="7" t="n"/>
      <c r="C331" s="7" t="n"/>
      <c r="D331" s="7" t="n"/>
      <c r="E331" s="7" t="n"/>
      <c r="F331" s="7" t="n"/>
      <c r="G331" s="7" t="n"/>
      <c r="K331" s="7" t="n"/>
      <c r="L331" s="7" t="n"/>
    </row>
    <row r="332" ht="15.75" customHeight="1" s="209">
      <c r="A332" s="7" t="n"/>
      <c r="B332" s="7" t="n"/>
      <c r="C332" s="7" t="n"/>
      <c r="D332" s="7" t="n"/>
      <c r="E332" s="7" t="n"/>
      <c r="F332" s="7" t="n"/>
      <c r="G332" s="7" t="n"/>
      <c r="K332" s="7" t="n"/>
      <c r="L332" s="7" t="n"/>
    </row>
    <row r="333" ht="15.75" customHeight="1" s="209">
      <c r="A333" s="7" t="n"/>
      <c r="B333" s="7" t="n"/>
      <c r="C333" s="7" t="n"/>
      <c r="D333" s="7" t="n"/>
      <c r="E333" s="7" t="n"/>
      <c r="F333" s="7" t="n"/>
      <c r="G333" s="7" t="n"/>
      <c r="K333" s="7" t="n"/>
      <c r="L333" s="7" t="n"/>
    </row>
    <row r="334" ht="15.75" customHeight="1" s="209">
      <c r="A334" s="7" t="n"/>
      <c r="B334" s="7" t="n"/>
      <c r="C334" s="7" t="n"/>
      <c r="D334" s="7" t="n"/>
      <c r="E334" s="7" t="n"/>
      <c r="F334" s="7" t="n"/>
      <c r="G334" s="7" t="n"/>
      <c r="K334" s="7" t="n"/>
      <c r="L334" s="7" t="n"/>
    </row>
    <row r="335" ht="15.75" customHeight="1" s="209">
      <c r="A335" s="7" t="n"/>
      <c r="B335" s="7" t="n"/>
      <c r="C335" s="7" t="n"/>
      <c r="D335" s="7" t="n"/>
      <c r="E335" s="7" t="n"/>
      <c r="F335" s="7" t="n"/>
      <c r="G335" s="7" t="n"/>
      <c r="K335" s="7" t="n"/>
      <c r="L335" s="7" t="n"/>
    </row>
    <row r="336" ht="15.75" customHeight="1" s="209">
      <c r="A336" s="7" t="n"/>
      <c r="B336" s="7" t="n"/>
      <c r="C336" s="7" t="n"/>
      <c r="D336" s="7" t="n"/>
      <c r="E336" s="7" t="n"/>
      <c r="F336" s="7" t="n"/>
      <c r="G336" s="7" t="n"/>
      <c r="K336" s="7" t="n"/>
      <c r="L336" s="7" t="n"/>
    </row>
    <row r="337" ht="15.75" customHeight="1" s="209">
      <c r="A337" s="7" t="n"/>
      <c r="B337" s="7" t="n"/>
      <c r="C337" s="7" t="n"/>
      <c r="D337" s="7" t="n"/>
      <c r="E337" s="7" t="n"/>
      <c r="F337" s="7" t="n"/>
      <c r="G337" s="7" t="n"/>
      <c r="K337" s="7" t="n"/>
      <c r="L337" s="7" t="n"/>
    </row>
    <row r="338" ht="15.75" customHeight="1" s="209">
      <c r="A338" s="7" t="n"/>
      <c r="B338" s="7" t="n"/>
      <c r="C338" s="7" t="n"/>
      <c r="D338" s="7" t="n"/>
      <c r="E338" s="7" t="n"/>
      <c r="F338" s="7" t="n"/>
      <c r="G338" s="7" t="n"/>
      <c r="K338" s="7" t="n"/>
      <c r="L338" s="7" t="n"/>
    </row>
    <row r="339" ht="15.75" customHeight="1" s="209">
      <c r="A339" s="7" t="n"/>
      <c r="B339" s="7" t="n"/>
      <c r="C339" s="7" t="n"/>
      <c r="D339" s="7" t="n"/>
      <c r="E339" s="7" t="n"/>
      <c r="F339" s="7" t="n"/>
      <c r="G339" s="7" t="n"/>
      <c r="K339" s="7" t="n"/>
      <c r="L339" s="7" t="n"/>
    </row>
    <row r="340" ht="15.75" customHeight="1" s="209">
      <c r="A340" s="7" t="n"/>
      <c r="B340" s="7" t="n"/>
      <c r="C340" s="7" t="n"/>
      <c r="D340" s="7" t="n"/>
      <c r="E340" s="7" t="n"/>
      <c r="F340" s="7" t="n"/>
      <c r="G340" s="7" t="n"/>
      <c r="K340" s="7" t="n"/>
      <c r="L340" s="7" t="n"/>
    </row>
    <row r="341" ht="15.75" customHeight="1" s="209">
      <c r="A341" s="7" t="n"/>
      <c r="B341" s="7" t="n"/>
      <c r="C341" s="7" t="n"/>
      <c r="D341" s="7" t="n"/>
      <c r="E341" s="7" t="n"/>
      <c r="F341" s="7" t="n"/>
      <c r="G341" s="7" t="n"/>
      <c r="K341" s="7" t="n"/>
      <c r="L341" s="7" t="n"/>
    </row>
    <row r="342" ht="15.75" customHeight="1" s="209">
      <c r="A342" s="7" t="n"/>
      <c r="B342" s="7" t="n"/>
      <c r="C342" s="7" t="n"/>
      <c r="D342" s="7" t="n"/>
      <c r="E342" s="7" t="n"/>
      <c r="F342" s="7" t="n"/>
      <c r="G342" s="7" t="n"/>
      <c r="K342" s="7" t="n"/>
      <c r="L342" s="7" t="n"/>
    </row>
    <row r="343" ht="15.75" customHeight="1" s="209">
      <c r="A343" s="7" t="n"/>
      <c r="B343" s="7" t="n"/>
      <c r="C343" s="7" t="n"/>
      <c r="D343" s="7" t="n"/>
      <c r="E343" s="7" t="n"/>
      <c r="F343" s="7" t="n"/>
      <c r="G343" s="7" t="n"/>
      <c r="K343" s="7" t="n"/>
      <c r="L343" s="7" t="n"/>
    </row>
    <row r="344" ht="15.75" customHeight="1" s="209">
      <c r="A344" s="7" t="n"/>
      <c r="B344" s="7" t="n"/>
      <c r="C344" s="7" t="n"/>
      <c r="D344" s="7" t="n"/>
      <c r="E344" s="7" t="n"/>
      <c r="F344" s="7" t="n"/>
      <c r="G344" s="7" t="n"/>
      <c r="K344" s="7" t="n"/>
      <c r="L344" s="7" t="n"/>
    </row>
    <row r="345" ht="15.75" customHeight="1" s="209">
      <c r="A345" s="7" t="n"/>
      <c r="B345" s="7" t="n"/>
      <c r="C345" s="7" t="n"/>
      <c r="D345" s="7" t="n"/>
      <c r="E345" s="7" t="n"/>
      <c r="F345" s="7" t="n"/>
      <c r="G345" s="7" t="n"/>
      <c r="K345" s="7" t="n"/>
      <c r="L345" s="7" t="n"/>
    </row>
    <row r="346" ht="15.75" customHeight="1" s="209">
      <c r="A346" s="7" t="n"/>
      <c r="B346" s="7" t="n"/>
      <c r="C346" s="7" t="n"/>
      <c r="D346" s="7" t="n"/>
      <c r="E346" s="7" t="n"/>
      <c r="F346" s="7" t="n"/>
      <c r="G346" s="7" t="n"/>
      <c r="K346" s="7" t="n"/>
      <c r="L346" s="7" t="n"/>
    </row>
    <row r="347" ht="15.75" customHeight="1" s="209">
      <c r="A347" s="7" t="n"/>
      <c r="B347" s="7" t="n"/>
      <c r="C347" s="7" t="n"/>
      <c r="D347" s="7" t="n"/>
      <c r="E347" s="7" t="n"/>
      <c r="F347" s="7" t="n"/>
      <c r="G347" s="7" t="n"/>
      <c r="K347" s="7" t="n"/>
      <c r="L347" s="7" t="n"/>
    </row>
    <row r="348" ht="15.75" customHeight="1" s="209">
      <c r="A348" s="7" t="n"/>
      <c r="B348" s="7" t="n"/>
      <c r="C348" s="7" t="n"/>
      <c r="D348" s="7" t="n"/>
      <c r="E348" s="7" t="n"/>
      <c r="F348" s="7" t="n"/>
      <c r="G348" s="7" t="n"/>
      <c r="K348" s="7" t="n"/>
      <c r="L348" s="7" t="n"/>
    </row>
    <row r="349" ht="15.75" customHeight="1" s="209">
      <c r="A349" s="7" t="n"/>
      <c r="B349" s="7" t="n"/>
      <c r="C349" s="7" t="n"/>
      <c r="D349" s="7" t="n"/>
      <c r="E349" s="7" t="n"/>
      <c r="F349" s="7" t="n"/>
      <c r="G349" s="7" t="n"/>
      <c r="K349" s="7" t="n"/>
      <c r="L349" s="7" t="n"/>
    </row>
    <row r="350" ht="15.75" customHeight="1" s="209">
      <c r="A350" s="7" t="n"/>
      <c r="B350" s="7" t="n"/>
      <c r="C350" s="7" t="n"/>
      <c r="D350" s="7" t="n"/>
      <c r="E350" s="7" t="n"/>
      <c r="F350" s="7" t="n"/>
      <c r="G350" s="7" t="n"/>
      <c r="K350" s="7" t="n"/>
      <c r="L350" s="7" t="n"/>
    </row>
    <row r="351" ht="15.75" customHeight="1" s="209">
      <c r="A351" s="7" t="n"/>
      <c r="B351" s="7" t="n"/>
      <c r="C351" s="7" t="n"/>
      <c r="D351" s="7" t="n"/>
      <c r="E351" s="7" t="n"/>
      <c r="F351" s="7" t="n"/>
      <c r="G351" s="7" t="n"/>
      <c r="K351" s="7" t="n"/>
      <c r="L351" s="7" t="n"/>
    </row>
    <row r="352" ht="15.75" customHeight="1" s="209">
      <c r="A352" s="7" t="n"/>
      <c r="B352" s="7" t="n"/>
      <c r="C352" s="7" t="n"/>
      <c r="D352" s="7" t="n"/>
      <c r="E352" s="7" t="n"/>
      <c r="F352" s="7" t="n"/>
      <c r="G352" s="7" t="n"/>
      <c r="K352" s="7" t="n"/>
      <c r="L352" s="7" t="n"/>
    </row>
    <row r="353" ht="15.75" customHeight="1" s="209">
      <c r="A353" s="7" t="n"/>
      <c r="B353" s="7" t="n"/>
      <c r="C353" s="7" t="n"/>
      <c r="D353" s="7" t="n"/>
      <c r="E353" s="7" t="n"/>
      <c r="F353" s="7" t="n"/>
      <c r="G353" s="7" t="n"/>
      <c r="K353" s="7" t="n"/>
      <c r="L353" s="7" t="n"/>
    </row>
    <row r="354" ht="15.75" customHeight="1" s="209">
      <c r="A354" s="7" t="n"/>
      <c r="B354" s="7" t="n"/>
      <c r="C354" s="7" t="n"/>
      <c r="D354" s="7" t="n"/>
      <c r="E354" s="7" t="n"/>
      <c r="F354" s="7" t="n"/>
      <c r="G354" s="7" t="n"/>
      <c r="K354" s="7" t="n"/>
      <c r="L354" s="7" t="n"/>
    </row>
    <row r="355" ht="15.75" customHeight="1" s="209">
      <c r="A355" s="7" t="n"/>
      <c r="B355" s="7" t="n"/>
      <c r="C355" s="7" t="n"/>
      <c r="D355" s="7" t="n"/>
      <c r="E355" s="7" t="n"/>
      <c r="F355" s="7" t="n"/>
      <c r="G355" s="7" t="n"/>
      <c r="K355" s="7" t="n"/>
      <c r="L355" s="7" t="n"/>
    </row>
    <row r="356" ht="15.75" customHeight="1" s="209">
      <c r="A356" s="7" t="n"/>
      <c r="B356" s="7" t="n"/>
      <c r="C356" s="7" t="n"/>
      <c r="D356" s="7" t="n"/>
      <c r="E356" s="7" t="n"/>
      <c r="F356" s="7" t="n"/>
      <c r="G356" s="7" t="n"/>
      <c r="K356" s="7" t="n"/>
      <c r="L356" s="7" t="n"/>
    </row>
    <row r="357" ht="15.75" customHeight="1" s="209">
      <c r="A357" s="7" t="n"/>
      <c r="B357" s="7" t="n"/>
      <c r="C357" s="7" t="n"/>
      <c r="D357" s="7" t="n"/>
      <c r="E357" s="7" t="n"/>
      <c r="F357" s="7" t="n"/>
      <c r="G357" s="7" t="n"/>
      <c r="K357" s="7" t="n"/>
      <c r="L357" s="7" t="n"/>
    </row>
    <row r="358" ht="15.75" customHeight="1" s="209">
      <c r="A358" s="7" t="n"/>
      <c r="B358" s="7" t="n"/>
      <c r="C358" s="7" t="n"/>
      <c r="D358" s="7" t="n"/>
      <c r="E358" s="7" t="n"/>
      <c r="F358" s="7" t="n"/>
      <c r="G358" s="7" t="n"/>
      <c r="K358" s="7" t="n"/>
      <c r="L358" s="7" t="n"/>
    </row>
    <row r="359" ht="15.75" customHeight="1" s="209">
      <c r="A359" s="7" t="n"/>
      <c r="B359" s="7" t="n"/>
      <c r="C359" s="7" t="n"/>
      <c r="D359" s="7" t="n"/>
      <c r="E359" s="7" t="n"/>
      <c r="F359" s="7" t="n"/>
      <c r="G359" s="7" t="n"/>
      <c r="K359" s="7" t="n"/>
      <c r="L359" s="7" t="n"/>
    </row>
    <row r="360" ht="15.75" customHeight="1" s="209">
      <c r="A360" s="7" t="n"/>
      <c r="B360" s="7" t="n"/>
      <c r="C360" s="7" t="n"/>
      <c r="D360" s="7" t="n"/>
      <c r="E360" s="7" t="n"/>
      <c r="F360" s="7" t="n"/>
      <c r="G360" s="7" t="n"/>
      <c r="K360" s="7" t="n"/>
      <c r="L360" s="7" t="n"/>
    </row>
    <row r="361" ht="15.75" customHeight="1" s="209">
      <c r="A361" s="7" t="n"/>
      <c r="B361" s="7" t="n"/>
      <c r="C361" s="7" t="n"/>
      <c r="D361" s="7" t="n"/>
      <c r="E361" s="7" t="n"/>
      <c r="F361" s="7" t="n"/>
      <c r="G361" s="7" t="n"/>
      <c r="K361" s="7" t="n"/>
      <c r="L361" s="7" t="n"/>
    </row>
    <row r="362" ht="15.75" customHeight="1" s="209">
      <c r="A362" s="7" t="n"/>
      <c r="B362" s="7" t="n"/>
      <c r="C362" s="7" t="n"/>
      <c r="D362" s="7" t="n"/>
      <c r="E362" s="7" t="n"/>
      <c r="F362" s="7" t="n"/>
      <c r="G362" s="7" t="n"/>
      <c r="K362" s="7" t="n"/>
      <c r="L362" s="7" t="n"/>
    </row>
    <row r="363" ht="15.75" customHeight="1" s="209">
      <c r="A363" s="7" t="n"/>
      <c r="B363" s="7" t="n"/>
      <c r="C363" s="7" t="n"/>
      <c r="D363" s="7" t="n"/>
      <c r="E363" s="7" t="n"/>
      <c r="F363" s="7" t="n"/>
      <c r="G363" s="7" t="n"/>
      <c r="K363" s="7" t="n"/>
      <c r="L363" s="7" t="n"/>
    </row>
    <row r="364" ht="15.75" customHeight="1" s="209">
      <c r="A364" s="7" t="n"/>
      <c r="B364" s="7" t="n"/>
      <c r="C364" s="7" t="n"/>
      <c r="D364" s="7" t="n"/>
      <c r="E364" s="7" t="n"/>
      <c r="F364" s="7" t="n"/>
      <c r="G364" s="7" t="n"/>
      <c r="K364" s="7" t="n"/>
      <c r="L364" s="7" t="n"/>
    </row>
    <row r="365" ht="15.75" customHeight="1" s="209">
      <c r="A365" s="7" t="n"/>
      <c r="B365" s="7" t="n"/>
      <c r="C365" s="7" t="n"/>
      <c r="D365" s="7" t="n"/>
      <c r="E365" s="7" t="n"/>
      <c r="F365" s="7" t="n"/>
      <c r="G365" s="7" t="n"/>
      <c r="K365" s="7" t="n"/>
      <c r="L365" s="7" t="n"/>
    </row>
    <row r="366" ht="15.75" customHeight="1" s="209">
      <c r="A366" s="7" t="n"/>
      <c r="B366" s="7" t="n"/>
      <c r="C366" s="7" t="n"/>
      <c r="D366" s="7" t="n"/>
      <c r="E366" s="7" t="n"/>
      <c r="F366" s="7" t="n"/>
      <c r="G366" s="7" t="n"/>
      <c r="K366" s="7" t="n"/>
      <c r="L366" s="7" t="n"/>
    </row>
    <row r="367" ht="15.75" customHeight="1" s="209">
      <c r="A367" s="7" t="n"/>
      <c r="B367" s="7" t="n"/>
      <c r="C367" s="7" t="n"/>
      <c r="D367" s="7" t="n"/>
      <c r="E367" s="7" t="n"/>
      <c r="F367" s="7" t="n"/>
      <c r="G367" s="7" t="n"/>
      <c r="K367" s="7" t="n"/>
      <c r="L367" s="7" t="n"/>
    </row>
    <row r="368" ht="15.75" customHeight="1" s="209">
      <c r="A368" s="7" t="n"/>
      <c r="B368" s="7" t="n"/>
      <c r="C368" s="7" t="n"/>
      <c r="D368" s="7" t="n"/>
      <c r="E368" s="7" t="n"/>
      <c r="F368" s="7" t="n"/>
      <c r="G368" s="7" t="n"/>
      <c r="K368" s="7" t="n"/>
      <c r="L368" s="7" t="n"/>
    </row>
    <row r="369" ht="15.75" customHeight="1" s="209">
      <c r="A369" s="7" t="n"/>
      <c r="B369" s="7" t="n"/>
      <c r="C369" s="7" t="n"/>
      <c r="D369" s="7" t="n"/>
      <c r="E369" s="7" t="n"/>
      <c r="F369" s="7" t="n"/>
      <c r="G369" s="7" t="n"/>
      <c r="K369" s="7" t="n"/>
      <c r="L369" s="7" t="n"/>
    </row>
    <row r="370" ht="15.75" customHeight="1" s="209">
      <c r="A370" s="7" t="n"/>
      <c r="B370" s="7" t="n"/>
      <c r="C370" s="7" t="n"/>
      <c r="D370" s="7" t="n"/>
      <c r="E370" s="7" t="n"/>
      <c r="F370" s="7" t="n"/>
      <c r="G370" s="7" t="n"/>
      <c r="K370" s="7" t="n"/>
      <c r="L370" s="7" t="n"/>
    </row>
    <row r="371" ht="15.75" customHeight="1" s="209">
      <c r="A371" s="7" t="n"/>
      <c r="B371" s="7" t="n"/>
      <c r="C371" s="7" t="n"/>
      <c r="D371" s="7" t="n"/>
      <c r="E371" s="7" t="n"/>
      <c r="F371" s="7" t="n"/>
      <c r="G371" s="7" t="n"/>
      <c r="K371" s="7" t="n"/>
      <c r="L371" s="7" t="n"/>
    </row>
    <row r="372" ht="15.75" customHeight="1" s="209">
      <c r="A372" s="7" t="n"/>
      <c r="B372" s="7" t="n"/>
      <c r="C372" s="7" t="n"/>
      <c r="D372" s="7" t="n"/>
      <c r="E372" s="7" t="n"/>
      <c r="F372" s="7" t="n"/>
      <c r="G372" s="7" t="n"/>
      <c r="K372" s="7" t="n"/>
      <c r="L372" s="7" t="n"/>
    </row>
    <row r="373" ht="15.75" customHeight="1" s="209">
      <c r="A373" s="7" t="n"/>
      <c r="B373" s="7" t="n"/>
      <c r="C373" s="7" t="n"/>
      <c r="D373" s="7" t="n"/>
      <c r="E373" s="7" t="n"/>
      <c r="F373" s="7" t="n"/>
      <c r="G373" s="7" t="n"/>
      <c r="K373" s="7" t="n"/>
      <c r="L373" s="7" t="n"/>
    </row>
    <row r="374" ht="15.75" customHeight="1" s="209">
      <c r="A374" s="7" t="n"/>
      <c r="B374" s="7" t="n"/>
      <c r="C374" s="7" t="n"/>
      <c r="D374" s="7" t="n"/>
      <c r="E374" s="7" t="n"/>
      <c r="F374" s="7" t="n"/>
      <c r="G374" s="7" t="n"/>
      <c r="K374" s="7" t="n"/>
      <c r="L374" s="7" t="n"/>
    </row>
    <row r="375" ht="15.75" customHeight="1" s="209">
      <c r="A375" s="7" t="n"/>
      <c r="B375" s="7" t="n"/>
      <c r="C375" s="7" t="n"/>
      <c r="D375" s="7" t="n"/>
      <c r="E375" s="7" t="n"/>
      <c r="F375" s="7" t="n"/>
      <c r="G375" s="7" t="n"/>
      <c r="K375" s="7" t="n"/>
      <c r="L375" s="7" t="n"/>
    </row>
    <row r="376" ht="15.75" customHeight="1" s="209">
      <c r="A376" s="7" t="n"/>
      <c r="B376" s="7" t="n"/>
      <c r="C376" s="7" t="n"/>
      <c r="D376" s="7" t="n"/>
      <c r="E376" s="7" t="n"/>
      <c r="F376" s="7" t="n"/>
      <c r="G376" s="7" t="n"/>
      <c r="K376" s="7" t="n"/>
      <c r="L376" s="7" t="n"/>
    </row>
    <row r="377" ht="15.75" customHeight="1" s="209">
      <c r="A377" s="7" t="n"/>
      <c r="B377" s="7" t="n"/>
      <c r="C377" s="7" t="n"/>
      <c r="D377" s="7" t="n"/>
      <c r="E377" s="7" t="n"/>
      <c r="F377" s="7" t="n"/>
      <c r="G377" s="7" t="n"/>
      <c r="K377" s="7" t="n"/>
      <c r="L377" s="7" t="n"/>
    </row>
    <row r="378" ht="15.75" customHeight="1" s="209">
      <c r="A378" s="7" t="n"/>
      <c r="B378" s="7" t="n"/>
      <c r="C378" s="7" t="n"/>
      <c r="D378" s="7" t="n"/>
      <c r="E378" s="7" t="n"/>
      <c r="F378" s="7" t="n"/>
      <c r="G378" s="7" t="n"/>
      <c r="K378" s="7" t="n"/>
      <c r="L378" s="7" t="n"/>
    </row>
    <row r="379" ht="15.75" customHeight="1" s="209">
      <c r="A379" s="7" t="n"/>
      <c r="B379" s="7" t="n"/>
      <c r="C379" s="7" t="n"/>
      <c r="D379" s="7" t="n"/>
      <c r="E379" s="7" t="n"/>
      <c r="F379" s="7" t="n"/>
      <c r="G379" s="7" t="n"/>
      <c r="K379" s="7" t="n"/>
      <c r="L379" s="7" t="n"/>
    </row>
    <row r="380" ht="15.75" customHeight="1" s="209">
      <c r="A380" s="7" t="n"/>
      <c r="B380" s="7" t="n"/>
      <c r="C380" s="7" t="n"/>
      <c r="D380" s="7" t="n"/>
      <c r="E380" s="7" t="n"/>
      <c r="F380" s="7" t="n"/>
      <c r="G380" s="7" t="n"/>
      <c r="K380" s="7" t="n"/>
      <c r="L380" s="7" t="n"/>
    </row>
    <row r="381" ht="15.75" customHeight="1" s="209">
      <c r="A381" s="7" t="n"/>
      <c r="B381" s="7" t="n"/>
      <c r="C381" s="7" t="n"/>
      <c r="D381" s="7" t="n"/>
      <c r="E381" s="7" t="n"/>
      <c r="F381" s="7" t="n"/>
      <c r="G381" s="7" t="n"/>
      <c r="K381" s="7" t="n"/>
      <c r="L381" s="7" t="n"/>
    </row>
    <row r="382" ht="15.75" customHeight="1" s="209">
      <c r="A382" s="7" t="n"/>
      <c r="B382" s="7" t="n"/>
      <c r="C382" s="7" t="n"/>
      <c r="D382" s="7" t="n"/>
      <c r="E382" s="7" t="n"/>
      <c r="F382" s="7" t="n"/>
      <c r="G382" s="7" t="n"/>
      <c r="K382" s="7" t="n"/>
      <c r="L382" s="7" t="n"/>
    </row>
    <row r="383" ht="15.75" customHeight="1" s="209">
      <c r="A383" s="7" t="n"/>
      <c r="B383" s="7" t="n"/>
      <c r="C383" s="7" t="n"/>
      <c r="D383" s="7" t="n"/>
      <c r="E383" s="7" t="n"/>
      <c r="F383" s="7" t="n"/>
      <c r="G383" s="7" t="n"/>
      <c r="K383" s="7" t="n"/>
      <c r="L383" s="7" t="n"/>
    </row>
    <row r="384" ht="15.75" customHeight="1" s="209">
      <c r="A384" s="7" t="n"/>
      <c r="B384" s="7" t="n"/>
      <c r="C384" s="7" t="n"/>
      <c r="D384" s="7" t="n"/>
      <c r="E384" s="7" t="n"/>
      <c r="F384" s="7" t="n"/>
      <c r="G384" s="7" t="n"/>
      <c r="K384" s="7" t="n"/>
      <c r="L384" s="7" t="n"/>
    </row>
    <row r="385" ht="15.75" customHeight="1" s="209">
      <c r="A385" s="7" t="n"/>
      <c r="B385" s="7" t="n"/>
      <c r="C385" s="7" t="n"/>
      <c r="D385" s="7" t="n"/>
      <c r="E385" s="7" t="n"/>
      <c r="F385" s="7" t="n"/>
      <c r="G385" s="7" t="n"/>
      <c r="K385" s="7" t="n"/>
      <c r="L385" s="7" t="n"/>
    </row>
    <row r="386" ht="15.75" customHeight="1" s="209">
      <c r="A386" s="7" t="n"/>
      <c r="B386" s="7" t="n"/>
      <c r="C386" s="7" t="n"/>
      <c r="D386" s="7" t="n"/>
      <c r="E386" s="7" t="n"/>
      <c r="F386" s="7" t="n"/>
      <c r="G386" s="7" t="n"/>
      <c r="K386" s="7" t="n"/>
      <c r="L386" s="7" t="n"/>
    </row>
    <row r="387" ht="15.75" customHeight="1" s="209">
      <c r="A387" s="7" t="n"/>
      <c r="B387" s="7" t="n"/>
      <c r="C387" s="7" t="n"/>
      <c r="D387" s="7" t="n"/>
      <c r="E387" s="7" t="n"/>
      <c r="F387" s="7" t="n"/>
      <c r="G387" s="7" t="n"/>
      <c r="K387" s="7" t="n"/>
      <c r="L387" s="7" t="n"/>
    </row>
    <row r="388" ht="15.75" customHeight="1" s="209">
      <c r="A388" s="7" t="n"/>
      <c r="B388" s="7" t="n"/>
      <c r="C388" s="7" t="n"/>
      <c r="D388" s="7" t="n"/>
      <c r="E388" s="7" t="n"/>
      <c r="F388" s="7" t="n"/>
      <c r="G388" s="7" t="n"/>
      <c r="K388" s="7" t="n"/>
      <c r="L388" s="7" t="n"/>
    </row>
    <row r="389" ht="15.75" customHeight="1" s="209">
      <c r="A389" s="7" t="n"/>
      <c r="B389" s="7" t="n"/>
      <c r="C389" s="7" t="n"/>
      <c r="D389" s="7" t="n"/>
      <c r="E389" s="7" t="n"/>
      <c r="F389" s="7" t="n"/>
      <c r="G389" s="7" t="n"/>
      <c r="K389" s="7" t="n"/>
      <c r="L389" s="7" t="n"/>
    </row>
    <row r="390" ht="15.75" customHeight="1" s="209">
      <c r="A390" s="7" t="n"/>
      <c r="B390" s="7" t="n"/>
      <c r="C390" s="7" t="n"/>
      <c r="D390" s="7" t="n"/>
      <c r="E390" s="7" t="n"/>
      <c r="F390" s="7" t="n"/>
      <c r="G390" s="7" t="n"/>
      <c r="K390" s="7" t="n"/>
      <c r="L390" s="7" t="n"/>
    </row>
    <row r="391" ht="15.75" customHeight="1" s="209">
      <c r="A391" s="7" t="n"/>
      <c r="B391" s="7" t="n"/>
      <c r="C391" s="7" t="n"/>
      <c r="D391" s="7" t="n"/>
      <c r="E391" s="7" t="n"/>
      <c r="F391" s="7" t="n"/>
      <c r="G391" s="7" t="n"/>
      <c r="K391" s="7" t="n"/>
      <c r="L391" s="7" t="n"/>
    </row>
    <row r="392" ht="15.75" customHeight="1" s="209">
      <c r="A392" s="7" t="n"/>
      <c r="B392" s="7" t="n"/>
      <c r="C392" s="7" t="n"/>
      <c r="D392" s="7" t="n"/>
      <c r="E392" s="7" t="n"/>
      <c r="F392" s="7" t="n"/>
      <c r="G392" s="7" t="n"/>
      <c r="K392" s="7" t="n"/>
      <c r="L392" s="7" t="n"/>
    </row>
    <row r="393" ht="15.75" customHeight="1" s="209">
      <c r="A393" s="7" t="n"/>
      <c r="B393" s="7" t="n"/>
      <c r="C393" s="7" t="n"/>
      <c r="D393" s="7" t="n"/>
      <c r="E393" s="7" t="n"/>
      <c r="F393" s="7" t="n"/>
      <c r="G393" s="7" t="n"/>
      <c r="K393" s="7" t="n"/>
      <c r="L393" s="7" t="n"/>
    </row>
    <row r="394" ht="15.75" customHeight="1" s="209">
      <c r="A394" s="7" t="n"/>
      <c r="B394" s="7" t="n"/>
      <c r="C394" s="7" t="n"/>
      <c r="D394" s="7" t="n"/>
      <c r="E394" s="7" t="n"/>
      <c r="F394" s="7" t="n"/>
      <c r="G394" s="7" t="n"/>
      <c r="K394" s="7" t="n"/>
      <c r="L394" s="7" t="n"/>
    </row>
    <row r="395" ht="15.75" customHeight="1" s="209">
      <c r="A395" s="7" t="n"/>
      <c r="B395" s="7" t="n"/>
      <c r="C395" s="7" t="n"/>
      <c r="D395" s="7" t="n"/>
      <c r="E395" s="7" t="n"/>
      <c r="F395" s="7" t="n"/>
      <c r="G395" s="7" t="n"/>
      <c r="K395" s="7" t="n"/>
      <c r="L395" s="7" t="n"/>
    </row>
    <row r="396" ht="15.75" customHeight="1" s="209">
      <c r="A396" s="7" t="n"/>
      <c r="B396" s="7" t="n"/>
      <c r="C396" s="7" t="n"/>
      <c r="D396" s="7" t="n"/>
      <c r="E396" s="7" t="n"/>
      <c r="F396" s="7" t="n"/>
      <c r="G396" s="7" t="n"/>
      <c r="K396" s="7" t="n"/>
      <c r="L396" s="7" t="n"/>
    </row>
    <row r="397" ht="15.75" customHeight="1" s="209">
      <c r="A397" s="7" t="n"/>
      <c r="B397" s="7" t="n"/>
      <c r="C397" s="7" t="n"/>
      <c r="D397" s="7" t="n"/>
      <c r="E397" s="7" t="n"/>
      <c r="F397" s="7" t="n"/>
      <c r="G397" s="7" t="n"/>
      <c r="K397" s="7" t="n"/>
      <c r="L397" s="7" t="n"/>
    </row>
    <row r="398" ht="15.75" customHeight="1" s="209">
      <c r="A398" s="7" t="n"/>
      <c r="B398" s="7" t="n"/>
      <c r="C398" s="7" t="n"/>
      <c r="D398" s="7" t="n"/>
      <c r="E398" s="7" t="n"/>
      <c r="F398" s="7" t="n"/>
      <c r="G398" s="7" t="n"/>
      <c r="K398" s="7" t="n"/>
      <c r="L398" s="7" t="n"/>
    </row>
    <row r="399" ht="15.75" customHeight="1" s="209">
      <c r="A399" s="7" t="n"/>
      <c r="B399" s="7" t="n"/>
      <c r="C399" s="7" t="n"/>
      <c r="D399" s="7" t="n"/>
      <c r="E399" s="7" t="n"/>
      <c r="F399" s="7" t="n"/>
      <c r="G399" s="7" t="n"/>
      <c r="K399" s="7" t="n"/>
      <c r="L399" s="7" t="n"/>
    </row>
    <row r="400" ht="15.75" customHeight="1" s="209">
      <c r="A400" s="7" t="n"/>
      <c r="B400" s="7" t="n"/>
      <c r="C400" s="7" t="n"/>
      <c r="D400" s="7" t="n"/>
      <c r="E400" s="7" t="n"/>
      <c r="F400" s="7" t="n"/>
      <c r="G400" s="7" t="n"/>
      <c r="K400" s="7" t="n"/>
      <c r="L400" s="7" t="n"/>
    </row>
    <row r="401" ht="15.75" customHeight="1" s="209">
      <c r="A401" s="7" t="n"/>
      <c r="B401" s="7" t="n"/>
      <c r="C401" s="7" t="n"/>
      <c r="D401" s="7" t="n"/>
      <c r="E401" s="7" t="n"/>
      <c r="F401" s="7" t="n"/>
      <c r="G401" s="7" t="n"/>
      <c r="K401" s="7" t="n"/>
      <c r="L401" s="7" t="n"/>
    </row>
    <row r="402" ht="15.75" customHeight="1" s="209">
      <c r="A402" s="7" t="n"/>
      <c r="B402" s="7" t="n"/>
      <c r="C402" s="7" t="n"/>
      <c r="D402" s="7" t="n"/>
      <c r="E402" s="7" t="n"/>
      <c r="F402" s="7" t="n"/>
      <c r="G402" s="7" t="n"/>
      <c r="K402" s="7" t="n"/>
      <c r="L402" s="7" t="n"/>
    </row>
    <row r="403" ht="15.75" customHeight="1" s="209">
      <c r="A403" s="7" t="n"/>
      <c r="B403" s="7" t="n"/>
      <c r="C403" s="7" t="n"/>
      <c r="D403" s="7" t="n"/>
      <c r="E403" s="7" t="n"/>
      <c r="F403" s="7" t="n"/>
      <c r="G403" s="7" t="n"/>
      <c r="K403" s="7" t="n"/>
      <c r="L403" s="7" t="n"/>
    </row>
    <row r="404" ht="15.75" customHeight="1" s="209">
      <c r="A404" s="7" t="n"/>
      <c r="B404" s="7" t="n"/>
      <c r="C404" s="7" t="n"/>
      <c r="D404" s="7" t="n"/>
      <c r="E404" s="7" t="n"/>
      <c r="F404" s="7" t="n"/>
      <c r="G404" s="7" t="n"/>
      <c r="K404" s="7" t="n"/>
      <c r="L404" s="7" t="n"/>
    </row>
    <row r="405" ht="15.75" customHeight="1" s="209">
      <c r="A405" s="7" t="n"/>
      <c r="B405" s="7" t="n"/>
      <c r="C405" s="7" t="n"/>
      <c r="D405" s="7" t="n"/>
      <c r="E405" s="7" t="n"/>
      <c r="F405" s="7" t="n"/>
      <c r="G405" s="7" t="n"/>
      <c r="K405" s="7" t="n"/>
      <c r="L405" s="7" t="n"/>
    </row>
    <row r="406" ht="15.75" customHeight="1" s="209">
      <c r="A406" s="7" t="n"/>
      <c r="B406" s="7" t="n"/>
      <c r="C406" s="7" t="n"/>
      <c r="D406" s="7" t="n"/>
      <c r="E406" s="7" t="n"/>
      <c r="F406" s="7" t="n"/>
      <c r="G406" s="7" t="n"/>
      <c r="K406" s="7" t="n"/>
      <c r="L406" s="7" t="n"/>
    </row>
    <row r="407" ht="15.75" customHeight="1" s="209">
      <c r="A407" s="7" t="n"/>
      <c r="B407" s="7" t="n"/>
      <c r="C407" s="7" t="n"/>
      <c r="D407" s="7" t="n"/>
      <c r="E407" s="7" t="n"/>
      <c r="F407" s="7" t="n"/>
      <c r="G407" s="7" t="n"/>
      <c r="K407" s="7" t="n"/>
      <c r="L407" s="7" t="n"/>
    </row>
    <row r="408" ht="15.75" customHeight="1" s="209">
      <c r="A408" s="7" t="n"/>
      <c r="B408" s="7" t="n"/>
      <c r="C408" s="7" t="n"/>
      <c r="D408" s="7" t="n"/>
      <c r="E408" s="7" t="n"/>
      <c r="F408" s="7" t="n"/>
      <c r="G408" s="7" t="n"/>
      <c r="K408" s="7" t="n"/>
      <c r="L408" s="7" t="n"/>
    </row>
    <row r="409" ht="15.75" customHeight="1" s="209">
      <c r="A409" s="7" t="n"/>
      <c r="B409" s="7" t="n"/>
      <c r="C409" s="7" t="n"/>
      <c r="D409" s="7" t="n"/>
      <c r="E409" s="7" t="n"/>
      <c r="F409" s="7" t="n"/>
      <c r="G409" s="7" t="n"/>
      <c r="K409" s="7" t="n"/>
      <c r="L409" s="7" t="n"/>
    </row>
    <row r="410" ht="15.75" customHeight="1" s="209">
      <c r="A410" s="7" t="n"/>
      <c r="B410" s="7" t="n"/>
      <c r="C410" s="7" t="n"/>
      <c r="D410" s="7" t="n"/>
      <c r="E410" s="7" t="n"/>
      <c r="F410" s="7" t="n"/>
      <c r="G410" s="7" t="n"/>
      <c r="K410" s="7" t="n"/>
      <c r="L410" s="7" t="n"/>
    </row>
    <row r="411" ht="15.75" customHeight="1" s="209">
      <c r="A411" s="7" t="n"/>
      <c r="B411" s="7" t="n"/>
      <c r="C411" s="7" t="n"/>
      <c r="D411" s="7" t="n"/>
      <c r="E411" s="7" t="n"/>
      <c r="F411" s="7" t="n"/>
      <c r="G411" s="7" t="n"/>
      <c r="K411" s="7" t="n"/>
      <c r="L411" s="7" t="n"/>
    </row>
    <row r="412" ht="15.75" customHeight="1" s="209">
      <c r="A412" s="7" t="n"/>
      <c r="B412" s="7" t="n"/>
      <c r="C412" s="7" t="n"/>
      <c r="D412" s="7" t="n"/>
      <c r="E412" s="7" t="n"/>
      <c r="F412" s="7" t="n"/>
      <c r="G412" s="7" t="n"/>
      <c r="K412" s="7" t="n"/>
      <c r="L412" s="7" t="n"/>
    </row>
    <row r="413" ht="15.75" customHeight="1" s="209">
      <c r="A413" s="7" t="n"/>
      <c r="B413" s="7" t="n"/>
      <c r="C413" s="7" t="n"/>
      <c r="D413" s="7" t="n"/>
      <c r="E413" s="7" t="n"/>
      <c r="F413" s="7" t="n"/>
      <c r="G413" s="7" t="n"/>
      <c r="K413" s="7" t="n"/>
      <c r="L413" s="7" t="n"/>
    </row>
    <row r="414" ht="15.75" customHeight="1" s="209">
      <c r="A414" s="7" t="n"/>
      <c r="B414" s="7" t="n"/>
      <c r="C414" s="7" t="n"/>
      <c r="D414" s="7" t="n"/>
      <c r="E414" s="7" t="n"/>
      <c r="F414" s="7" t="n"/>
      <c r="G414" s="7" t="n"/>
      <c r="K414" s="7" t="n"/>
      <c r="L414" s="7" t="n"/>
    </row>
    <row r="415" ht="15.75" customHeight="1" s="209">
      <c r="A415" s="7" t="n"/>
      <c r="B415" s="7" t="n"/>
      <c r="C415" s="7" t="n"/>
      <c r="D415" s="7" t="n"/>
      <c r="E415" s="7" t="n"/>
      <c r="F415" s="7" t="n"/>
      <c r="G415" s="7" t="n"/>
      <c r="K415" s="7" t="n"/>
      <c r="L415" s="7" t="n"/>
    </row>
    <row r="416" ht="15.75" customHeight="1" s="209">
      <c r="A416" s="7" t="n"/>
      <c r="B416" s="7" t="n"/>
      <c r="C416" s="7" t="n"/>
      <c r="D416" s="7" t="n"/>
      <c r="E416" s="7" t="n"/>
      <c r="F416" s="7" t="n"/>
      <c r="G416" s="7" t="n"/>
      <c r="K416" s="7" t="n"/>
      <c r="L416" s="7" t="n"/>
    </row>
    <row r="417" ht="15.75" customHeight="1" s="209">
      <c r="A417" s="7" t="n"/>
      <c r="B417" s="7" t="n"/>
      <c r="C417" s="7" t="n"/>
      <c r="D417" s="7" t="n"/>
      <c r="E417" s="7" t="n"/>
      <c r="F417" s="7" t="n"/>
      <c r="G417" s="7" t="n"/>
      <c r="K417" s="7" t="n"/>
      <c r="L417" s="7" t="n"/>
    </row>
    <row r="418" ht="15.75" customHeight="1" s="209">
      <c r="A418" s="7" t="n"/>
      <c r="B418" s="7" t="n"/>
      <c r="C418" s="7" t="n"/>
      <c r="D418" s="7" t="n"/>
      <c r="E418" s="7" t="n"/>
      <c r="F418" s="7" t="n"/>
      <c r="G418" s="7" t="n"/>
      <c r="K418" s="7" t="n"/>
      <c r="L418" s="7" t="n"/>
    </row>
    <row r="419" ht="15.75" customHeight="1" s="209">
      <c r="A419" s="7" t="n"/>
      <c r="B419" s="7" t="n"/>
      <c r="C419" s="7" t="n"/>
      <c r="D419" s="7" t="n"/>
      <c r="E419" s="7" t="n"/>
      <c r="F419" s="7" t="n"/>
      <c r="G419" s="7" t="n"/>
      <c r="K419" s="7" t="n"/>
      <c r="L419" s="7" t="n"/>
    </row>
    <row r="420" ht="15.75" customHeight="1" s="209">
      <c r="A420" s="7" t="n"/>
      <c r="B420" s="7" t="n"/>
      <c r="C420" s="7" t="n"/>
      <c r="D420" s="7" t="n"/>
      <c r="E420" s="7" t="n"/>
      <c r="F420" s="7" t="n"/>
      <c r="G420" s="7" t="n"/>
      <c r="K420" s="7" t="n"/>
      <c r="L420" s="7" t="n"/>
    </row>
    <row r="421" ht="15.75" customHeight="1" s="209">
      <c r="A421" s="7" t="n"/>
      <c r="B421" s="7" t="n"/>
      <c r="C421" s="7" t="n"/>
      <c r="D421" s="7" t="n"/>
      <c r="E421" s="7" t="n"/>
      <c r="F421" s="7" t="n"/>
      <c r="G421" s="7" t="n"/>
      <c r="K421" s="7" t="n"/>
      <c r="L421" s="7" t="n"/>
    </row>
    <row r="422" ht="15.75" customHeight="1" s="209">
      <c r="A422" s="7" t="n"/>
      <c r="B422" s="7" t="n"/>
      <c r="C422" s="7" t="n"/>
      <c r="D422" s="7" t="n"/>
      <c r="E422" s="7" t="n"/>
      <c r="F422" s="7" t="n"/>
      <c r="G422" s="7" t="n"/>
      <c r="K422" s="7" t="n"/>
      <c r="L422" s="7" t="n"/>
    </row>
    <row r="423" ht="15.75" customHeight="1" s="209">
      <c r="A423" s="7" t="n"/>
      <c r="B423" s="7" t="n"/>
      <c r="C423" s="7" t="n"/>
      <c r="D423" s="7" t="n"/>
      <c r="E423" s="7" t="n"/>
      <c r="F423" s="7" t="n"/>
      <c r="G423" s="7" t="n"/>
      <c r="K423" s="7" t="n"/>
      <c r="L423" s="7" t="n"/>
    </row>
    <row r="424" ht="15.75" customHeight="1" s="209">
      <c r="A424" s="7" t="n"/>
      <c r="B424" s="7" t="n"/>
      <c r="C424" s="7" t="n"/>
      <c r="D424" s="7" t="n"/>
      <c r="E424" s="7" t="n"/>
      <c r="F424" s="7" t="n"/>
      <c r="G424" s="7" t="n"/>
      <c r="K424" s="7" t="n"/>
      <c r="L424" s="7" t="n"/>
    </row>
    <row r="425" ht="15.75" customHeight="1" s="209">
      <c r="A425" s="7" t="n"/>
      <c r="B425" s="7" t="n"/>
      <c r="C425" s="7" t="n"/>
      <c r="D425" s="7" t="n"/>
      <c r="E425" s="7" t="n"/>
      <c r="F425" s="7" t="n"/>
      <c r="G425" s="7" t="n"/>
      <c r="K425" s="7" t="n"/>
      <c r="L425" s="7" t="n"/>
    </row>
    <row r="426" ht="15.75" customHeight="1" s="209">
      <c r="A426" s="7" t="n"/>
      <c r="B426" s="7" t="n"/>
      <c r="C426" s="7" t="n"/>
      <c r="D426" s="7" t="n"/>
      <c r="E426" s="7" t="n"/>
      <c r="F426" s="7" t="n"/>
      <c r="G426" s="7" t="n"/>
      <c r="K426" s="7" t="n"/>
      <c r="L426" s="7" t="n"/>
    </row>
    <row r="427" ht="15.75" customHeight="1" s="209">
      <c r="A427" s="7" t="n"/>
      <c r="B427" s="7" t="n"/>
      <c r="C427" s="7" t="n"/>
      <c r="D427" s="7" t="n"/>
      <c r="E427" s="7" t="n"/>
      <c r="F427" s="7" t="n"/>
      <c r="G427" s="7" t="n"/>
      <c r="K427" s="7" t="n"/>
      <c r="L427" s="7" t="n"/>
    </row>
    <row r="428" ht="15.75" customHeight="1" s="209">
      <c r="A428" s="7" t="n"/>
      <c r="B428" s="7" t="n"/>
      <c r="C428" s="7" t="n"/>
      <c r="D428" s="7" t="n"/>
      <c r="E428" s="7" t="n"/>
      <c r="F428" s="7" t="n"/>
      <c r="G428" s="7" t="n"/>
      <c r="K428" s="7" t="n"/>
      <c r="L428" s="7" t="n"/>
    </row>
    <row r="429" ht="15.75" customHeight="1" s="209">
      <c r="A429" s="7" t="n"/>
      <c r="B429" s="7" t="n"/>
      <c r="C429" s="7" t="n"/>
      <c r="D429" s="7" t="n"/>
      <c r="E429" s="7" t="n"/>
      <c r="F429" s="7" t="n"/>
      <c r="G429" s="7" t="n"/>
      <c r="K429" s="7" t="n"/>
      <c r="L429" s="7" t="n"/>
    </row>
    <row r="430" ht="15.75" customHeight="1" s="209">
      <c r="A430" s="7" t="n"/>
      <c r="B430" s="7" t="n"/>
      <c r="C430" s="7" t="n"/>
      <c r="D430" s="7" t="n"/>
      <c r="E430" s="7" t="n"/>
      <c r="F430" s="7" t="n"/>
      <c r="G430" s="7" t="n"/>
      <c r="K430" s="7" t="n"/>
      <c r="L430" s="7" t="n"/>
    </row>
    <row r="431" ht="15.75" customHeight="1" s="209">
      <c r="A431" s="7" t="n"/>
      <c r="B431" s="7" t="n"/>
      <c r="C431" s="7" t="n"/>
      <c r="D431" s="7" t="n"/>
      <c r="E431" s="7" t="n"/>
      <c r="F431" s="7" t="n"/>
      <c r="G431" s="7" t="n"/>
      <c r="K431" s="7" t="n"/>
      <c r="L431" s="7" t="n"/>
    </row>
    <row r="432" ht="15.75" customHeight="1" s="209">
      <c r="A432" s="7" t="n"/>
      <c r="B432" s="7" t="n"/>
      <c r="C432" s="7" t="n"/>
      <c r="D432" s="7" t="n"/>
      <c r="E432" s="7" t="n"/>
      <c r="F432" s="7" t="n"/>
      <c r="G432" s="7" t="n"/>
      <c r="K432" s="7" t="n"/>
      <c r="L432" s="7" t="n"/>
    </row>
    <row r="433" ht="15.75" customHeight="1" s="209">
      <c r="A433" s="7" t="n"/>
      <c r="B433" s="7" t="n"/>
      <c r="C433" s="7" t="n"/>
      <c r="D433" s="7" t="n"/>
      <c r="E433" s="7" t="n"/>
      <c r="F433" s="7" t="n"/>
      <c r="G433" s="7" t="n"/>
      <c r="K433" s="7" t="n"/>
      <c r="L433" s="7" t="n"/>
    </row>
    <row r="434" ht="15.75" customHeight="1" s="209">
      <c r="A434" s="7" t="n"/>
      <c r="B434" s="7" t="n"/>
      <c r="C434" s="7" t="n"/>
      <c r="D434" s="7" t="n"/>
      <c r="E434" s="7" t="n"/>
      <c r="F434" s="7" t="n"/>
      <c r="G434" s="7" t="n"/>
      <c r="K434" s="7" t="n"/>
      <c r="L434" s="7" t="n"/>
    </row>
    <row r="435" ht="15.75" customHeight="1" s="209">
      <c r="A435" s="7" t="n"/>
      <c r="B435" s="7" t="n"/>
      <c r="C435" s="7" t="n"/>
      <c r="D435" s="7" t="n"/>
      <c r="E435" s="7" t="n"/>
      <c r="F435" s="7" t="n"/>
      <c r="G435" s="7" t="n"/>
      <c r="K435" s="7" t="n"/>
      <c r="L435" s="7" t="n"/>
    </row>
    <row r="436" ht="15.75" customHeight="1" s="209">
      <c r="A436" s="7" t="n"/>
      <c r="B436" s="7" t="n"/>
      <c r="C436" s="7" t="n"/>
      <c r="D436" s="7" t="n"/>
      <c r="E436" s="7" t="n"/>
      <c r="F436" s="7" t="n"/>
      <c r="G436" s="7" t="n"/>
      <c r="K436" s="7" t="n"/>
      <c r="L436" s="7" t="n"/>
    </row>
    <row r="437" ht="15.75" customHeight="1" s="209">
      <c r="A437" s="7" t="n"/>
      <c r="B437" s="7" t="n"/>
      <c r="C437" s="7" t="n"/>
      <c r="D437" s="7" t="n"/>
      <c r="E437" s="7" t="n"/>
      <c r="F437" s="7" t="n"/>
      <c r="G437" s="7" t="n"/>
      <c r="K437" s="7" t="n"/>
      <c r="L437" s="7" t="n"/>
    </row>
    <row r="438" ht="15.75" customHeight="1" s="209">
      <c r="A438" s="7" t="n"/>
      <c r="B438" s="7" t="n"/>
      <c r="C438" s="7" t="n"/>
      <c r="D438" s="7" t="n"/>
      <c r="E438" s="7" t="n"/>
      <c r="F438" s="7" t="n"/>
      <c r="G438" s="7" t="n"/>
      <c r="K438" s="7" t="n"/>
      <c r="L438" s="7" t="n"/>
    </row>
    <row r="439" ht="15.75" customHeight="1" s="209">
      <c r="A439" s="7" t="n"/>
      <c r="B439" s="7" t="n"/>
      <c r="C439" s="7" t="n"/>
      <c r="D439" s="7" t="n"/>
      <c r="E439" s="7" t="n"/>
      <c r="F439" s="7" t="n"/>
      <c r="G439" s="7" t="n"/>
      <c r="K439" s="7" t="n"/>
      <c r="L439" s="7" t="n"/>
    </row>
    <row r="440" ht="15.75" customHeight="1" s="209">
      <c r="A440" s="7" t="n"/>
      <c r="B440" s="7" t="n"/>
      <c r="C440" s="7" t="n"/>
      <c r="D440" s="7" t="n"/>
      <c r="E440" s="7" t="n"/>
      <c r="F440" s="7" t="n"/>
      <c r="G440" s="7" t="n"/>
      <c r="K440" s="7" t="n"/>
      <c r="L440" s="7" t="n"/>
    </row>
    <row r="441" ht="15.75" customHeight="1" s="209">
      <c r="A441" s="7" t="n"/>
      <c r="B441" s="7" t="n"/>
      <c r="C441" s="7" t="n"/>
      <c r="D441" s="7" t="n"/>
      <c r="E441" s="7" t="n"/>
      <c r="F441" s="7" t="n"/>
      <c r="G441" s="7" t="n"/>
      <c r="K441" s="7" t="n"/>
      <c r="L441" s="7" t="n"/>
    </row>
    <row r="442" ht="15.75" customHeight="1" s="209">
      <c r="A442" s="7" t="n"/>
      <c r="B442" s="7" t="n"/>
      <c r="C442" s="7" t="n"/>
      <c r="D442" s="7" t="n"/>
      <c r="E442" s="7" t="n"/>
      <c r="F442" s="7" t="n"/>
      <c r="G442" s="7" t="n"/>
      <c r="K442" s="7" t="n"/>
      <c r="L442" s="7" t="n"/>
    </row>
    <row r="443" ht="15.75" customHeight="1" s="209">
      <c r="A443" s="7" t="n"/>
      <c r="B443" s="7" t="n"/>
      <c r="C443" s="7" t="n"/>
      <c r="D443" s="7" t="n"/>
      <c r="E443" s="7" t="n"/>
      <c r="F443" s="7" t="n"/>
      <c r="G443" s="7" t="n"/>
      <c r="K443" s="7" t="n"/>
      <c r="L443" s="7" t="n"/>
    </row>
    <row r="444" ht="15.75" customHeight="1" s="209">
      <c r="A444" s="7" t="n"/>
      <c r="B444" s="7" t="n"/>
      <c r="C444" s="7" t="n"/>
      <c r="D444" s="7" t="n"/>
      <c r="E444" s="7" t="n"/>
      <c r="F444" s="7" t="n"/>
      <c r="G444" s="7" t="n"/>
      <c r="K444" s="7" t="n"/>
      <c r="L444" s="7" t="n"/>
    </row>
    <row r="445" ht="15.75" customHeight="1" s="209">
      <c r="A445" s="7" t="n"/>
      <c r="B445" s="7" t="n"/>
      <c r="C445" s="7" t="n"/>
      <c r="D445" s="7" t="n"/>
      <c r="E445" s="7" t="n"/>
      <c r="F445" s="7" t="n"/>
      <c r="G445" s="7" t="n"/>
      <c r="K445" s="7" t="n"/>
      <c r="L445" s="7" t="n"/>
    </row>
    <row r="446" ht="15.75" customHeight="1" s="209">
      <c r="A446" s="7" t="n"/>
      <c r="B446" s="7" t="n"/>
      <c r="C446" s="7" t="n"/>
      <c r="D446" s="7" t="n"/>
      <c r="E446" s="7" t="n"/>
      <c r="F446" s="7" t="n"/>
      <c r="G446" s="7" t="n"/>
      <c r="K446" s="7" t="n"/>
      <c r="L446" s="7" t="n"/>
    </row>
    <row r="447" ht="15.75" customHeight="1" s="209">
      <c r="A447" s="7" t="n"/>
      <c r="B447" s="7" t="n"/>
      <c r="C447" s="7" t="n"/>
      <c r="D447" s="7" t="n"/>
      <c r="E447" s="7" t="n"/>
      <c r="F447" s="7" t="n"/>
      <c r="G447" s="7" t="n"/>
      <c r="K447" s="7" t="n"/>
      <c r="L447" s="7" t="n"/>
    </row>
    <row r="448" ht="15.75" customHeight="1" s="209">
      <c r="A448" s="7" t="n"/>
      <c r="B448" s="7" t="n"/>
      <c r="C448" s="7" t="n"/>
      <c r="D448" s="7" t="n"/>
      <c r="E448" s="7" t="n"/>
      <c r="F448" s="7" t="n"/>
      <c r="G448" s="7" t="n"/>
      <c r="K448" s="7" t="n"/>
      <c r="L448" s="7" t="n"/>
    </row>
    <row r="449" ht="15.75" customHeight="1" s="209">
      <c r="A449" s="7" t="n"/>
      <c r="B449" s="7" t="n"/>
      <c r="C449" s="7" t="n"/>
      <c r="D449" s="7" t="n"/>
      <c r="E449" s="7" t="n"/>
      <c r="F449" s="7" t="n"/>
      <c r="G449" s="7" t="n"/>
      <c r="K449" s="7" t="n"/>
      <c r="L449" s="7" t="n"/>
    </row>
    <row r="450" ht="15.75" customHeight="1" s="209">
      <c r="A450" s="7" t="n"/>
      <c r="B450" s="7" t="n"/>
      <c r="C450" s="7" t="n"/>
      <c r="D450" s="7" t="n"/>
      <c r="E450" s="7" t="n"/>
      <c r="F450" s="7" t="n"/>
      <c r="G450" s="7" t="n"/>
      <c r="K450" s="7" t="n"/>
      <c r="L450" s="7" t="n"/>
    </row>
    <row r="451" ht="15.75" customHeight="1" s="209">
      <c r="A451" s="7" t="n"/>
      <c r="B451" s="7" t="n"/>
      <c r="C451" s="7" t="n"/>
      <c r="D451" s="7" t="n"/>
      <c r="E451" s="7" t="n"/>
      <c r="F451" s="7" t="n"/>
      <c r="G451" s="7" t="n"/>
      <c r="K451" s="7" t="n"/>
      <c r="L451" s="7" t="n"/>
    </row>
    <row r="452" ht="15.75" customHeight="1" s="209">
      <c r="A452" s="7" t="n"/>
      <c r="B452" s="7" t="n"/>
      <c r="C452" s="7" t="n"/>
      <c r="D452" s="7" t="n"/>
      <c r="E452" s="7" t="n"/>
      <c r="F452" s="7" t="n"/>
      <c r="G452" s="7" t="n"/>
      <c r="K452" s="7" t="n"/>
      <c r="L452" s="7" t="n"/>
    </row>
    <row r="453" ht="15.75" customHeight="1" s="209">
      <c r="A453" s="7" t="n"/>
      <c r="B453" s="7" t="n"/>
      <c r="C453" s="7" t="n"/>
      <c r="D453" s="7" t="n"/>
      <c r="E453" s="7" t="n"/>
      <c r="F453" s="7" t="n"/>
      <c r="G453" s="7" t="n"/>
      <c r="K453" s="7" t="n"/>
      <c r="L453" s="7" t="n"/>
    </row>
    <row r="454" ht="15.75" customHeight="1" s="209">
      <c r="A454" s="7" t="n"/>
      <c r="B454" s="7" t="n"/>
      <c r="C454" s="7" t="n"/>
      <c r="D454" s="7" t="n"/>
      <c r="E454" s="7" t="n"/>
      <c r="F454" s="7" t="n"/>
      <c r="G454" s="7" t="n"/>
      <c r="K454" s="7" t="n"/>
      <c r="L454" s="7" t="n"/>
    </row>
    <row r="455" ht="15.75" customHeight="1" s="209">
      <c r="A455" s="7" t="n"/>
      <c r="B455" s="7" t="n"/>
      <c r="C455" s="7" t="n"/>
      <c r="D455" s="7" t="n"/>
      <c r="E455" s="7" t="n"/>
      <c r="F455" s="7" t="n"/>
      <c r="G455" s="7" t="n"/>
      <c r="K455" s="7" t="n"/>
      <c r="L455" s="7" t="n"/>
    </row>
    <row r="456" ht="15.75" customHeight="1" s="209">
      <c r="A456" s="7" t="n"/>
      <c r="B456" s="7" t="n"/>
      <c r="C456" s="7" t="n"/>
      <c r="D456" s="7" t="n"/>
      <c r="E456" s="7" t="n"/>
      <c r="F456" s="7" t="n"/>
      <c r="G456" s="7" t="n"/>
      <c r="K456" s="7" t="n"/>
      <c r="L456" s="7" t="n"/>
    </row>
    <row r="457" ht="15.75" customHeight="1" s="209">
      <c r="A457" s="7" t="n"/>
      <c r="B457" s="7" t="n"/>
      <c r="C457" s="7" t="n"/>
      <c r="D457" s="7" t="n"/>
      <c r="E457" s="7" t="n"/>
      <c r="F457" s="7" t="n"/>
      <c r="G457" s="7" t="n"/>
      <c r="K457" s="7" t="n"/>
      <c r="L457" s="7" t="n"/>
    </row>
    <row r="458" ht="15.75" customHeight="1" s="209">
      <c r="A458" s="7" t="n"/>
      <c r="B458" s="7" t="n"/>
      <c r="C458" s="7" t="n"/>
      <c r="D458" s="7" t="n"/>
      <c r="E458" s="7" t="n"/>
      <c r="F458" s="7" t="n"/>
      <c r="G458" s="7" t="n"/>
      <c r="K458" s="7" t="n"/>
      <c r="L458" s="7" t="n"/>
    </row>
    <row r="459" ht="15.75" customHeight="1" s="209">
      <c r="A459" s="7" t="n"/>
      <c r="B459" s="7" t="n"/>
      <c r="C459" s="7" t="n"/>
      <c r="D459" s="7" t="n"/>
      <c r="E459" s="7" t="n"/>
      <c r="F459" s="7" t="n"/>
      <c r="G459" s="7" t="n"/>
      <c r="K459" s="7" t="n"/>
      <c r="L459" s="7" t="n"/>
    </row>
    <row r="460" ht="15.75" customHeight="1" s="209">
      <c r="A460" s="7" t="n"/>
      <c r="B460" s="7" t="n"/>
      <c r="C460" s="7" t="n"/>
      <c r="D460" s="7" t="n"/>
      <c r="E460" s="7" t="n"/>
      <c r="F460" s="7" t="n"/>
      <c r="G460" s="7" t="n"/>
      <c r="K460" s="7" t="n"/>
      <c r="L460" s="7" t="n"/>
    </row>
    <row r="461" ht="15.75" customHeight="1" s="209">
      <c r="A461" s="7" t="n"/>
      <c r="B461" s="7" t="n"/>
      <c r="C461" s="7" t="n"/>
      <c r="D461" s="7" t="n"/>
      <c r="E461" s="7" t="n"/>
      <c r="F461" s="7" t="n"/>
      <c r="G461" s="7" t="n"/>
      <c r="K461" s="7" t="n"/>
      <c r="L461" s="7" t="n"/>
    </row>
    <row r="462" ht="15.75" customHeight="1" s="209">
      <c r="A462" s="7" t="n"/>
      <c r="B462" s="7" t="n"/>
      <c r="C462" s="7" t="n"/>
      <c r="D462" s="7" t="n"/>
      <c r="E462" s="7" t="n"/>
      <c r="F462" s="7" t="n"/>
      <c r="G462" s="7" t="n"/>
      <c r="K462" s="7" t="n"/>
      <c r="L462" s="7" t="n"/>
    </row>
    <row r="463" ht="15.75" customHeight="1" s="209">
      <c r="A463" s="7" t="n"/>
      <c r="B463" s="7" t="n"/>
      <c r="C463" s="7" t="n"/>
      <c r="D463" s="7" t="n"/>
      <c r="E463" s="7" t="n"/>
      <c r="F463" s="7" t="n"/>
      <c r="G463" s="7" t="n"/>
      <c r="K463" s="7" t="n"/>
      <c r="L463" s="7" t="n"/>
    </row>
    <row r="464" ht="15.75" customHeight="1" s="209">
      <c r="A464" s="7" t="n"/>
      <c r="B464" s="7" t="n"/>
      <c r="C464" s="7" t="n"/>
      <c r="D464" s="7" t="n"/>
      <c r="E464" s="7" t="n"/>
      <c r="F464" s="7" t="n"/>
      <c r="G464" s="7" t="n"/>
      <c r="K464" s="7" t="n"/>
      <c r="L464" s="7" t="n"/>
    </row>
    <row r="465" ht="15.75" customHeight="1" s="209">
      <c r="A465" s="7" t="n"/>
      <c r="B465" s="7" t="n"/>
      <c r="C465" s="7" t="n"/>
      <c r="D465" s="7" t="n"/>
      <c r="E465" s="7" t="n"/>
      <c r="F465" s="7" t="n"/>
      <c r="G465" s="7" t="n"/>
      <c r="K465" s="7" t="n"/>
      <c r="L465" s="7" t="n"/>
    </row>
    <row r="466" ht="15.75" customHeight="1" s="209">
      <c r="A466" s="7" t="n"/>
      <c r="B466" s="7" t="n"/>
      <c r="C466" s="7" t="n"/>
      <c r="D466" s="7" t="n"/>
      <c r="E466" s="7" t="n"/>
      <c r="F466" s="7" t="n"/>
      <c r="G466" s="7" t="n"/>
      <c r="K466" s="7" t="n"/>
      <c r="L466" s="7" t="n"/>
    </row>
    <row r="467" ht="15.75" customHeight="1" s="209">
      <c r="A467" s="7" t="n"/>
      <c r="B467" s="7" t="n"/>
      <c r="C467" s="7" t="n"/>
      <c r="D467" s="7" t="n"/>
      <c r="E467" s="7" t="n"/>
      <c r="F467" s="7" t="n"/>
      <c r="G467" s="7" t="n"/>
      <c r="K467" s="7" t="n"/>
      <c r="L467" s="7" t="n"/>
    </row>
    <row r="468" ht="15.75" customHeight="1" s="209">
      <c r="A468" s="7" t="n"/>
      <c r="B468" s="7" t="n"/>
      <c r="C468" s="7" t="n"/>
      <c r="D468" s="7" t="n"/>
      <c r="E468" s="7" t="n"/>
      <c r="F468" s="7" t="n"/>
      <c r="G468" s="7" t="n"/>
      <c r="K468" s="7" t="n"/>
      <c r="L468" s="7" t="n"/>
    </row>
    <row r="469" ht="15.75" customHeight="1" s="209">
      <c r="A469" s="7" t="n"/>
      <c r="B469" s="7" t="n"/>
      <c r="C469" s="7" t="n"/>
      <c r="D469" s="7" t="n"/>
      <c r="E469" s="7" t="n"/>
      <c r="F469" s="7" t="n"/>
      <c r="G469" s="7" t="n"/>
      <c r="K469" s="7" t="n"/>
      <c r="L469" s="7" t="n"/>
    </row>
    <row r="470" ht="15.75" customHeight="1" s="209">
      <c r="A470" s="7" t="n"/>
      <c r="B470" s="7" t="n"/>
      <c r="C470" s="7" t="n"/>
      <c r="D470" s="7" t="n"/>
      <c r="E470" s="7" t="n"/>
      <c r="F470" s="7" t="n"/>
      <c r="G470" s="7" t="n"/>
      <c r="K470" s="7" t="n"/>
      <c r="L470" s="7" t="n"/>
    </row>
    <row r="471" ht="15.75" customHeight="1" s="209">
      <c r="A471" s="7" t="n"/>
      <c r="B471" s="7" t="n"/>
      <c r="C471" s="7" t="n"/>
      <c r="D471" s="7" t="n"/>
      <c r="E471" s="7" t="n"/>
      <c r="F471" s="7" t="n"/>
      <c r="G471" s="7" t="n"/>
      <c r="K471" s="7" t="n"/>
      <c r="L471" s="7" t="n"/>
    </row>
    <row r="472" ht="15.75" customHeight="1" s="209">
      <c r="A472" s="7" t="n"/>
      <c r="B472" s="7" t="n"/>
      <c r="C472" s="7" t="n"/>
      <c r="D472" s="7" t="n"/>
      <c r="E472" s="7" t="n"/>
      <c r="F472" s="7" t="n"/>
      <c r="G472" s="7" t="n"/>
      <c r="K472" s="7" t="n"/>
      <c r="L472" s="7" t="n"/>
    </row>
    <row r="473" ht="15.75" customHeight="1" s="209">
      <c r="A473" s="7" t="n"/>
      <c r="B473" s="7" t="n"/>
      <c r="C473" s="7" t="n"/>
      <c r="D473" s="7" t="n"/>
      <c r="E473" s="7" t="n"/>
      <c r="F473" s="7" t="n"/>
      <c r="G473" s="7" t="n"/>
      <c r="K473" s="7" t="n"/>
      <c r="L473" s="7" t="n"/>
    </row>
    <row r="474" ht="15.75" customHeight="1" s="209">
      <c r="A474" s="7" t="n"/>
      <c r="B474" s="7" t="n"/>
      <c r="C474" s="7" t="n"/>
      <c r="D474" s="7" t="n"/>
      <c r="E474" s="7" t="n"/>
      <c r="F474" s="7" t="n"/>
      <c r="G474" s="7" t="n"/>
      <c r="K474" s="7" t="n"/>
      <c r="L474" s="7" t="n"/>
    </row>
    <row r="475" ht="15.75" customHeight="1" s="209">
      <c r="A475" s="7" t="n"/>
      <c r="B475" s="7" t="n"/>
      <c r="C475" s="7" t="n"/>
      <c r="D475" s="7" t="n"/>
      <c r="E475" s="7" t="n"/>
      <c r="F475" s="7" t="n"/>
      <c r="G475" s="7" t="n"/>
      <c r="K475" s="7" t="n"/>
      <c r="L475" s="7" t="n"/>
    </row>
    <row r="476" ht="15.75" customHeight="1" s="209">
      <c r="A476" s="7" t="n"/>
      <c r="B476" s="7" t="n"/>
      <c r="C476" s="7" t="n"/>
      <c r="D476" s="7" t="n"/>
      <c r="E476" s="7" t="n"/>
      <c r="F476" s="7" t="n"/>
      <c r="G476" s="7" t="n"/>
      <c r="K476" s="7" t="n"/>
      <c r="L476" s="7" t="n"/>
    </row>
    <row r="477" ht="15.75" customHeight="1" s="209">
      <c r="A477" s="7" t="n"/>
      <c r="B477" s="7" t="n"/>
      <c r="C477" s="7" t="n"/>
      <c r="D477" s="7" t="n"/>
      <c r="E477" s="7" t="n"/>
      <c r="F477" s="7" t="n"/>
      <c r="G477" s="7" t="n"/>
      <c r="K477" s="7" t="n"/>
      <c r="L477" s="7" t="n"/>
    </row>
    <row r="478" ht="15.75" customHeight="1" s="209">
      <c r="A478" s="7" t="n"/>
      <c r="B478" s="7" t="n"/>
      <c r="C478" s="7" t="n"/>
      <c r="D478" s="7" t="n"/>
      <c r="E478" s="7" t="n"/>
      <c r="F478" s="7" t="n"/>
      <c r="G478" s="7" t="n"/>
      <c r="K478" s="7" t="n"/>
      <c r="L478" s="7" t="n"/>
    </row>
    <row r="479" ht="15.75" customHeight="1" s="209">
      <c r="A479" s="7" t="n"/>
      <c r="B479" s="7" t="n"/>
      <c r="C479" s="7" t="n"/>
      <c r="D479" s="7" t="n"/>
      <c r="E479" s="7" t="n"/>
      <c r="F479" s="7" t="n"/>
      <c r="G479" s="7" t="n"/>
      <c r="K479" s="7" t="n"/>
      <c r="L479" s="7" t="n"/>
    </row>
    <row r="480" ht="15.75" customHeight="1" s="209">
      <c r="A480" s="7" t="n"/>
      <c r="B480" s="7" t="n"/>
      <c r="C480" s="7" t="n"/>
      <c r="D480" s="7" t="n"/>
      <c r="E480" s="7" t="n"/>
      <c r="F480" s="7" t="n"/>
      <c r="G480" s="7" t="n"/>
      <c r="K480" s="7" t="n"/>
      <c r="L480" s="7" t="n"/>
    </row>
    <row r="481" ht="15.75" customHeight="1" s="209">
      <c r="A481" s="7" t="n"/>
      <c r="B481" s="7" t="n"/>
      <c r="C481" s="7" t="n"/>
      <c r="D481" s="7" t="n"/>
      <c r="E481" s="7" t="n"/>
      <c r="F481" s="7" t="n"/>
      <c r="G481" s="7" t="n"/>
      <c r="K481" s="7" t="n"/>
      <c r="L481" s="7" t="n"/>
    </row>
    <row r="482" ht="15.75" customHeight="1" s="209">
      <c r="A482" s="7" t="n"/>
      <c r="B482" s="7" t="n"/>
      <c r="C482" s="7" t="n"/>
      <c r="D482" s="7" t="n"/>
      <c r="E482" s="7" t="n"/>
      <c r="F482" s="7" t="n"/>
      <c r="G482" s="7" t="n"/>
      <c r="K482" s="7" t="n"/>
      <c r="L482" s="7" t="n"/>
    </row>
    <row r="483" ht="15.75" customHeight="1" s="209">
      <c r="A483" s="7" t="n"/>
      <c r="B483" s="7" t="n"/>
      <c r="C483" s="7" t="n"/>
      <c r="D483" s="7" t="n"/>
      <c r="E483" s="7" t="n"/>
      <c r="F483" s="7" t="n"/>
      <c r="G483" s="7" t="n"/>
      <c r="K483" s="7" t="n"/>
      <c r="L483" s="7" t="n"/>
    </row>
    <row r="484" ht="15.75" customHeight="1" s="209">
      <c r="A484" s="7" t="n"/>
      <c r="B484" s="7" t="n"/>
      <c r="C484" s="7" t="n"/>
      <c r="D484" s="7" t="n"/>
      <c r="E484" s="7" t="n"/>
      <c r="F484" s="7" t="n"/>
      <c r="G484" s="7" t="n"/>
      <c r="K484" s="7" t="n"/>
      <c r="L484" s="7" t="n"/>
    </row>
    <row r="485" ht="15.75" customHeight="1" s="209">
      <c r="A485" s="7" t="n"/>
      <c r="B485" s="7" t="n"/>
      <c r="C485" s="7" t="n"/>
      <c r="D485" s="7" t="n"/>
      <c r="E485" s="7" t="n"/>
      <c r="F485" s="7" t="n"/>
      <c r="G485" s="7" t="n"/>
      <c r="K485" s="7" t="n"/>
      <c r="L485" s="7" t="n"/>
    </row>
    <row r="486" ht="15.75" customHeight="1" s="209">
      <c r="A486" s="7" t="n"/>
      <c r="B486" s="7" t="n"/>
      <c r="C486" s="7" t="n"/>
      <c r="D486" s="7" t="n"/>
      <c r="E486" s="7" t="n"/>
      <c r="F486" s="7" t="n"/>
      <c r="G486" s="7" t="n"/>
      <c r="K486" s="7" t="n"/>
      <c r="L486" s="7" t="n"/>
    </row>
    <row r="487" ht="15.75" customHeight="1" s="209">
      <c r="A487" s="7" t="n"/>
      <c r="B487" s="7" t="n"/>
      <c r="C487" s="7" t="n"/>
      <c r="D487" s="7" t="n"/>
      <c r="E487" s="7" t="n"/>
      <c r="F487" s="7" t="n"/>
      <c r="G487" s="7" t="n"/>
      <c r="K487" s="7" t="n"/>
      <c r="L487" s="7" t="n"/>
    </row>
    <row r="488" ht="15.75" customHeight="1" s="209">
      <c r="A488" s="7" t="n"/>
      <c r="B488" s="7" t="n"/>
      <c r="C488" s="7" t="n"/>
      <c r="D488" s="7" t="n"/>
      <c r="E488" s="7" t="n"/>
      <c r="F488" s="7" t="n"/>
      <c r="G488" s="7" t="n"/>
      <c r="K488" s="7" t="n"/>
      <c r="L488" s="7" t="n"/>
    </row>
    <row r="489" ht="15.75" customHeight="1" s="209">
      <c r="A489" s="7" t="n"/>
      <c r="B489" s="7" t="n"/>
      <c r="C489" s="7" t="n"/>
      <c r="D489" s="7" t="n"/>
      <c r="E489" s="7" t="n"/>
      <c r="F489" s="7" t="n"/>
      <c r="G489" s="7" t="n"/>
      <c r="K489" s="7" t="n"/>
      <c r="L489" s="7" t="n"/>
    </row>
    <row r="490" ht="15.75" customHeight="1" s="209">
      <c r="A490" s="7" t="n"/>
      <c r="B490" s="7" t="n"/>
      <c r="C490" s="7" t="n"/>
      <c r="D490" s="7" t="n"/>
      <c r="E490" s="7" t="n"/>
      <c r="F490" s="7" t="n"/>
      <c r="G490" s="7" t="n"/>
      <c r="K490" s="7" t="n"/>
      <c r="L490" s="7" t="n"/>
    </row>
    <row r="491" ht="15.75" customHeight="1" s="209">
      <c r="A491" s="7" t="n"/>
      <c r="B491" s="7" t="n"/>
      <c r="C491" s="7" t="n"/>
      <c r="D491" s="7" t="n"/>
      <c r="E491" s="7" t="n"/>
      <c r="F491" s="7" t="n"/>
      <c r="G491" s="7" t="n"/>
      <c r="K491" s="7" t="n"/>
      <c r="L491" s="7" t="n"/>
    </row>
    <row r="492" ht="15.75" customHeight="1" s="209">
      <c r="A492" s="7" t="n"/>
      <c r="B492" s="7" t="n"/>
      <c r="C492" s="7" t="n"/>
      <c r="D492" s="7" t="n"/>
      <c r="E492" s="7" t="n"/>
      <c r="F492" s="7" t="n"/>
      <c r="G492" s="7" t="n"/>
      <c r="K492" s="7" t="n"/>
      <c r="L492" s="7" t="n"/>
    </row>
    <row r="493" ht="15.75" customHeight="1" s="209">
      <c r="A493" s="7" t="n"/>
      <c r="B493" s="7" t="n"/>
      <c r="C493" s="7" t="n"/>
      <c r="D493" s="7" t="n"/>
      <c r="E493" s="7" t="n"/>
      <c r="F493" s="7" t="n"/>
      <c r="G493" s="7" t="n"/>
      <c r="K493" s="7" t="n"/>
      <c r="L493" s="7" t="n"/>
    </row>
    <row r="494" ht="15.75" customHeight="1" s="209">
      <c r="A494" s="7" t="n"/>
      <c r="B494" s="7" t="n"/>
      <c r="C494" s="7" t="n"/>
      <c r="D494" s="7" t="n"/>
      <c r="E494" s="7" t="n"/>
      <c r="F494" s="7" t="n"/>
      <c r="G494" s="7" t="n"/>
      <c r="K494" s="7" t="n"/>
      <c r="L494" s="7" t="n"/>
    </row>
    <row r="495" ht="15.75" customHeight="1" s="209">
      <c r="A495" s="7" t="n"/>
      <c r="B495" s="7" t="n"/>
      <c r="C495" s="7" t="n"/>
      <c r="D495" s="7" t="n"/>
      <c r="E495" s="7" t="n"/>
      <c r="F495" s="7" t="n"/>
      <c r="G495" s="7" t="n"/>
      <c r="K495" s="7" t="n"/>
      <c r="L495" s="7" t="n"/>
    </row>
    <row r="496" ht="15.75" customHeight="1" s="209">
      <c r="A496" s="7" t="n"/>
      <c r="B496" s="7" t="n"/>
      <c r="C496" s="7" t="n"/>
      <c r="D496" s="7" t="n"/>
      <c r="E496" s="7" t="n"/>
      <c r="F496" s="7" t="n"/>
      <c r="G496" s="7" t="n"/>
      <c r="K496" s="7" t="n"/>
      <c r="L496" s="7" t="n"/>
    </row>
    <row r="497" ht="15.75" customHeight="1" s="209">
      <c r="A497" s="7" t="n"/>
      <c r="B497" s="7" t="n"/>
      <c r="C497" s="7" t="n"/>
      <c r="D497" s="7" t="n"/>
      <c r="E497" s="7" t="n"/>
      <c r="F497" s="7" t="n"/>
      <c r="G497" s="7" t="n"/>
      <c r="K497" s="7" t="n"/>
      <c r="L497" s="7" t="n"/>
    </row>
    <row r="498" ht="15.75" customHeight="1" s="209">
      <c r="A498" s="7" t="n"/>
      <c r="B498" s="7" t="n"/>
      <c r="C498" s="7" t="n"/>
      <c r="D498" s="7" t="n"/>
      <c r="E498" s="7" t="n"/>
      <c r="F498" s="7" t="n"/>
      <c r="G498" s="7" t="n"/>
      <c r="K498" s="7" t="n"/>
      <c r="L498" s="7" t="n"/>
    </row>
    <row r="499" ht="15.75" customHeight="1" s="209">
      <c r="A499" s="7" t="n"/>
      <c r="B499" s="7" t="n"/>
      <c r="C499" s="7" t="n"/>
      <c r="D499" s="7" t="n"/>
      <c r="E499" s="7" t="n"/>
      <c r="F499" s="7" t="n"/>
      <c r="G499" s="7" t="n"/>
      <c r="K499" s="7" t="n"/>
      <c r="L499" s="7" t="n"/>
    </row>
    <row r="500" ht="15.75" customHeight="1" s="209">
      <c r="A500" s="7" t="n"/>
      <c r="B500" s="7" t="n"/>
      <c r="C500" s="7" t="n"/>
      <c r="D500" s="7" t="n"/>
      <c r="E500" s="7" t="n"/>
      <c r="F500" s="7" t="n"/>
      <c r="G500" s="7" t="n"/>
      <c r="K500" s="7" t="n"/>
      <c r="L500" s="7" t="n"/>
    </row>
    <row r="501" ht="15.75" customHeight="1" s="209">
      <c r="A501" s="7" t="n"/>
      <c r="B501" s="7" t="n"/>
      <c r="C501" s="7" t="n"/>
      <c r="D501" s="7" t="n"/>
      <c r="E501" s="7" t="n"/>
      <c r="F501" s="7" t="n"/>
      <c r="G501" s="7" t="n"/>
      <c r="K501" s="7" t="n"/>
      <c r="L501" s="7" t="n"/>
    </row>
    <row r="502" ht="15.75" customHeight="1" s="209">
      <c r="A502" s="7" t="n"/>
      <c r="B502" s="7" t="n"/>
      <c r="C502" s="7" t="n"/>
      <c r="D502" s="7" t="n"/>
      <c r="E502" s="7" t="n"/>
      <c r="F502" s="7" t="n"/>
      <c r="G502" s="7" t="n"/>
      <c r="K502" s="7" t="n"/>
      <c r="L502" s="7" t="n"/>
    </row>
    <row r="503" ht="15.75" customHeight="1" s="209">
      <c r="A503" s="7" t="n"/>
      <c r="B503" s="7" t="n"/>
      <c r="C503" s="7" t="n"/>
      <c r="D503" s="7" t="n"/>
      <c r="E503" s="7" t="n"/>
      <c r="F503" s="7" t="n"/>
      <c r="G503" s="7" t="n"/>
      <c r="K503" s="7" t="n"/>
      <c r="L503" s="7" t="n"/>
    </row>
    <row r="504" ht="15.75" customHeight="1" s="209">
      <c r="A504" s="7" t="n"/>
      <c r="B504" s="7" t="n"/>
      <c r="C504" s="7" t="n"/>
      <c r="D504" s="7" t="n"/>
      <c r="E504" s="7" t="n"/>
      <c r="F504" s="7" t="n"/>
      <c r="G504" s="7" t="n"/>
      <c r="K504" s="7" t="n"/>
      <c r="L504" s="7" t="n"/>
    </row>
    <row r="505" ht="15.75" customHeight="1" s="209">
      <c r="A505" s="7" t="n"/>
      <c r="B505" s="7" t="n"/>
      <c r="C505" s="7" t="n"/>
      <c r="D505" s="7" t="n"/>
      <c r="E505" s="7" t="n"/>
      <c r="F505" s="7" t="n"/>
      <c r="G505" s="7" t="n"/>
      <c r="K505" s="7" t="n"/>
      <c r="L505" s="7" t="n"/>
    </row>
    <row r="506" ht="15.75" customHeight="1" s="209">
      <c r="A506" s="7" t="n"/>
      <c r="B506" s="7" t="n"/>
      <c r="C506" s="7" t="n"/>
      <c r="D506" s="7" t="n"/>
      <c r="E506" s="7" t="n"/>
      <c r="F506" s="7" t="n"/>
      <c r="G506" s="7" t="n"/>
      <c r="K506" s="7" t="n"/>
      <c r="L506" s="7" t="n"/>
    </row>
    <row r="507" ht="15.75" customHeight="1" s="209">
      <c r="A507" s="7" t="n"/>
      <c r="B507" s="7" t="n"/>
      <c r="C507" s="7" t="n"/>
      <c r="D507" s="7" t="n"/>
      <c r="E507" s="7" t="n"/>
      <c r="F507" s="7" t="n"/>
      <c r="G507" s="7" t="n"/>
      <c r="K507" s="7" t="n"/>
      <c r="L507" s="7" t="n"/>
    </row>
    <row r="508" ht="15.75" customHeight="1" s="209">
      <c r="A508" s="7" t="n"/>
      <c r="B508" s="7" t="n"/>
      <c r="C508" s="7" t="n"/>
      <c r="D508" s="7" t="n"/>
      <c r="E508" s="7" t="n"/>
      <c r="F508" s="7" t="n"/>
      <c r="G508" s="7" t="n"/>
      <c r="K508" s="7" t="n"/>
      <c r="L508" s="7" t="n"/>
    </row>
    <row r="509" ht="15.75" customHeight="1" s="209">
      <c r="A509" s="7" t="n"/>
      <c r="B509" s="7" t="n"/>
      <c r="C509" s="7" t="n"/>
      <c r="D509" s="7" t="n"/>
      <c r="E509" s="7" t="n"/>
      <c r="F509" s="7" t="n"/>
      <c r="G509" s="7" t="n"/>
      <c r="K509" s="7" t="n"/>
      <c r="L509" s="7" t="n"/>
    </row>
    <row r="510" ht="15.75" customHeight="1" s="209">
      <c r="A510" s="7" t="n"/>
      <c r="B510" s="7" t="n"/>
      <c r="C510" s="7" t="n"/>
      <c r="D510" s="7" t="n"/>
      <c r="E510" s="7" t="n"/>
      <c r="F510" s="7" t="n"/>
      <c r="G510" s="7" t="n"/>
      <c r="K510" s="7" t="n"/>
      <c r="L510" s="7" t="n"/>
    </row>
    <row r="511" ht="15.75" customHeight="1" s="209">
      <c r="A511" s="7" t="n"/>
      <c r="B511" s="7" t="n"/>
      <c r="C511" s="7" t="n"/>
      <c r="D511" s="7" t="n"/>
      <c r="E511" s="7" t="n"/>
      <c r="F511" s="7" t="n"/>
      <c r="G511" s="7" t="n"/>
      <c r="K511" s="7" t="n"/>
      <c r="L511" s="7" t="n"/>
    </row>
    <row r="512" ht="15.75" customHeight="1" s="209">
      <c r="A512" s="7" t="n"/>
      <c r="B512" s="7" t="n"/>
      <c r="C512" s="7" t="n"/>
      <c r="D512" s="7" t="n"/>
      <c r="E512" s="7" t="n"/>
      <c r="F512" s="7" t="n"/>
      <c r="G512" s="7" t="n"/>
      <c r="K512" s="7" t="n"/>
      <c r="L512" s="7" t="n"/>
    </row>
    <row r="513" ht="15.75" customHeight="1" s="209">
      <c r="A513" s="7" t="n"/>
      <c r="B513" s="7" t="n"/>
      <c r="C513" s="7" t="n"/>
      <c r="D513" s="7" t="n"/>
      <c r="E513" s="7" t="n"/>
      <c r="F513" s="7" t="n"/>
      <c r="G513" s="7" t="n"/>
      <c r="K513" s="7" t="n"/>
      <c r="L513" s="7" t="n"/>
    </row>
    <row r="514" ht="15.75" customHeight="1" s="209">
      <c r="A514" s="7" t="n"/>
      <c r="B514" s="7" t="n"/>
      <c r="C514" s="7" t="n"/>
      <c r="D514" s="7" t="n"/>
      <c r="E514" s="7" t="n"/>
      <c r="F514" s="7" t="n"/>
      <c r="G514" s="7" t="n"/>
      <c r="K514" s="7" t="n"/>
      <c r="L514" s="7" t="n"/>
    </row>
    <row r="515" ht="15.75" customHeight="1" s="209">
      <c r="A515" s="7" t="n"/>
      <c r="B515" s="7" t="n"/>
      <c r="C515" s="7" t="n"/>
      <c r="D515" s="7" t="n"/>
      <c r="E515" s="7" t="n"/>
      <c r="F515" s="7" t="n"/>
      <c r="G515" s="7" t="n"/>
      <c r="K515" s="7" t="n"/>
      <c r="L515" s="7" t="n"/>
    </row>
    <row r="516" ht="15.75" customHeight="1" s="209">
      <c r="A516" s="7" t="n"/>
      <c r="B516" s="7" t="n"/>
      <c r="C516" s="7" t="n"/>
      <c r="D516" s="7" t="n"/>
      <c r="E516" s="7" t="n"/>
      <c r="F516" s="7" t="n"/>
      <c r="G516" s="7" t="n"/>
      <c r="K516" s="7" t="n"/>
      <c r="L516" s="7" t="n"/>
    </row>
    <row r="517" ht="15.75" customHeight="1" s="209">
      <c r="A517" s="7" t="n"/>
      <c r="B517" s="7" t="n"/>
      <c r="C517" s="7" t="n"/>
      <c r="D517" s="7" t="n"/>
      <c r="E517" s="7" t="n"/>
      <c r="F517" s="7" t="n"/>
      <c r="G517" s="7" t="n"/>
      <c r="K517" s="7" t="n"/>
      <c r="L517" s="7" t="n"/>
    </row>
    <row r="518" ht="15.75" customHeight="1" s="209">
      <c r="A518" s="7" t="n"/>
      <c r="B518" s="7" t="n"/>
      <c r="C518" s="7" t="n"/>
      <c r="D518" s="7" t="n"/>
      <c r="E518" s="7" t="n"/>
      <c r="F518" s="7" t="n"/>
      <c r="G518" s="7" t="n"/>
      <c r="K518" s="7" t="n"/>
      <c r="L518" s="7" t="n"/>
    </row>
    <row r="519" ht="15.75" customHeight="1" s="209">
      <c r="A519" s="7" t="n"/>
      <c r="B519" s="7" t="n"/>
      <c r="C519" s="7" t="n"/>
      <c r="D519" s="7" t="n"/>
      <c r="E519" s="7" t="n"/>
      <c r="F519" s="7" t="n"/>
      <c r="G519" s="7" t="n"/>
      <c r="K519" s="7" t="n"/>
      <c r="L519" s="7" t="n"/>
    </row>
    <row r="520" ht="15.75" customHeight="1" s="209">
      <c r="A520" s="7" t="n"/>
      <c r="B520" s="7" t="n"/>
      <c r="C520" s="7" t="n"/>
      <c r="D520" s="7" t="n"/>
      <c r="E520" s="7" t="n"/>
      <c r="F520" s="7" t="n"/>
      <c r="G520" s="7" t="n"/>
      <c r="K520" s="7" t="n"/>
      <c r="L520" s="7" t="n"/>
    </row>
    <row r="521" ht="15.75" customHeight="1" s="209">
      <c r="A521" s="7" t="n"/>
      <c r="B521" s="7" t="n"/>
      <c r="C521" s="7" t="n"/>
      <c r="D521" s="7" t="n"/>
      <c r="E521" s="7" t="n"/>
      <c r="F521" s="7" t="n"/>
      <c r="G521" s="7" t="n"/>
      <c r="K521" s="7" t="n"/>
      <c r="L521" s="7" t="n"/>
    </row>
    <row r="522" ht="15.75" customHeight="1" s="209">
      <c r="A522" s="7" t="n"/>
      <c r="B522" s="7" t="n"/>
      <c r="C522" s="7" t="n"/>
      <c r="D522" s="7" t="n"/>
      <c r="E522" s="7" t="n"/>
      <c r="F522" s="7" t="n"/>
      <c r="G522" s="7" t="n"/>
      <c r="K522" s="7" t="n"/>
      <c r="L522" s="7" t="n"/>
    </row>
    <row r="523" ht="15.75" customHeight="1" s="209">
      <c r="A523" s="7" t="n"/>
      <c r="B523" s="7" t="n"/>
      <c r="C523" s="7" t="n"/>
      <c r="D523" s="7" t="n"/>
      <c r="E523" s="7" t="n"/>
      <c r="F523" s="7" t="n"/>
      <c r="G523" s="7" t="n"/>
      <c r="K523" s="7" t="n"/>
      <c r="L523" s="7" t="n"/>
    </row>
    <row r="524" ht="15.75" customHeight="1" s="209">
      <c r="A524" s="7" t="n"/>
      <c r="B524" s="7" t="n"/>
      <c r="C524" s="7" t="n"/>
      <c r="D524" s="7" t="n"/>
      <c r="E524" s="7" t="n"/>
      <c r="F524" s="7" t="n"/>
      <c r="G524" s="7" t="n"/>
      <c r="K524" s="7" t="n"/>
      <c r="L524" s="7" t="n"/>
    </row>
    <row r="525" ht="15.75" customHeight="1" s="209">
      <c r="A525" s="7" t="n"/>
      <c r="B525" s="7" t="n"/>
      <c r="C525" s="7" t="n"/>
      <c r="D525" s="7" t="n"/>
      <c r="E525" s="7" t="n"/>
      <c r="F525" s="7" t="n"/>
      <c r="G525" s="7" t="n"/>
      <c r="K525" s="7" t="n"/>
      <c r="L525" s="7" t="n"/>
    </row>
    <row r="526" ht="15.75" customHeight="1" s="209">
      <c r="A526" s="7" t="n"/>
      <c r="B526" s="7" t="n"/>
      <c r="C526" s="7" t="n"/>
      <c r="D526" s="7" t="n"/>
      <c r="E526" s="7" t="n"/>
      <c r="F526" s="7" t="n"/>
      <c r="G526" s="7" t="n"/>
      <c r="K526" s="7" t="n"/>
      <c r="L526" s="7" t="n"/>
    </row>
    <row r="527" ht="15.75" customHeight="1" s="209">
      <c r="A527" s="7" t="n"/>
      <c r="B527" s="7" t="n"/>
      <c r="C527" s="7" t="n"/>
      <c r="D527" s="7" t="n"/>
      <c r="E527" s="7" t="n"/>
      <c r="F527" s="7" t="n"/>
      <c r="G527" s="7" t="n"/>
      <c r="K527" s="7" t="n"/>
      <c r="L527" s="7" t="n"/>
    </row>
    <row r="528" ht="15.75" customHeight="1" s="209">
      <c r="A528" s="7" t="n"/>
      <c r="B528" s="7" t="n"/>
      <c r="C528" s="7" t="n"/>
      <c r="D528" s="7" t="n"/>
      <c r="E528" s="7" t="n"/>
      <c r="F528" s="7" t="n"/>
      <c r="G528" s="7" t="n"/>
      <c r="K528" s="7" t="n"/>
      <c r="L528" s="7" t="n"/>
    </row>
    <row r="529" ht="15.75" customHeight="1" s="209">
      <c r="A529" s="7" t="n"/>
      <c r="B529" s="7" t="n"/>
      <c r="C529" s="7" t="n"/>
      <c r="D529" s="7" t="n"/>
      <c r="E529" s="7" t="n"/>
      <c r="F529" s="7" t="n"/>
      <c r="G529" s="7" t="n"/>
      <c r="K529" s="7" t="n"/>
      <c r="L529" s="7" t="n"/>
    </row>
    <row r="530" ht="15.75" customHeight="1" s="209">
      <c r="A530" s="7" t="n"/>
      <c r="B530" s="7" t="n"/>
      <c r="C530" s="7" t="n"/>
      <c r="D530" s="7" t="n"/>
      <c r="E530" s="7" t="n"/>
      <c r="F530" s="7" t="n"/>
      <c r="G530" s="7" t="n"/>
      <c r="K530" s="7" t="n"/>
      <c r="L530" s="7" t="n"/>
    </row>
    <row r="531" ht="15.75" customHeight="1" s="209">
      <c r="A531" s="7" t="n"/>
      <c r="B531" s="7" t="n"/>
      <c r="C531" s="7" t="n"/>
      <c r="D531" s="7" t="n"/>
      <c r="E531" s="7" t="n"/>
      <c r="F531" s="7" t="n"/>
      <c r="G531" s="7" t="n"/>
      <c r="K531" s="7" t="n"/>
      <c r="L531" s="7" t="n"/>
    </row>
    <row r="532" ht="15.75" customHeight="1" s="209">
      <c r="A532" s="7" t="n"/>
      <c r="B532" s="7" t="n"/>
      <c r="C532" s="7" t="n"/>
      <c r="D532" s="7" t="n"/>
      <c r="E532" s="7" t="n"/>
      <c r="F532" s="7" t="n"/>
      <c r="G532" s="7" t="n"/>
      <c r="K532" s="7" t="n"/>
      <c r="L532" s="7" t="n"/>
    </row>
    <row r="533" ht="15.75" customHeight="1" s="209">
      <c r="A533" s="7" t="n"/>
      <c r="B533" s="7" t="n"/>
      <c r="C533" s="7" t="n"/>
      <c r="D533" s="7" t="n"/>
      <c r="E533" s="7" t="n"/>
      <c r="F533" s="7" t="n"/>
      <c r="G533" s="7" t="n"/>
      <c r="K533" s="7" t="n"/>
      <c r="L533" s="7" t="n"/>
    </row>
    <row r="534" ht="15.75" customHeight="1" s="209">
      <c r="A534" s="7" t="n"/>
      <c r="B534" s="7" t="n"/>
      <c r="C534" s="7" t="n"/>
      <c r="D534" s="7" t="n"/>
      <c r="E534" s="7" t="n"/>
      <c r="F534" s="7" t="n"/>
      <c r="G534" s="7" t="n"/>
      <c r="K534" s="7" t="n"/>
      <c r="L534" s="7" t="n"/>
    </row>
    <row r="535" ht="15.75" customHeight="1" s="209">
      <c r="A535" s="7" t="n"/>
      <c r="B535" s="7" t="n"/>
      <c r="C535" s="7" t="n"/>
      <c r="D535" s="7" t="n"/>
      <c r="E535" s="7" t="n"/>
      <c r="F535" s="7" t="n"/>
      <c r="G535" s="7" t="n"/>
      <c r="K535" s="7" t="n"/>
      <c r="L535" s="7" t="n"/>
    </row>
    <row r="536" ht="15.75" customHeight="1" s="209">
      <c r="A536" s="7" t="n"/>
      <c r="B536" s="7" t="n"/>
      <c r="C536" s="7" t="n"/>
      <c r="D536" s="7" t="n"/>
      <c r="E536" s="7" t="n"/>
      <c r="F536" s="7" t="n"/>
      <c r="G536" s="7" t="n"/>
      <c r="K536" s="7" t="n"/>
      <c r="L536" s="7" t="n"/>
    </row>
    <row r="537" ht="15.75" customHeight="1" s="209">
      <c r="A537" s="7" t="n"/>
      <c r="B537" s="7" t="n"/>
      <c r="C537" s="7" t="n"/>
      <c r="D537" s="7" t="n"/>
      <c r="E537" s="7" t="n"/>
      <c r="F537" s="7" t="n"/>
      <c r="G537" s="7" t="n"/>
      <c r="K537" s="7" t="n"/>
      <c r="L537" s="7" t="n"/>
    </row>
    <row r="538" ht="15.75" customHeight="1" s="209">
      <c r="A538" s="7" t="n"/>
      <c r="B538" s="7" t="n"/>
      <c r="C538" s="7" t="n"/>
      <c r="D538" s="7" t="n"/>
      <c r="E538" s="7" t="n"/>
      <c r="F538" s="7" t="n"/>
      <c r="G538" s="7" t="n"/>
      <c r="K538" s="7" t="n"/>
      <c r="L538" s="7" t="n"/>
    </row>
    <row r="539" ht="15.75" customHeight="1" s="209">
      <c r="A539" s="7" t="n"/>
      <c r="B539" s="7" t="n"/>
      <c r="C539" s="7" t="n"/>
      <c r="D539" s="7" t="n"/>
      <c r="E539" s="7" t="n"/>
      <c r="F539" s="7" t="n"/>
      <c r="G539" s="7" t="n"/>
      <c r="K539" s="7" t="n"/>
      <c r="L539" s="7" t="n"/>
    </row>
    <row r="540" ht="15.75" customHeight="1" s="209">
      <c r="A540" s="7" t="n"/>
      <c r="B540" s="7" t="n"/>
      <c r="C540" s="7" t="n"/>
      <c r="D540" s="7" t="n"/>
      <c r="E540" s="7" t="n"/>
      <c r="F540" s="7" t="n"/>
      <c r="G540" s="7" t="n"/>
      <c r="K540" s="7" t="n"/>
      <c r="L540" s="7" t="n"/>
    </row>
    <row r="541" ht="15.75" customHeight="1" s="209">
      <c r="A541" s="7" t="n"/>
      <c r="B541" s="7" t="n"/>
      <c r="C541" s="7" t="n"/>
      <c r="D541" s="7" t="n"/>
      <c r="E541" s="7" t="n"/>
      <c r="F541" s="7" t="n"/>
      <c r="G541" s="7" t="n"/>
      <c r="K541" s="7" t="n"/>
      <c r="L541" s="7" t="n"/>
    </row>
    <row r="542" ht="15.75" customHeight="1" s="209">
      <c r="A542" s="7" t="n"/>
      <c r="B542" s="7" t="n"/>
      <c r="C542" s="7" t="n"/>
      <c r="D542" s="7" t="n"/>
      <c r="E542" s="7" t="n"/>
      <c r="F542" s="7" t="n"/>
      <c r="G542" s="7" t="n"/>
      <c r="K542" s="7" t="n"/>
      <c r="L542" s="7" t="n"/>
    </row>
    <row r="543" ht="15.75" customHeight="1" s="209">
      <c r="A543" s="7" t="n"/>
      <c r="B543" s="7" t="n"/>
      <c r="C543" s="7" t="n"/>
      <c r="D543" s="7" t="n"/>
      <c r="E543" s="7" t="n"/>
      <c r="F543" s="7" t="n"/>
      <c r="G543" s="7" t="n"/>
      <c r="K543" s="7" t="n"/>
      <c r="L543" s="7" t="n"/>
    </row>
    <row r="544" ht="15.75" customHeight="1" s="209">
      <c r="A544" s="7" t="n"/>
      <c r="B544" s="7" t="n"/>
      <c r="C544" s="7" t="n"/>
      <c r="D544" s="7" t="n"/>
      <c r="E544" s="7" t="n"/>
      <c r="F544" s="7" t="n"/>
      <c r="G544" s="7" t="n"/>
      <c r="K544" s="7" t="n"/>
      <c r="L544" s="7" t="n"/>
    </row>
    <row r="545" ht="15.75" customHeight="1" s="209">
      <c r="A545" s="7" t="n"/>
      <c r="B545" s="7" t="n"/>
      <c r="C545" s="7" t="n"/>
      <c r="D545" s="7" t="n"/>
      <c r="E545" s="7" t="n"/>
      <c r="F545" s="7" t="n"/>
      <c r="G545" s="7" t="n"/>
      <c r="K545" s="7" t="n"/>
      <c r="L545" s="7" t="n"/>
    </row>
    <row r="546" ht="15.75" customHeight="1" s="209">
      <c r="A546" s="7" t="n"/>
      <c r="B546" s="7" t="n"/>
      <c r="C546" s="7" t="n"/>
      <c r="D546" s="7" t="n"/>
      <c r="E546" s="7" t="n"/>
      <c r="F546" s="7" t="n"/>
      <c r="G546" s="7" t="n"/>
      <c r="K546" s="7" t="n"/>
      <c r="L546" s="7" t="n"/>
    </row>
    <row r="547" ht="15.75" customHeight="1" s="209">
      <c r="A547" s="7" t="n"/>
      <c r="B547" s="7" t="n"/>
      <c r="C547" s="7" t="n"/>
      <c r="D547" s="7" t="n"/>
      <c r="E547" s="7" t="n"/>
      <c r="F547" s="7" t="n"/>
      <c r="G547" s="7" t="n"/>
      <c r="K547" s="7" t="n"/>
      <c r="L547" s="7" t="n"/>
    </row>
    <row r="548" ht="15.75" customHeight="1" s="209">
      <c r="A548" s="7" t="n"/>
      <c r="B548" s="7" t="n"/>
      <c r="C548" s="7" t="n"/>
      <c r="D548" s="7" t="n"/>
      <c r="E548" s="7" t="n"/>
      <c r="F548" s="7" t="n"/>
      <c r="G548" s="7" t="n"/>
      <c r="K548" s="7" t="n"/>
      <c r="L548" s="7" t="n"/>
    </row>
    <row r="549" ht="15.75" customHeight="1" s="209">
      <c r="A549" s="7" t="n"/>
      <c r="B549" s="7" t="n"/>
      <c r="C549" s="7" t="n"/>
      <c r="D549" s="7" t="n"/>
      <c r="E549" s="7" t="n"/>
      <c r="F549" s="7" t="n"/>
      <c r="G549" s="7" t="n"/>
      <c r="K549" s="7" t="n"/>
      <c r="L549" s="7" t="n"/>
    </row>
    <row r="550" ht="15.75" customHeight="1" s="209">
      <c r="A550" s="7" t="n"/>
      <c r="B550" s="7" t="n"/>
      <c r="C550" s="7" t="n"/>
      <c r="D550" s="7" t="n"/>
      <c r="E550" s="7" t="n"/>
      <c r="F550" s="7" t="n"/>
      <c r="G550" s="7" t="n"/>
      <c r="K550" s="7" t="n"/>
      <c r="L550" s="7" t="n"/>
    </row>
    <row r="551" ht="15.75" customHeight="1" s="209">
      <c r="A551" s="7" t="n"/>
      <c r="B551" s="7" t="n"/>
      <c r="C551" s="7" t="n"/>
      <c r="D551" s="7" t="n"/>
      <c r="E551" s="7" t="n"/>
      <c r="F551" s="7" t="n"/>
      <c r="G551" s="7" t="n"/>
      <c r="K551" s="7" t="n"/>
      <c r="L551" s="7" t="n"/>
    </row>
    <row r="552" ht="15.75" customHeight="1" s="209">
      <c r="A552" s="7" t="n"/>
      <c r="B552" s="7" t="n"/>
      <c r="C552" s="7" t="n"/>
      <c r="D552" s="7" t="n"/>
      <c r="E552" s="7" t="n"/>
      <c r="F552" s="7" t="n"/>
      <c r="G552" s="7" t="n"/>
      <c r="K552" s="7" t="n"/>
      <c r="L552" s="7" t="n"/>
    </row>
    <row r="553" ht="15.75" customHeight="1" s="209">
      <c r="A553" s="7" t="n"/>
      <c r="B553" s="7" t="n"/>
      <c r="C553" s="7" t="n"/>
      <c r="D553" s="7" t="n"/>
      <c r="E553" s="7" t="n"/>
      <c r="F553" s="7" t="n"/>
      <c r="G553" s="7" t="n"/>
      <c r="K553" s="7" t="n"/>
      <c r="L553" s="7" t="n"/>
    </row>
    <row r="554" ht="15.75" customHeight="1" s="209">
      <c r="A554" s="7" t="n"/>
      <c r="B554" s="7" t="n"/>
      <c r="C554" s="7" t="n"/>
      <c r="D554" s="7" t="n"/>
      <c r="E554" s="7" t="n"/>
      <c r="F554" s="7" t="n"/>
      <c r="G554" s="7" t="n"/>
      <c r="K554" s="7" t="n"/>
      <c r="L554" s="7" t="n"/>
    </row>
    <row r="555" ht="15.75" customHeight="1" s="209">
      <c r="A555" s="7" t="n"/>
      <c r="B555" s="7" t="n"/>
      <c r="C555" s="7" t="n"/>
      <c r="D555" s="7" t="n"/>
      <c r="E555" s="7" t="n"/>
      <c r="F555" s="7" t="n"/>
      <c r="G555" s="7" t="n"/>
      <c r="K555" s="7" t="n"/>
      <c r="L555" s="7" t="n"/>
    </row>
    <row r="556" ht="15.75" customHeight="1" s="209">
      <c r="A556" s="7" t="n"/>
      <c r="B556" s="7" t="n"/>
      <c r="C556" s="7" t="n"/>
      <c r="D556" s="7" t="n"/>
      <c r="E556" s="7" t="n"/>
      <c r="F556" s="7" t="n"/>
      <c r="G556" s="7" t="n"/>
      <c r="K556" s="7" t="n"/>
      <c r="L556" s="7" t="n"/>
    </row>
    <row r="557" ht="15.75" customHeight="1" s="209">
      <c r="A557" s="7" t="n"/>
      <c r="B557" s="7" t="n"/>
      <c r="C557" s="7" t="n"/>
      <c r="D557" s="7" t="n"/>
      <c r="E557" s="7" t="n"/>
      <c r="F557" s="7" t="n"/>
      <c r="G557" s="7" t="n"/>
      <c r="K557" s="7" t="n"/>
      <c r="L557" s="7" t="n"/>
    </row>
    <row r="558" ht="15.75" customHeight="1" s="209">
      <c r="A558" s="7" t="n"/>
      <c r="B558" s="7" t="n"/>
      <c r="C558" s="7" t="n"/>
      <c r="D558" s="7" t="n"/>
      <c r="E558" s="7" t="n"/>
      <c r="F558" s="7" t="n"/>
      <c r="G558" s="7" t="n"/>
      <c r="K558" s="7" t="n"/>
      <c r="L558" s="7" t="n"/>
    </row>
    <row r="559" ht="15.75" customHeight="1" s="209">
      <c r="A559" s="7" t="n"/>
      <c r="B559" s="7" t="n"/>
      <c r="C559" s="7" t="n"/>
      <c r="D559" s="7" t="n"/>
      <c r="E559" s="7" t="n"/>
      <c r="F559" s="7" t="n"/>
      <c r="G559" s="7" t="n"/>
      <c r="K559" s="7" t="n"/>
      <c r="L559" s="7" t="n"/>
    </row>
    <row r="560" ht="15.75" customHeight="1" s="209">
      <c r="A560" s="7" t="n"/>
      <c r="B560" s="7" t="n"/>
      <c r="C560" s="7" t="n"/>
      <c r="D560" s="7" t="n"/>
      <c r="E560" s="7" t="n"/>
      <c r="F560" s="7" t="n"/>
      <c r="G560" s="7" t="n"/>
      <c r="K560" s="7" t="n"/>
      <c r="L560" s="7" t="n"/>
    </row>
    <row r="561" ht="15.75" customHeight="1" s="209">
      <c r="A561" s="7" t="n"/>
      <c r="B561" s="7" t="n"/>
      <c r="C561" s="7" t="n"/>
      <c r="D561" s="7" t="n"/>
      <c r="E561" s="7" t="n"/>
      <c r="F561" s="7" t="n"/>
      <c r="G561" s="7" t="n"/>
      <c r="K561" s="7" t="n"/>
      <c r="L561" s="7" t="n"/>
    </row>
    <row r="562" ht="15.75" customHeight="1" s="209">
      <c r="A562" s="7" t="n"/>
      <c r="B562" s="7" t="n"/>
      <c r="C562" s="7" t="n"/>
      <c r="D562" s="7" t="n"/>
      <c r="E562" s="7" t="n"/>
      <c r="F562" s="7" t="n"/>
      <c r="G562" s="7" t="n"/>
      <c r="K562" s="7" t="n"/>
      <c r="L562" s="7" t="n"/>
    </row>
    <row r="563" ht="15.75" customHeight="1" s="209">
      <c r="A563" s="7" t="n"/>
      <c r="B563" s="7" t="n"/>
      <c r="C563" s="7" t="n"/>
      <c r="D563" s="7" t="n"/>
      <c r="E563" s="7" t="n"/>
      <c r="F563" s="7" t="n"/>
      <c r="G563" s="7" t="n"/>
      <c r="K563" s="7" t="n"/>
      <c r="L563" s="7" t="n"/>
    </row>
    <row r="564" ht="15.75" customHeight="1" s="209">
      <c r="A564" s="7" t="n"/>
      <c r="B564" s="7" t="n"/>
      <c r="C564" s="7" t="n"/>
      <c r="D564" s="7" t="n"/>
      <c r="E564" s="7" t="n"/>
      <c r="F564" s="7" t="n"/>
      <c r="G564" s="7" t="n"/>
      <c r="K564" s="7" t="n"/>
      <c r="L564" s="7" t="n"/>
    </row>
    <row r="565" ht="15.75" customHeight="1" s="209">
      <c r="A565" s="7" t="n"/>
      <c r="B565" s="7" t="n"/>
      <c r="C565" s="7" t="n"/>
      <c r="D565" s="7" t="n"/>
      <c r="E565" s="7" t="n"/>
      <c r="F565" s="7" t="n"/>
      <c r="G565" s="7" t="n"/>
      <c r="K565" s="7" t="n"/>
      <c r="L565" s="7" t="n"/>
    </row>
    <row r="566" ht="15.75" customHeight="1" s="209">
      <c r="A566" s="7" t="n"/>
      <c r="B566" s="7" t="n"/>
      <c r="C566" s="7" t="n"/>
      <c r="D566" s="7" t="n"/>
      <c r="E566" s="7" t="n"/>
      <c r="F566" s="7" t="n"/>
      <c r="G566" s="7" t="n"/>
      <c r="K566" s="7" t="n"/>
      <c r="L566" s="7" t="n"/>
    </row>
    <row r="567" ht="15.75" customHeight="1" s="209">
      <c r="A567" s="7" t="n"/>
      <c r="B567" s="7" t="n"/>
      <c r="C567" s="7" t="n"/>
      <c r="D567" s="7" t="n"/>
      <c r="E567" s="7" t="n"/>
      <c r="F567" s="7" t="n"/>
      <c r="G567" s="7" t="n"/>
      <c r="K567" s="7" t="n"/>
      <c r="L567" s="7" t="n"/>
    </row>
    <row r="568" ht="15.75" customHeight="1" s="209">
      <c r="A568" s="7" t="n"/>
      <c r="B568" s="7" t="n"/>
      <c r="C568" s="7" t="n"/>
      <c r="D568" s="7" t="n"/>
      <c r="E568" s="7" t="n"/>
      <c r="F568" s="7" t="n"/>
      <c r="G568" s="7" t="n"/>
      <c r="K568" s="7" t="n"/>
      <c r="L568" s="7" t="n"/>
    </row>
    <row r="569" ht="15.75" customHeight="1" s="209">
      <c r="A569" s="7" t="n"/>
      <c r="B569" s="7" t="n"/>
      <c r="C569" s="7" t="n"/>
      <c r="D569" s="7" t="n"/>
      <c r="E569" s="7" t="n"/>
      <c r="F569" s="7" t="n"/>
      <c r="G569" s="7" t="n"/>
      <c r="K569" s="7" t="n"/>
      <c r="L569" s="7" t="n"/>
    </row>
    <row r="570" ht="15.75" customHeight="1" s="209">
      <c r="A570" s="7" t="n"/>
      <c r="B570" s="7" t="n"/>
      <c r="C570" s="7" t="n"/>
      <c r="D570" s="7" t="n"/>
      <c r="E570" s="7" t="n"/>
      <c r="F570" s="7" t="n"/>
      <c r="G570" s="7" t="n"/>
      <c r="K570" s="7" t="n"/>
      <c r="L570" s="7" t="n"/>
    </row>
    <row r="571" ht="15.75" customHeight="1" s="209">
      <c r="A571" s="7" t="n"/>
      <c r="B571" s="7" t="n"/>
      <c r="C571" s="7" t="n"/>
      <c r="D571" s="7" t="n"/>
      <c r="E571" s="7" t="n"/>
      <c r="F571" s="7" t="n"/>
      <c r="G571" s="7" t="n"/>
      <c r="K571" s="7" t="n"/>
      <c r="L571" s="7" t="n"/>
    </row>
    <row r="572" ht="15.75" customHeight="1" s="209">
      <c r="A572" s="7" t="n"/>
      <c r="B572" s="7" t="n"/>
      <c r="C572" s="7" t="n"/>
      <c r="D572" s="7" t="n"/>
      <c r="E572" s="7" t="n"/>
      <c r="F572" s="7" t="n"/>
      <c r="G572" s="7" t="n"/>
      <c r="K572" s="7" t="n"/>
      <c r="L572" s="7" t="n"/>
    </row>
    <row r="573" ht="15.75" customHeight="1" s="209">
      <c r="A573" s="7" t="n"/>
      <c r="B573" s="7" t="n"/>
      <c r="C573" s="7" t="n"/>
      <c r="D573" s="7" t="n"/>
      <c r="E573" s="7" t="n"/>
      <c r="F573" s="7" t="n"/>
      <c r="G573" s="7" t="n"/>
      <c r="K573" s="7" t="n"/>
      <c r="L573" s="7" t="n"/>
    </row>
    <row r="574" ht="15.75" customHeight="1" s="209">
      <c r="A574" s="7" t="n"/>
      <c r="B574" s="7" t="n"/>
      <c r="C574" s="7" t="n"/>
      <c r="D574" s="7" t="n"/>
      <c r="E574" s="7" t="n"/>
      <c r="F574" s="7" t="n"/>
      <c r="G574" s="7" t="n"/>
      <c r="K574" s="7" t="n"/>
      <c r="L574" s="7" t="n"/>
    </row>
    <row r="575" ht="15.75" customHeight="1" s="209">
      <c r="A575" s="7" t="n"/>
      <c r="B575" s="7" t="n"/>
      <c r="C575" s="7" t="n"/>
      <c r="D575" s="7" t="n"/>
      <c r="E575" s="7" t="n"/>
      <c r="F575" s="7" t="n"/>
      <c r="G575" s="7" t="n"/>
      <c r="K575" s="7" t="n"/>
      <c r="L575" s="7" t="n"/>
    </row>
    <row r="576" ht="15.75" customHeight="1" s="209">
      <c r="A576" s="7" t="n"/>
      <c r="B576" s="7" t="n"/>
      <c r="C576" s="7" t="n"/>
      <c r="D576" s="7" t="n"/>
      <c r="E576" s="7" t="n"/>
      <c r="F576" s="7" t="n"/>
      <c r="G576" s="7" t="n"/>
      <c r="K576" s="7" t="n"/>
      <c r="L576" s="7" t="n"/>
    </row>
    <row r="577" ht="15.75" customHeight="1" s="209">
      <c r="A577" s="7" t="n"/>
      <c r="B577" s="7" t="n"/>
      <c r="C577" s="7" t="n"/>
      <c r="D577" s="7" t="n"/>
      <c r="E577" s="7" t="n"/>
      <c r="F577" s="7" t="n"/>
      <c r="G577" s="7" t="n"/>
      <c r="K577" s="7" t="n"/>
      <c r="L577" s="7" t="n"/>
    </row>
    <row r="578" ht="15.75" customHeight="1" s="209">
      <c r="A578" s="7" t="n"/>
      <c r="B578" s="7" t="n"/>
      <c r="C578" s="7" t="n"/>
      <c r="D578" s="7" t="n"/>
      <c r="E578" s="7" t="n"/>
      <c r="F578" s="7" t="n"/>
      <c r="G578" s="7" t="n"/>
      <c r="K578" s="7" t="n"/>
      <c r="L578" s="7" t="n"/>
    </row>
    <row r="579" ht="15.75" customHeight="1" s="209">
      <c r="A579" s="7" t="n"/>
      <c r="B579" s="7" t="n"/>
      <c r="C579" s="7" t="n"/>
      <c r="D579" s="7" t="n"/>
      <c r="E579" s="7" t="n"/>
      <c r="F579" s="7" t="n"/>
      <c r="G579" s="7" t="n"/>
      <c r="K579" s="7" t="n"/>
      <c r="L579" s="7" t="n"/>
    </row>
    <row r="580" ht="15.75" customHeight="1" s="209">
      <c r="A580" s="7" t="n"/>
      <c r="B580" s="7" t="n"/>
      <c r="C580" s="7" t="n"/>
      <c r="D580" s="7" t="n"/>
      <c r="E580" s="7" t="n"/>
      <c r="F580" s="7" t="n"/>
      <c r="G580" s="7" t="n"/>
      <c r="K580" s="7" t="n"/>
      <c r="L580" s="7" t="n"/>
    </row>
    <row r="581" ht="15.75" customHeight="1" s="209">
      <c r="A581" s="7" t="n"/>
      <c r="B581" s="7" t="n"/>
      <c r="C581" s="7" t="n"/>
      <c r="D581" s="7" t="n"/>
      <c r="E581" s="7" t="n"/>
      <c r="F581" s="7" t="n"/>
      <c r="G581" s="7" t="n"/>
      <c r="K581" s="7" t="n"/>
      <c r="L581" s="7" t="n"/>
    </row>
    <row r="582" ht="15.75" customHeight="1" s="209">
      <c r="A582" s="7" t="n"/>
      <c r="B582" s="7" t="n"/>
      <c r="C582" s="7" t="n"/>
      <c r="D582" s="7" t="n"/>
      <c r="E582" s="7" t="n"/>
      <c r="F582" s="7" t="n"/>
      <c r="G582" s="7" t="n"/>
      <c r="K582" s="7" t="n"/>
      <c r="L582" s="7" t="n"/>
    </row>
    <row r="583" ht="15.75" customHeight="1" s="209">
      <c r="A583" s="7" t="n"/>
      <c r="B583" s="7" t="n"/>
      <c r="C583" s="7" t="n"/>
      <c r="D583" s="7" t="n"/>
      <c r="E583" s="7" t="n"/>
      <c r="F583" s="7" t="n"/>
      <c r="G583" s="7" t="n"/>
      <c r="K583" s="7" t="n"/>
      <c r="L583" s="7" t="n"/>
    </row>
    <row r="584" ht="15.75" customHeight="1" s="209">
      <c r="A584" s="7" t="n"/>
      <c r="B584" s="7" t="n"/>
      <c r="C584" s="7" t="n"/>
      <c r="D584" s="7" t="n"/>
      <c r="E584" s="7" t="n"/>
      <c r="F584" s="7" t="n"/>
      <c r="G584" s="7" t="n"/>
      <c r="K584" s="7" t="n"/>
      <c r="L584" s="7" t="n"/>
    </row>
    <row r="585" ht="15.75" customHeight="1" s="209">
      <c r="A585" s="7" t="n"/>
      <c r="B585" s="7" t="n"/>
      <c r="C585" s="7" t="n"/>
      <c r="D585" s="7" t="n"/>
      <c r="E585" s="7" t="n"/>
      <c r="F585" s="7" t="n"/>
      <c r="G585" s="7" t="n"/>
      <c r="K585" s="7" t="n"/>
      <c r="L585" s="7" t="n"/>
    </row>
    <row r="586" ht="15.75" customHeight="1" s="209">
      <c r="A586" s="7" t="n"/>
      <c r="B586" s="7" t="n"/>
      <c r="C586" s="7" t="n"/>
      <c r="D586" s="7" t="n"/>
      <c r="E586" s="7" t="n"/>
      <c r="F586" s="7" t="n"/>
      <c r="G586" s="7" t="n"/>
      <c r="K586" s="7" t="n"/>
      <c r="L586" s="7" t="n"/>
    </row>
    <row r="587" ht="15.75" customHeight="1" s="209">
      <c r="A587" s="7" t="n"/>
      <c r="B587" s="7" t="n"/>
      <c r="C587" s="7" t="n"/>
      <c r="D587" s="7" t="n"/>
      <c r="E587" s="7" t="n"/>
      <c r="F587" s="7" t="n"/>
      <c r="G587" s="7" t="n"/>
      <c r="K587" s="7" t="n"/>
      <c r="L587" s="7" t="n"/>
    </row>
    <row r="588" ht="15.75" customHeight="1" s="209">
      <c r="A588" s="7" t="n"/>
      <c r="B588" s="7" t="n"/>
      <c r="C588" s="7" t="n"/>
      <c r="D588" s="7" t="n"/>
      <c r="E588" s="7" t="n"/>
      <c r="F588" s="7" t="n"/>
      <c r="G588" s="7" t="n"/>
      <c r="K588" s="7" t="n"/>
      <c r="L588" s="7" t="n"/>
    </row>
    <row r="589" ht="15.75" customHeight="1" s="209">
      <c r="A589" s="7" t="n"/>
      <c r="B589" s="7" t="n"/>
      <c r="C589" s="7" t="n"/>
      <c r="D589" s="7" t="n"/>
      <c r="E589" s="7" t="n"/>
      <c r="F589" s="7" t="n"/>
      <c r="G589" s="7" t="n"/>
      <c r="K589" s="7" t="n"/>
      <c r="L589" s="7" t="n"/>
    </row>
    <row r="590" ht="15.75" customHeight="1" s="209">
      <c r="A590" s="7" t="n"/>
      <c r="B590" s="7" t="n"/>
      <c r="C590" s="7" t="n"/>
      <c r="D590" s="7" t="n"/>
      <c r="E590" s="7" t="n"/>
      <c r="F590" s="7" t="n"/>
      <c r="G590" s="7" t="n"/>
      <c r="K590" s="7" t="n"/>
      <c r="L590" s="7" t="n"/>
    </row>
    <row r="591" ht="15.75" customHeight="1" s="209">
      <c r="A591" s="7" t="n"/>
      <c r="B591" s="7" t="n"/>
      <c r="C591" s="7" t="n"/>
      <c r="D591" s="7" t="n"/>
      <c r="E591" s="7" t="n"/>
      <c r="F591" s="7" t="n"/>
      <c r="G591" s="7" t="n"/>
      <c r="K591" s="7" t="n"/>
      <c r="L591" s="7" t="n"/>
    </row>
    <row r="592" ht="15.75" customHeight="1" s="209">
      <c r="A592" s="7" t="n"/>
      <c r="B592" s="7" t="n"/>
      <c r="C592" s="7" t="n"/>
      <c r="D592" s="7" t="n"/>
      <c r="E592" s="7" t="n"/>
      <c r="F592" s="7" t="n"/>
      <c r="G592" s="7" t="n"/>
      <c r="K592" s="7" t="n"/>
      <c r="L592" s="7" t="n"/>
    </row>
    <row r="593" ht="15.75" customHeight="1" s="209">
      <c r="A593" s="7" t="n"/>
      <c r="B593" s="7" t="n"/>
      <c r="C593" s="7" t="n"/>
      <c r="D593" s="7" t="n"/>
      <c r="E593" s="7" t="n"/>
      <c r="F593" s="7" t="n"/>
      <c r="G593" s="7" t="n"/>
      <c r="K593" s="7" t="n"/>
      <c r="L593" s="7" t="n"/>
    </row>
    <row r="594" ht="15.75" customHeight="1" s="209">
      <c r="A594" s="7" t="n"/>
      <c r="B594" s="7" t="n"/>
      <c r="C594" s="7" t="n"/>
      <c r="D594" s="7" t="n"/>
      <c r="E594" s="7" t="n"/>
      <c r="F594" s="7" t="n"/>
      <c r="G594" s="7" t="n"/>
      <c r="K594" s="7" t="n"/>
      <c r="L594" s="7" t="n"/>
    </row>
    <row r="595" ht="15.75" customHeight="1" s="209">
      <c r="A595" s="7" t="n"/>
      <c r="B595" s="7" t="n"/>
      <c r="C595" s="7" t="n"/>
      <c r="D595" s="7" t="n"/>
      <c r="E595" s="7" t="n"/>
      <c r="F595" s="7" t="n"/>
      <c r="G595" s="7" t="n"/>
      <c r="K595" s="7" t="n"/>
      <c r="L595" s="7" t="n"/>
    </row>
    <row r="596" ht="15.75" customHeight="1" s="209">
      <c r="A596" s="7" t="n"/>
      <c r="B596" s="7" t="n"/>
      <c r="C596" s="7" t="n"/>
      <c r="D596" s="7" t="n"/>
      <c r="E596" s="7" t="n"/>
      <c r="F596" s="7" t="n"/>
      <c r="G596" s="7" t="n"/>
      <c r="K596" s="7" t="n"/>
      <c r="L596" s="7" t="n"/>
    </row>
    <row r="597" ht="15.75" customHeight="1" s="209">
      <c r="A597" s="7" t="n"/>
      <c r="B597" s="7" t="n"/>
      <c r="C597" s="7" t="n"/>
      <c r="D597" s="7" t="n"/>
      <c r="E597" s="7" t="n"/>
      <c r="F597" s="7" t="n"/>
      <c r="G597" s="7" t="n"/>
      <c r="K597" s="7" t="n"/>
      <c r="L597" s="7" t="n"/>
    </row>
    <row r="598" ht="15.75" customHeight="1" s="209">
      <c r="A598" s="7" t="n"/>
      <c r="B598" s="7" t="n"/>
      <c r="C598" s="7" t="n"/>
      <c r="D598" s="7" t="n"/>
      <c r="E598" s="7" t="n"/>
      <c r="F598" s="7" t="n"/>
      <c r="G598" s="7" t="n"/>
      <c r="K598" s="7" t="n"/>
      <c r="L598" s="7" t="n"/>
    </row>
    <row r="599" ht="15.75" customHeight="1" s="209">
      <c r="A599" s="7" t="n"/>
      <c r="B599" s="7" t="n"/>
      <c r="C599" s="7" t="n"/>
      <c r="D599" s="7" t="n"/>
      <c r="E599" s="7" t="n"/>
      <c r="F599" s="7" t="n"/>
      <c r="G599" s="7" t="n"/>
      <c r="K599" s="7" t="n"/>
      <c r="L599" s="7" t="n"/>
    </row>
    <row r="600" ht="15.75" customHeight="1" s="209">
      <c r="A600" s="7" t="n"/>
      <c r="B600" s="7" t="n"/>
      <c r="C600" s="7" t="n"/>
      <c r="D600" s="7" t="n"/>
      <c r="E600" s="7" t="n"/>
      <c r="F600" s="7" t="n"/>
      <c r="G600" s="7" t="n"/>
      <c r="K600" s="7" t="n"/>
      <c r="L600" s="7" t="n"/>
    </row>
    <row r="601" ht="15.75" customHeight="1" s="209">
      <c r="A601" s="7" t="n"/>
      <c r="B601" s="7" t="n"/>
      <c r="C601" s="7" t="n"/>
      <c r="D601" s="7" t="n"/>
      <c r="E601" s="7" t="n"/>
      <c r="F601" s="7" t="n"/>
      <c r="G601" s="7" t="n"/>
      <c r="K601" s="7" t="n"/>
      <c r="L601" s="7" t="n"/>
    </row>
    <row r="602" ht="15.75" customHeight="1" s="209">
      <c r="A602" s="7" t="n"/>
      <c r="B602" s="7" t="n"/>
      <c r="C602" s="7" t="n"/>
      <c r="D602" s="7" t="n"/>
      <c r="E602" s="7" t="n"/>
      <c r="F602" s="7" t="n"/>
      <c r="G602" s="7" t="n"/>
      <c r="K602" s="7" t="n"/>
      <c r="L602" s="7" t="n"/>
    </row>
    <row r="603" ht="15.75" customHeight="1" s="209">
      <c r="A603" s="7" t="n"/>
      <c r="B603" s="7" t="n"/>
      <c r="C603" s="7" t="n"/>
      <c r="D603" s="7" t="n"/>
      <c r="E603" s="7" t="n"/>
      <c r="F603" s="7" t="n"/>
      <c r="G603" s="7" t="n"/>
      <c r="K603" s="7" t="n"/>
      <c r="L603" s="7" t="n"/>
    </row>
    <row r="604" ht="15.75" customHeight="1" s="209">
      <c r="A604" s="7" t="n"/>
      <c r="B604" s="7" t="n"/>
      <c r="C604" s="7" t="n"/>
      <c r="D604" s="7" t="n"/>
      <c r="E604" s="7" t="n"/>
      <c r="F604" s="7" t="n"/>
      <c r="G604" s="7" t="n"/>
      <c r="K604" s="7" t="n"/>
      <c r="L604" s="7" t="n"/>
    </row>
    <row r="605" ht="15.75" customHeight="1" s="209">
      <c r="A605" s="7" t="n"/>
      <c r="B605" s="7" t="n"/>
      <c r="C605" s="7" t="n"/>
      <c r="D605" s="7" t="n"/>
      <c r="E605" s="7" t="n"/>
      <c r="F605" s="7" t="n"/>
      <c r="G605" s="7" t="n"/>
      <c r="K605" s="7" t="n"/>
      <c r="L605" s="7" t="n"/>
    </row>
    <row r="606" ht="15.75" customHeight="1" s="209">
      <c r="A606" s="7" t="n"/>
      <c r="B606" s="7" t="n"/>
      <c r="C606" s="7" t="n"/>
      <c r="D606" s="7" t="n"/>
      <c r="E606" s="7" t="n"/>
      <c r="F606" s="7" t="n"/>
      <c r="G606" s="7" t="n"/>
      <c r="K606" s="7" t="n"/>
      <c r="L606" s="7" t="n"/>
    </row>
    <row r="607" ht="15.75" customHeight="1" s="209">
      <c r="A607" s="7" t="n"/>
      <c r="B607" s="7" t="n"/>
      <c r="C607" s="7" t="n"/>
      <c r="D607" s="7" t="n"/>
      <c r="E607" s="7" t="n"/>
      <c r="F607" s="7" t="n"/>
      <c r="G607" s="7" t="n"/>
      <c r="K607" s="7" t="n"/>
      <c r="L607" s="7" t="n"/>
    </row>
    <row r="608" ht="15.75" customHeight="1" s="209">
      <c r="A608" s="7" t="n"/>
      <c r="B608" s="7" t="n"/>
      <c r="C608" s="7" t="n"/>
      <c r="D608" s="7" t="n"/>
      <c r="E608" s="7" t="n"/>
      <c r="F608" s="7" t="n"/>
      <c r="G608" s="7" t="n"/>
      <c r="K608" s="7" t="n"/>
      <c r="L608" s="7" t="n"/>
    </row>
    <row r="609" ht="15.75" customHeight="1" s="209">
      <c r="A609" s="7" t="n"/>
      <c r="B609" s="7" t="n"/>
      <c r="C609" s="7" t="n"/>
      <c r="D609" s="7" t="n"/>
      <c r="E609" s="7" t="n"/>
      <c r="F609" s="7" t="n"/>
      <c r="G609" s="7" t="n"/>
      <c r="K609" s="7" t="n"/>
      <c r="L609" s="7" t="n"/>
    </row>
    <row r="610" ht="15.75" customHeight="1" s="209">
      <c r="A610" s="7" t="n"/>
      <c r="B610" s="7" t="n"/>
      <c r="C610" s="7" t="n"/>
      <c r="D610" s="7" t="n"/>
      <c r="E610" s="7" t="n"/>
      <c r="F610" s="7" t="n"/>
      <c r="G610" s="7" t="n"/>
      <c r="K610" s="7" t="n"/>
      <c r="L610" s="7" t="n"/>
    </row>
    <row r="611" ht="15.75" customHeight="1" s="209">
      <c r="A611" s="7" t="n"/>
      <c r="B611" s="7" t="n"/>
      <c r="C611" s="7" t="n"/>
      <c r="D611" s="7" t="n"/>
      <c r="E611" s="7" t="n"/>
      <c r="F611" s="7" t="n"/>
      <c r="G611" s="7" t="n"/>
      <c r="K611" s="7" t="n"/>
      <c r="L611" s="7" t="n"/>
    </row>
    <row r="612" ht="15.75" customHeight="1" s="209">
      <c r="A612" s="7" t="n"/>
      <c r="B612" s="7" t="n"/>
      <c r="C612" s="7" t="n"/>
      <c r="D612" s="7" t="n"/>
      <c r="E612" s="7" t="n"/>
      <c r="F612" s="7" t="n"/>
      <c r="G612" s="7" t="n"/>
      <c r="K612" s="7" t="n"/>
      <c r="L612" s="7" t="n"/>
    </row>
    <row r="613" ht="15.75" customHeight="1" s="209">
      <c r="A613" s="7" t="n"/>
      <c r="B613" s="7" t="n"/>
      <c r="C613" s="7" t="n"/>
      <c r="D613" s="7" t="n"/>
      <c r="E613" s="7" t="n"/>
      <c r="F613" s="7" t="n"/>
      <c r="G613" s="7" t="n"/>
      <c r="K613" s="7" t="n"/>
      <c r="L613" s="7" t="n"/>
    </row>
    <row r="614" ht="15.75" customHeight="1" s="209">
      <c r="A614" s="7" t="n"/>
      <c r="B614" s="7" t="n"/>
      <c r="C614" s="7" t="n"/>
      <c r="D614" s="7" t="n"/>
      <c r="E614" s="7" t="n"/>
      <c r="F614" s="7" t="n"/>
      <c r="G614" s="7" t="n"/>
      <c r="K614" s="7" t="n"/>
      <c r="L614" s="7" t="n"/>
    </row>
    <row r="615" ht="15.75" customHeight="1" s="209">
      <c r="A615" s="7" t="n"/>
      <c r="B615" s="7" t="n"/>
      <c r="C615" s="7" t="n"/>
      <c r="D615" s="7" t="n"/>
      <c r="E615" s="7" t="n"/>
      <c r="F615" s="7" t="n"/>
      <c r="G615" s="7" t="n"/>
      <c r="K615" s="7" t="n"/>
      <c r="L615" s="7" t="n"/>
    </row>
    <row r="616" ht="15.75" customHeight="1" s="209">
      <c r="A616" s="7" t="n"/>
      <c r="B616" s="7" t="n"/>
      <c r="C616" s="7" t="n"/>
      <c r="D616" s="7" t="n"/>
      <c r="E616" s="7" t="n"/>
      <c r="F616" s="7" t="n"/>
      <c r="G616" s="7" t="n"/>
      <c r="K616" s="7" t="n"/>
      <c r="L616" s="7" t="n"/>
    </row>
    <row r="617" ht="15.75" customHeight="1" s="209">
      <c r="A617" s="7" t="n"/>
      <c r="B617" s="7" t="n"/>
      <c r="C617" s="7" t="n"/>
      <c r="D617" s="7" t="n"/>
      <c r="E617" s="7" t="n"/>
      <c r="F617" s="7" t="n"/>
      <c r="G617" s="7" t="n"/>
      <c r="K617" s="7" t="n"/>
      <c r="L617" s="7" t="n"/>
    </row>
    <row r="618" ht="15.75" customHeight="1" s="209">
      <c r="A618" s="7" t="n"/>
      <c r="B618" s="7" t="n"/>
      <c r="C618" s="7" t="n"/>
      <c r="D618" s="7" t="n"/>
      <c r="E618" s="7" t="n"/>
      <c r="F618" s="7" t="n"/>
      <c r="G618" s="7" t="n"/>
      <c r="K618" s="7" t="n"/>
      <c r="L618" s="7" t="n"/>
    </row>
    <row r="619" ht="15.75" customHeight="1" s="209">
      <c r="A619" s="7" t="n"/>
      <c r="B619" s="7" t="n"/>
      <c r="C619" s="7" t="n"/>
      <c r="D619" s="7" t="n"/>
      <c r="E619" s="7" t="n"/>
      <c r="F619" s="7" t="n"/>
      <c r="G619" s="7" t="n"/>
      <c r="K619" s="7" t="n"/>
      <c r="L619" s="7" t="n"/>
    </row>
    <row r="620" ht="15.75" customHeight="1" s="209">
      <c r="A620" s="7" t="n"/>
      <c r="B620" s="7" t="n"/>
      <c r="C620" s="7" t="n"/>
      <c r="D620" s="7" t="n"/>
      <c r="E620" s="7" t="n"/>
      <c r="F620" s="7" t="n"/>
      <c r="G620" s="7" t="n"/>
      <c r="K620" s="7" t="n"/>
      <c r="L620" s="7" t="n"/>
    </row>
    <row r="621" ht="15.75" customHeight="1" s="209">
      <c r="A621" s="7" t="n"/>
      <c r="B621" s="7" t="n"/>
      <c r="C621" s="7" t="n"/>
      <c r="D621" s="7" t="n"/>
      <c r="E621" s="7" t="n"/>
      <c r="F621" s="7" t="n"/>
      <c r="G621" s="7" t="n"/>
      <c r="K621" s="7" t="n"/>
      <c r="L621" s="7" t="n"/>
    </row>
    <row r="622" ht="15.75" customHeight="1" s="209">
      <c r="A622" s="7" t="n"/>
      <c r="B622" s="7" t="n"/>
      <c r="C622" s="7" t="n"/>
      <c r="D622" s="7" t="n"/>
      <c r="E622" s="7" t="n"/>
      <c r="F622" s="7" t="n"/>
      <c r="G622" s="7" t="n"/>
      <c r="K622" s="7" t="n"/>
      <c r="L622" s="7" t="n"/>
    </row>
    <row r="623" ht="15.75" customHeight="1" s="209">
      <c r="A623" s="7" t="n"/>
      <c r="B623" s="7" t="n"/>
      <c r="C623" s="7" t="n"/>
      <c r="D623" s="7" t="n"/>
      <c r="E623" s="7" t="n"/>
      <c r="F623" s="7" t="n"/>
      <c r="G623" s="7" t="n"/>
      <c r="K623" s="7" t="n"/>
      <c r="L623" s="7" t="n"/>
    </row>
    <row r="624" ht="15.75" customHeight="1" s="209">
      <c r="A624" s="7" t="n"/>
      <c r="B624" s="7" t="n"/>
      <c r="C624" s="7" t="n"/>
      <c r="D624" s="7" t="n"/>
      <c r="E624" s="7" t="n"/>
      <c r="F624" s="7" t="n"/>
      <c r="G624" s="7" t="n"/>
      <c r="K624" s="7" t="n"/>
      <c r="L624" s="7" t="n"/>
    </row>
    <row r="625" ht="15.75" customHeight="1" s="209">
      <c r="A625" s="7" t="n"/>
      <c r="B625" s="7" t="n"/>
      <c r="C625" s="7" t="n"/>
      <c r="D625" s="7" t="n"/>
      <c r="E625" s="7" t="n"/>
      <c r="F625" s="7" t="n"/>
      <c r="G625" s="7" t="n"/>
      <c r="K625" s="7" t="n"/>
      <c r="L625" s="7" t="n"/>
    </row>
    <row r="626" ht="15.75" customHeight="1" s="209">
      <c r="A626" s="7" t="n"/>
      <c r="B626" s="7" t="n"/>
      <c r="C626" s="7" t="n"/>
      <c r="D626" s="7" t="n"/>
      <c r="E626" s="7" t="n"/>
      <c r="F626" s="7" t="n"/>
      <c r="G626" s="7" t="n"/>
      <c r="K626" s="7" t="n"/>
      <c r="L626" s="7" t="n"/>
    </row>
    <row r="627" ht="15.75" customHeight="1" s="209">
      <c r="A627" s="7" t="n"/>
      <c r="B627" s="7" t="n"/>
      <c r="C627" s="7" t="n"/>
      <c r="D627" s="7" t="n"/>
      <c r="E627" s="7" t="n"/>
      <c r="F627" s="7" t="n"/>
      <c r="G627" s="7" t="n"/>
      <c r="K627" s="7" t="n"/>
      <c r="L627" s="7" t="n"/>
    </row>
    <row r="628" ht="15.75" customHeight="1" s="209">
      <c r="A628" s="7" t="n"/>
      <c r="B628" s="7" t="n"/>
      <c r="C628" s="7" t="n"/>
      <c r="D628" s="7" t="n"/>
      <c r="E628" s="7" t="n"/>
      <c r="F628" s="7" t="n"/>
      <c r="G628" s="7" t="n"/>
      <c r="K628" s="7" t="n"/>
      <c r="L628" s="7" t="n"/>
    </row>
    <row r="629" ht="15.75" customHeight="1" s="209">
      <c r="A629" s="7" t="n"/>
      <c r="B629" s="7" t="n"/>
      <c r="C629" s="7" t="n"/>
      <c r="D629" s="7" t="n"/>
      <c r="E629" s="7" t="n"/>
      <c r="F629" s="7" t="n"/>
      <c r="G629" s="7" t="n"/>
      <c r="K629" s="7" t="n"/>
      <c r="L629" s="7" t="n"/>
    </row>
    <row r="630" ht="15.75" customHeight="1" s="209">
      <c r="A630" s="7" t="n"/>
      <c r="B630" s="7" t="n"/>
      <c r="C630" s="7" t="n"/>
      <c r="D630" s="7" t="n"/>
      <c r="E630" s="7" t="n"/>
      <c r="F630" s="7" t="n"/>
      <c r="G630" s="7" t="n"/>
      <c r="K630" s="7" t="n"/>
      <c r="L630" s="7" t="n"/>
    </row>
    <row r="631" ht="15.75" customHeight="1" s="209">
      <c r="A631" s="7" t="n"/>
      <c r="B631" s="7" t="n"/>
      <c r="C631" s="7" t="n"/>
      <c r="D631" s="7" t="n"/>
      <c r="E631" s="7" t="n"/>
      <c r="F631" s="7" t="n"/>
      <c r="G631" s="7" t="n"/>
      <c r="K631" s="7" t="n"/>
      <c r="L631" s="7" t="n"/>
    </row>
    <row r="632" ht="15.75" customHeight="1" s="209">
      <c r="A632" s="7" t="n"/>
      <c r="B632" s="7" t="n"/>
      <c r="C632" s="7" t="n"/>
      <c r="D632" s="7" t="n"/>
      <c r="E632" s="7" t="n"/>
      <c r="F632" s="7" t="n"/>
      <c r="G632" s="7" t="n"/>
      <c r="K632" s="7" t="n"/>
      <c r="L632" s="7" t="n"/>
    </row>
    <row r="633" ht="15.75" customHeight="1" s="209">
      <c r="A633" s="7" t="n"/>
      <c r="B633" s="7" t="n"/>
      <c r="C633" s="7" t="n"/>
      <c r="D633" s="7" t="n"/>
      <c r="E633" s="7" t="n"/>
      <c r="F633" s="7" t="n"/>
      <c r="G633" s="7" t="n"/>
      <c r="K633" s="7" t="n"/>
      <c r="L633" s="7" t="n"/>
    </row>
    <row r="634" ht="15.75" customHeight="1" s="209">
      <c r="A634" s="7" t="n"/>
      <c r="B634" s="7" t="n"/>
      <c r="C634" s="7" t="n"/>
      <c r="D634" s="7" t="n"/>
      <c r="E634" s="7" t="n"/>
      <c r="F634" s="7" t="n"/>
      <c r="G634" s="7" t="n"/>
      <c r="K634" s="7" t="n"/>
      <c r="L634" s="7" t="n"/>
    </row>
    <row r="635" ht="15.75" customHeight="1" s="209">
      <c r="A635" s="7" t="n"/>
      <c r="B635" s="7" t="n"/>
      <c r="C635" s="7" t="n"/>
      <c r="D635" s="7" t="n"/>
      <c r="E635" s="7" t="n"/>
      <c r="F635" s="7" t="n"/>
      <c r="G635" s="7" t="n"/>
      <c r="K635" s="7" t="n"/>
      <c r="L635" s="7" t="n"/>
    </row>
    <row r="636" ht="15.75" customHeight="1" s="209">
      <c r="A636" s="7" t="n"/>
      <c r="B636" s="7" t="n"/>
      <c r="C636" s="7" t="n"/>
      <c r="D636" s="7" t="n"/>
      <c r="E636" s="7" t="n"/>
      <c r="F636" s="7" t="n"/>
      <c r="G636" s="7" t="n"/>
      <c r="K636" s="7" t="n"/>
      <c r="L636" s="7" t="n"/>
    </row>
    <row r="637" ht="15.75" customHeight="1" s="209">
      <c r="A637" s="7" t="n"/>
      <c r="B637" s="7" t="n"/>
      <c r="C637" s="7" t="n"/>
      <c r="D637" s="7" t="n"/>
      <c r="E637" s="7" t="n"/>
      <c r="F637" s="7" t="n"/>
      <c r="G637" s="7" t="n"/>
      <c r="K637" s="7" t="n"/>
      <c r="L637" s="7" t="n"/>
    </row>
    <row r="638" ht="15.75" customHeight="1" s="209">
      <c r="A638" s="7" t="n"/>
      <c r="B638" s="7" t="n"/>
      <c r="C638" s="7" t="n"/>
      <c r="D638" s="7" t="n"/>
      <c r="E638" s="7" t="n"/>
      <c r="F638" s="7" t="n"/>
      <c r="G638" s="7" t="n"/>
      <c r="K638" s="7" t="n"/>
      <c r="L638" s="7" t="n"/>
    </row>
    <row r="639" ht="15.75" customHeight="1" s="209">
      <c r="A639" s="7" t="n"/>
      <c r="B639" s="7" t="n"/>
      <c r="C639" s="7" t="n"/>
      <c r="D639" s="7" t="n"/>
      <c r="E639" s="7" t="n"/>
      <c r="F639" s="7" t="n"/>
      <c r="G639" s="7" t="n"/>
      <c r="K639" s="7" t="n"/>
      <c r="L639" s="7" t="n"/>
    </row>
    <row r="640" ht="15.75" customHeight="1" s="209">
      <c r="A640" s="7" t="n"/>
      <c r="B640" s="7" t="n"/>
      <c r="C640" s="7" t="n"/>
      <c r="D640" s="7" t="n"/>
      <c r="E640" s="7" t="n"/>
      <c r="F640" s="7" t="n"/>
      <c r="G640" s="7" t="n"/>
      <c r="K640" s="7" t="n"/>
      <c r="L640" s="7" t="n"/>
    </row>
    <row r="641" ht="15.75" customHeight="1" s="209">
      <c r="A641" s="7" t="n"/>
      <c r="B641" s="7" t="n"/>
      <c r="C641" s="7" t="n"/>
      <c r="D641" s="7" t="n"/>
      <c r="E641" s="7" t="n"/>
      <c r="F641" s="7" t="n"/>
      <c r="G641" s="7" t="n"/>
      <c r="K641" s="7" t="n"/>
      <c r="L641" s="7" t="n"/>
    </row>
    <row r="642" ht="15.75" customHeight="1" s="209">
      <c r="A642" s="7" t="n"/>
      <c r="B642" s="7" t="n"/>
      <c r="C642" s="7" t="n"/>
      <c r="D642" s="7" t="n"/>
      <c r="E642" s="7" t="n"/>
      <c r="F642" s="7" t="n"/>
      <c r="G642" s="7" t="n"/>
      <c r="K642" s="7" t="n"/>
      <c r="L642" s="7" t="n"/>
    </row>
    <row r="643" ht="15.75" customHeight="1" s="209">
      <c r="A643" s="7" t="n"/>
      <c r="B643" s="7" t="n"/>
      <c r="C643" s="7" t="n"/>
      <c r="D643" s="7" t="n"/>
      <c r="E643" s="7" t="n"/>
      <c r="F643" s="7" t="n"/>
      <c r="G643" s="7" t="n"/>
      <c r="K643" s="7" t="n"/>
      <c r="L643" s="7" t="n"/>
    </row>
    <row r="644" ht="15.75" customHeight="1" s="209">
      <c r="A644" s="7" t="n"/>
      <c r="B644" s="7" t="n"/>
      <c r="C644" s="7" t="n"/>
      <c r="D644" s="7" t="n"/>
      <c r="E644" s="7" t="n"/>
      <c r="F644" s="7" t="n"/>
      <c r="G644" s="7" t="n"/>
      <c r="K644" s="7" t="n"/>
      <c r="L644" s="7" t="n"/>
    </row>
    <row r="645" ht="15.75" customHeight="1" s="209">
      <c r="A645" s="7" t="n"/>
      <c r="B645" s="7" t="n"/>
      <c r="C645" s="7" t="n"/>
      <c r="D645" s="7" t="n"/>
      <c r="E645" s="7" t="n"/>
      <c r="F645" s="7" t="n"/>
      <c r="G645" s="7" t="n"/>
      <c r="K645" s="7" t="n"/>
      <c r="L645" s="7" t="n"/>
    </row>
    <row r="646" ht="15.75" customHeight="1" s="209">
      <c r="A646" s="7" t="n"/>
      <c r="B646" s="7" t="n"/>
      <c r="C646" s="7" t="n"/>
      <c r="D646" s="7" t="n"/>
      <c r="E646" s="7" t="n"/>
      <c r="F646" s="7" t="n"/>
      <c r="G646" s="7" t="n"/>
      <c r="K646" s="7" t="n"/>
      <c r="L646" s="7" t="n"/>
    </row>
    <row r="647" ht="15.75" customHeight="1" s="209">
      <c r="A647" s="7" t="n"/>
      <c r="B647" s="7" t="n"/>
      <c r="C647" s="7" t="n"/>
      <c r="D647" s="7" t="n"/>
      <c r="E647" s="7" t="n"/>
      <c r="F647" s="7" t="n"/>
      <c r="G647" s="7" t="n"/>
      <c r="K647" s="7" t="n"/>
      <c r="L647" s="7" t="n"/>
    </row>
    <row r="648" ht="15.75" customHeight="1" s="209">
      <c r="A648" s="7" t="n"/>
      <c r="B648" s="7" t="n"/>
      <c r="C648" s="7" t="n"/>
      <c r="D648" s="7" t="n"/>
      <c r="E648" s="7" t="n"/>
      <c r="F648" s="7" t="n"/>
      <c r="G648" s="7" t="n"/>
      <c r="K648" s="7" t="n"/>
      <c r="L648" s="7" t="n"/>
    </row>
    <row r="649" ht="15.75" customHeight="1" s="209">
      <c r="A649" s="7" t="n"/>
      <c r="B649" s="7" t="n"/>
      <c r="C649" s="7" t="n"/>
      <c r="D649" s="7" t="n"/>
      <c r="E649" s="7" t="n"/>
      <c r="F649" s="7" t="n"/>
      <c r="G649" s="7" t="n"/>
      <c r="K649" s="7" t="n"/>
      <c r="L649" s="7" t="n"/>
    </row>
    <row r="650" ht="15.75" customHeight="1" s="209">
      <c r="A650" s="7" t="n"/>
      <c r="B650" s="7" t="n"/>
      <c r="C650" s="7" t="n"/>
      <c r="D650" s="7" t="n"/>
      <c r="E650" s="7" t="n"/>
      <c r="F650" s="7" t="n"/>
      <c r="G650" s="7" t="n"/>
      <c r="K650" s="7" t="n"/>
      <c r="L650" s="7" t="n"/>
    </row>
    <row r="651" ht="15.75" customHeight="1" s="209">
      <c r="A651" s="7" t="n"/>
      <c r="B651" s="7" t="n"/>
      <c r="C651" s="7" t="n"/>
      <c r="D651" s="7" t="n"/>
      <c r="E651" s="7" t="n"/>
      <c r="F651" s="7" t="n"/>
      <c r="G651" s="7" t="n"/>
      <c r="K651" s="7" t="n"/>
      <c r="L651" s="7" t="n"/>
    </row>
    <row r="652" ht="15.75" customHeight="1" s="209">
      <c r="A652" s="7" t="n"/>
      <c r="B652" s="7" t="n"/>
      <c r="C652" s="7" t="n"/>
      <c r="D652" s="7" t="n"/>
      <c r="E652" s="7" t="n"/>
      <c r="F652" s="7" t="n"/>
      <c r="G652" s="7" t="n"/>
      <c r="K652" s="7" t="n"/>
      <c r="L652" s="7" t="n"/>
    </row>
    <row r="653" ht="15.75" customHeight="1" s="209">
      <c r="A653" s="7" t="n"/>
      <c r="B653" s="7" t="n"/>
      <c r="C653" s="7" t="n"/>
      <c r="D653" s="7" t="n"/>
      <c r="E653" s="7" t="n"/>
      <c r="F653" s="7" t="n"/>
      <c r="G653" s="7" t="n"/>
      <c r="K653" s="7" t="n"/>
      <c r="L653" s="7" t="n"/>
    </row>
    <row r="654" ht="15.75" customHeight="1" s="209">
      <c r="A654" s="7" t="n"/>
      <c r="B654" s="7" t="n"/>
      <c r="C654" s="7" t="n"/>
      <c r="D654" s="7" t="n"/>
      <c r="E654" s="7" t="n"/>
      <c r="F654" s="7" t="n"/>
      <c r="G654" s="7" t="n"/>
      <c r="K654" s="7" t="n"/>
      <c r="L654" s="7" t="n"/>
    </row>
    <row r="655" ht="15.75" customHeight="1" s="209">
      <c r="A655" s="7" t="n"/>
      <c r="B655" s="7" t="n"/>
      <c r="C655" s="7" t="n"/>
      <c r="D655" s="7" t="n"/>
      <c r="E655" s="7" t="n"/>
      <c r="F655" s="7" t="n"/>
      <c r="G655" s="7" t="n"/>
      <c r="K655" s="7" t="n"/>
      <c r="L655" s="7" t="n"/>
    </row>
    <row r="656" ht="15.75" customHeight="1" s="209">
      <c r="A656" s="7" t="n"/>
      <c r="B656" s="7" t="n"/>
      <c r="C656" s="7" t="n"/>
      <c r="D656" s="7" t="n"/>
      <c r="E656" s="7" t="n"/>
      <c r="F656" s="7" t="n"/>
      <c r="G656" s="7" t="n"/>
      <c r="K656" s="7" t="n"/>
      <c r="L656" s="7" t="n"/>
    </row>
    <row r="657" ht="15.75" customHeight="1" s="209">
      <c r="A657" s="7" t="n"/>
      <c r="B657" s="7" t="n"/>
      <c r="C657" s="7" t="n"/>
      <c r="D657" s="7" t="n"/>
      <c r="E657" s="7" t="n"/>
      <c r="F657" s="7" t="n"/>
      <c r="G657" s="7" t="n"/>
      <c r="K657" s="7" t="n"/>
      <c r="L657" s="7" t="n"/>
    </row>
    <row r="658" ht="15.75" customHeight="1" s="209">
      <c r="A658" s="7" t="n"/>
      <c r="B658" s="7" t="n"/>
      <c r="C658" s="7" t="n"/>
      <c r="D658" s="7" t="n"/>
      <c r="E658" s="7" t="n"/>
      <c r="F658" s="7" t="n"/>
      <c r="G658" s="7" t="n"/>
      <c r="K658" s="7" t="n"/>
      <c r="L658" s="7" t="n"/>
    </row>
    <row r="659" ht="15.75" customHeight="1" s="209">
      <c r="A659" s="7" t="n"/>
      <c r="B659" s="7" t="n"/>
      <c r="C659" s="7" t="n"/>
      <c r="D659" s="7" t="n"/>
      <c r="E659" s="7" t="n"/>
      <c r="F659" s="7" t="n"/>
      <c r="G659" s="7" t="n"/>
      <c r="K659" s="7" t="n"/>
      <c r="L659" s="7" t="n"/>
    </row>
    <row r="660" ht="15.75" customHeight="1" s="209">
      <c r="A660" s="7" t="n"/>
      <c r="B660" s="7" t="n"/>
      <c r="C660" s="7" t="n"/>
      <c r="D660" s="7" t="n"/>
      <c r="E660" s="7" t="n"/>
      <c r="F660" s="7" t="n"/>
      <c r="G660" s="7" t="n"/>
      <c r="K660" s="7" t="n"/>
      <c r="L660" s="7" t="n"/>
    </row>
    <row r="661" ht="15.75" customHeight="1" s="209">
      <c r="A661" s="7" t="n"/>
      <c r="B661" s="7" t="n"/>
      <c r="C661" s="7" t="n"/>
      <c r="D661" s="7" t="n"/>
      <c r="E661" s="7" t="n"/>
      <c r="F661" s="7" t="n"/>
      <c r="G661" s="7" t="n"/>
      <c r="K661" s="7" t="n"/>
      <c r="L661" s="7" t="n"/>
    </row>
    <row r="662" ht="15.75" customHeight="1" s="209">
      <c r="A662" s="7" t="n"/>
      <c r="B662" s="7" t="n"/>
      <c r="C662" s="7" t="n"/>
      <c r="D662" s="7" t="n"/>
      <c r="E662" s="7" t="n"/>
      <c r="F662" s="7" t="n"/>
      <c r="G662" s="7" t="n"/>
      <c r="K662" s="7" t="n"/>
      <c r="L662" s="7" t="n"/>
    </row>
    <row r="663" ht="15.75" customHeight="1" s="209">
      <c r="A663" s="7" t="n"/>
      <c r="B663" s="7" t="n"/>
      <c r="C663" s="7" t="n"/>
      <c r="D663" s="7" t="n"/>
      <c r="E663" s="7" t="n"/>
      <c r="F663" s="7" t="n"/>
      <c r="G663" s="7" t="n"/>
      <c r="K663" s="7" t="n"/>
      <c r="L663" s="7" t="n"/>
    </row>
    <row r="664" ht="15.75" customHeight="1" s="209">
      <c r="A664" s="7" t="n"/>
      <c r="B664" s="7" t="n"/>
      <c r="C664" s="7" t="n"/>
      <c r="D664" s="7" t="n"/>
      <c r="E664" s="7" t="n"/>
      <c r="F664" s="7" t="n"/>
      <c r="G664" s="7" t="n"/>
      <c r="K664" s="7" t="n"/>
      <c r="L664" s="7" t="n"/>
    </row>
    <row r="665" ht="15.75" customHeight="1" s="209">
      <c r="A665" s="7" t="n"/>
      <c r="B665" s="7" t="n"/>
      <c r="C665" s="7" t="n"/>
      <c r="D665" s="7" t="n"/>
      <c r="E665" s="7" t="n"/>
      <c r="F665" s="7" t="n"/>
      <c r="G665" s="7" t="n"/>
      <c r="K665" s="7" t="n"/>
      <c r="L665" s="7" t="n"/>
    </row>
    <row r="666" ht="15.75" customHeight="1" s="209">
      <c r="A666" s="7" t="n"/>
      <c r="B666" s="7" t="n"/>
      <c r="C666" s="7" t="n"/>
      <c r="D666" s="7" t="n"/>
      <c r="E666" s="7" t="n"/>
      <c r="F666" s="7" t="n"/>
      <c r="G666" s="7" t="n"/>
      <c r="K666" s="7" t="n"/>
      <c r="L666" s="7" t="n"/>
    </row>
    <row r="667" ht="15.75" customHeight="1" s="209">
      <c r="A667" s="7" t="n"/>
      <c r="B667" s="7" t="n"/>
      <c r="C667" s="7" t="n"/>
      <c r="D667" s="7" t="n"/>
      <c r="E667" s="7" t="n"/>
      <c r="F667" s="7" t="n"/>
      <c r="G667" s="7" t="n"/>
      <c r="K667" s="7" t="n"/>
      <c r="L667" s="7" t="n"/>
    </row>
    <row r="668" ht="15.75" customHeight="1" s="209">
      <c r="A668" s="7" t="n"/>
      <c r="B668" s="7" t="n"/>
      <c r="C668" s="7" t="n"/>
      <c r="D668" s="7" t="n"/>
      <c r="E668" s="7" t="n"/>
      <c r="F668" s="7" t="n"/>
      <c r="G668" s="7" t="n"/>
      <c r="K668" s="7" t="n"/>
      <c r="L668" s="7" t="n"/>
    </row>
    <row r="669" ht="15.75" customHeight="1" s="209">
      <c r="A669" s="7" t="n"/>
      <c r="B669" s="7" t="n"/>
      <c r="C669" s="7" t="n"/>
      <c r="D669" s="7" t="n"/>
      <c r="E669" s="7" t="n"/>
      <c r="F669" s="7" t="n"/>
      <c r="G669" s="7" t="n"/>
      <c r="K669" s="7" t="n"/>
      <c r="L669" s="7" t="n"/>
    </row>
    <row r="670" ht="15.75" customHeight="1" s="209">
      <c r="A670" s="7" t="n"/>
      <c r="B670" s="7" t="n"/>
      <c r="C670" s="7" t="n"/>
      <c r="D670" s="7" t="n"/>
      <c r="E670" s="7" t="n"/>
      <c r="F670" s="7" t="n"/>
      <c r="G670" s="7" t="n"/>
      <c r="K670" s="7" t="n"/>
      <c r="L670" s="7" t="n"/>
    </row>
    <row r="671" ht="15.75" customHeight="1" s="209">
      <c r="A671" s="7" t="n"/>
      <c r="B671" s="7" t="n"/>
      <c r="C671" s="7" t="n"/>
      <c r="D671" s="7" t="n"/>
      <c r="E671" s="7" t="n"/>
      <c r="F671" s="7" t="n"/>
      <c r="G671" s="7" t="n"/>
      <c r="K671" s="7" t="n"/>
      <c r="L671" s="7" t="n"/>
    </row>
    <row r="672" ht="15.75" customHeight="1" s="209">
      <c r="A672" s="7" t="n"/>
      <c r="B672" s="7" t="n"/>
      <c r="C672" s="7" t="n"/>
      <c r="D672" s="7" t="n"/>
      <c r="E672" s="7" t="n"/>
      <c r="F672" s="7" t="n"/>
      <c r="G672" s="7" t="n"/>
      <c r="K672" s="7" t="n"/>
      <c r="L672" s="7" t="n"/>
    </row>
    <row r="673" ht="15.75" customHeight="1" s="209">
      <c r="A673" s="7" t="n"/>
      <c r="B673" s="7" t="n"/>
      <c r="C673" s="7" t="n"/>
      <c r="D673" s="7" t="n"/>
      <c r="E673" s="7" t="n"/>
      <c r="F673" s="7" t="n"/>
      <c r="G673" s="7" t="n"/>
      <c r="K673" s="7" t="n"/>
      <c r="L673" s="7" t="n"/>
    </row>
    <row r="674" ht="15.75" customHeight="1" s="209">
      <c r="A674" s="7" t="n"/>
      <c r="B674" s="7" t="n"/>
      <c r="C674" s="7" t="n"/>
      <c r="D674" s="7" t="n"/>
      <c r="E674" s="7" t="n"/>
      <c r="F674" s="7" t="n"/>
      <c r="G674" s="7" t="n"/>
      <c r="K674" s="7" t="n"/>
      <c r="L674" s="7" t="n"/>
    </row>
    <row r="675" ht="15.75" customHeight="1" s="209">
      <c r="A675" s="7" t="n"/>
      <c r="B675" s="7" t="n"/>
      <c r="C675" s="7" t="n"/>
      <c r="D675" s="7" t="n"/>
      <c r="E675" s="7" t="n"/>
      <c r="F675" s="7" t="n"/>
      <c r="G675" s="7" t="n"/>
      <c r="K675" s="7" t="n"/>
      <c r="L675" s="7" t="n"/>
    </row>
    <row r="676" ht="15.75" customHeight="1" s="209">
      <c r="A676" s="7" t="n"/>
      <c r="B676" s="7" t="n"/>
      <c r="C676" s="7" t="n"/>
      <c r="D676" s="7" t="n"/>
      <c r="E676" s="7" t="n"/>
      <c r="F676" s="7" t="n"/>
      <c r="G676" s="7" t="n"/>
      <c r="K676" s="7" t="n"/>
      <c r="L676" s="7" t="n"/>
    </row>
    <row r="677" ht="15.75" customHeight="1" s="209">
      <c r="A677" s="7" t="n"/>
      <c r="B677" s="7" t="n"/>
      <c r="C677" s="7" t="n"/>
      <c r="D677" s="7" t="n"/>
      <c r="E677" s="7" t="n"/>
      <c r="F677" s="7" t="n"/>
      <c r="G677" s="7" t="n"/>
      <c r="K677" s="7" t="n"/>
      <c r="L677" s="7" t="n"/>
    </row>
    <row r="678" ht="15.75" customHeight="1" s="209">
      <c r="A678" s="7" t="n"/>
      <c r="B678" s="7" t="n"/>
      <c r="C678" s="7" t="n"/>
      <c r="D678" s="7" t="n"/>
      <c r="E678" s="7" t="n"/>
      <c r="F678" s="7" t="n"/>
      <c r="G678" s="7" t="n"/>
      <c r="K678" s="7" t="n"/>
      <c r="L678" s="7" t="n"/>
    </row>
    <row r="679" ht="15.75" customHeight="1" s="209">
      <c r="A679" s="7" t="n"/>
      <c r="B679" s="7" t="n"/>
      <c r="C679" s="7" t="n"/>
      <c r="D679" s="7" t="n"/>
      <c r="E679" s="7" t="n"/>
      <c r="F679" s="7" t="n"/>
      <c r="G679" s="7" t="n"/>
      <c r="K679" s="7" t="n"/>
      <c r="L679" s="7" t="n"/>
    </row>
    <row r="680" ht="15.75" customHeight="1" s="209">
      <c r="A680" s="7" t="n"/>
      <c r="B680" s="7" t="n"/>
      <c r="C680" s="7" t="n"/>
      <c r="D680" s="7" t="n"/>
      <c r="E680" s="7" t="n"/>
      <c r="F680" s="7" t="n"/>
      <c r="G680" s="7" t="n"/>
      <c r="K680" s="7" t="n"/>
      <c r="L680" s="7" t="n"/>
    </row>
    <row r="681" ht="15.75" customHeight="1" s="209">
      <c r="A681" s="7" t="n"/>
      <c r="B681" s="7" t="n"/>
      <c r="C681" s="7" t="n"/>
      <c r="D681" s="7" t="n"/>
      <c r="E681" s="7" t="n"/>
      <c r="F681" s="7" t="n"/>
      <c r="G681" s="7" t="n"/>
      <c r="K681" s="7" t="n"/>
      <c r="L681" s="7" t="n"/>
    </row>
    <row r="682" ht="15.75" customHeight="1" s="209">
      <c r="A682" s="7" t="n"/>
      <c r="B682" s="7" t="n"/>
      <c r="C682" s="7" t="n"/>
      <c r="D682" s="7" t="n"/>
      <c r="E682" s="7" t="n"/>
      <c r="F682" s="7" t="n"/>
      <c r="G682" s="7" t="n"/>
      <c r="K682" s="7" t="n"/>
      <c r="L682" s="7" t="n"/>
    </row>
    <row r="683" ht="15.75" customHeight="1" s="209">
      <c r="A683" s="7" t="n"/>
      <c r="B683" s="7" t="n"/>
      <c r="C683" s="7" t="n"/>
      <c r="D683" s="7" t="n"/>
      <c r="E683" s="7" t="n"/>
      <c r="F683" s="7" t="n"/>
      <c r="G683" s="7" t="n"/>
      <c r="K683" s="7" t="n"/>
      <c r="L683" s="7" t="n"/>
    </row>
    <row r="684" ht="15.75" customHeight="1" s="209">
      <c r="A684" s="7" t="n"/>
      <c r="B684" s="7" t="n"/>
      <c r="C684" s="7" t="n"/>
      <c r="D684" s="7" t="n"/>
      <c r="E684" s="7" t="n"/>
      <c r="F684" s="7" t="n"/>
      <c r="G684" s="7" t="n"/>
      <c r="K684" s="7" t="n"/>
      <c r="L684" s="7" t="n"/>
    </row>
    <row r="685" ht="15.75" customHeight="1" s="209">
      <c r="A685" s="7" t="n"/>
      <c r="B685" s="7" t="n"/>
      <c r="C685" s="7" t="n"/>
      <c r="D685" s="7" t="n"/>
      <c r="E685" s="7" t="n"/>
      <c r="F685" s="7" t="n"/>
      <c r="G685" s="7" t="n"/>
      <c r="K685" s="7" t="n"/>
      <c r="L685" s="7" t="n"/>
    </row>
    <row r="686" ht="15.75" customHeight="1" s="209">
      <c r="A686" s="7" t="n"/>
      <c r="B686" s="7" t="n"/>
      <c r="C686" s="7" t="n"/>
      <c r="D686" s="7" t="n"/>
      <c r="E686" s="7" t="n"/>
      <c r="F686" s="7" t="n"/>
      <c r="G686" s="7" t="n"/>
      <c r="K686" s="7" t="n"/>
      <c r="L686" s="7" t="n"/>
    </row>
    <row r="687" ht="15.75" customHeight="1" s="209">
      <c r="A687" s="7" t="n"/>
      <c r="B687" s="7" t="n"/>
      <c r="C687" s="7" t="n"/>
      <c r="D687" s="7" t="n"/>
      <c r="E687" s="7" t="n"/>
      <c r="F687" s="7" t="n"/>
      <c r="G687" s="7" t="n"/>
      <c r="K687" s="7" t="n"/>
      <c r="L687" s="7" t="n"/>
    </row>
    <row r="688" ht="15.75" customHeight="1" s="209">
      <c r="A688" s="7" t="n"/>
      <c r="B688" s="7" t="n"/>
      <c r="C688" s="7" t="n"/>
      <c r="D688" s="7" t="n"/>
      <c r="E688" s="7" t="n"/>
      <c r="F688" s="7" t="n"/>
      <c r="G688" s="7" t="n"/>
      <c r="K688" s="7" t="n"/>
      <c r="L688" s="7" t="n"/>
    </row>
    <row r="689" ht="15.75" customHeight="1" s="209">
      <c r="A689" s="7" t="n"/>
      <c r="B689" s="7" t="n"/>
      <c r="C689" s="7" t="n"/>
      <c r="D689" s="7" t="n"/>
      <c r="E689" s="7" t="n"/>
      <c r="F689" s="7" t="n"/>
      <c r="G689" s="7" t="n"/>
      <c r="K689" s="7" t="n"/>
      <c r="L689" s="7" t="n"/>
    </row>
    <row r="690" ht="15.75" customHeight="1" s="209">
      <c r="A690" s="7" t="n"/>
      <c r="B690" s="7" t="n"/>
      <c r="C690" s="7" t="n"/>
      <c r="D690" s="7" t="n"/>
      <c r="E690" s="7" t="n"/>
      <c r="F690" s="7" t="n"/>
      <c r="G690" s="7" t="n"/>
      <c r="K690" s="7" t="n"/>
      <c r="L690" s="7" t="n"/>
    </row>
    <row r="691" ht="15.75" customHeight="1" s="209">
      <c r="A691" s="7" t="n"/>
      <c r="B691" s="7" t="n"/>
      <c r="C691" s="7" t="n"/>
      <c r="D691" s="7" t="n"/>
      <c r="E691" s="7" t="n"/>
      <c r="F691" s="7" t="n"/>
      <c r="G691" s="7" t="n"/>
      <c r="K691" s="7" t="n"/>
      <c r="L691" s="7" t="n"/>
    </row>
    <row r="692" ht="15.75" customHeight="1" s="209">
      <c r="A692" s="7" t="n"/>
      <c r="B692" s="7" t="n"/>
      <c r="C692" s="7" t="n"/>
      <c r="D692" s="7" t="n"/>
      <c r="E692" s="7" t="n"/>
      <c r="F692" s="7" t="n"/>
      <c r="G692" s="7" t="n"/>
      <c r="K692" s="7" t="n"/>
      <c r="L692" s="7" t="n"/>
    </row>
    <row r="693" ht="15.75" customHeight="1" s="209">
      <c r="A693" s="7" t="n"/>
      <c r="B693" s="7" t="n"/>
      <c r="C693" s="7" t="n"/>
      <c r="D693" s="7" t="n"/>
      <c r="E693" s="7" t="n"/>
      <c r="F693" s="7" t="n"/>
      <c r="G693" s="7" t="n"/>
      <c r="K693" s="7" t="n"/>
      <c r="L693" s="7" t="n"/>
    </row>
    <row r="694" ht="15.75" customHeight="1" s="209">
      <c r="A694" s="7" t="n"/>
      <c r="B694" s="7" t="n"/>
      <c r="C694" s="7" t="n"/>
      <c r="D694" s="7" t="n"/>
      <c r="E694" s="7" t="n"/>
      <c r="F694" s="7" t="n"/>
      <c r="G694" s="7" t="n"/>
      <c r="K694" s="7" t="n"/>
      <c r="L694" s="7" t="n"/>
    </row>
    <row r="695" ht="15.75" customHeight="1" s="209">
      <c r="A695" s="7" t="n"/>
      <c r="B695" s="7" t="n"/>
      <c r="C695" s="7" t="n"/>
      <c r="D695" s="7" t="n"/>
      <c r="E695" s="7" t="n"/>
      <c r="F695" s="7" t="n"/>
      <c r="G695" s="7" t="n"/>
      <c r="K695" s="7" t="n"/>
      <c r="L695" s="7" t="n"/>
    </row>
    <row r="696" ht="15.75" customHeight="1" s="209">
      <c r="A696" s="7" t="n"/>
      <c r="B696" s="7" t="n"/>
      <c r="C696" s="7" t="n"/>
      <c r="D696" s="7" t="n"/>
      <c r="E696" s="7" t="n"/>
      <c r="F696" s="7" t="n"/>
      <c r="G696" s="7" t="n"/>
      <c r="K696" s="7" t="n"/>
      <c r="L696" s="7" t="n"/>
    </row>
    <row r="697" ht="15.75" customHeight="1" s="209">
      <c r="A697" s="7" t="n"/>
      <c r="B697" s="7" t="n"/>
      <c r="C697" s="7" t="n"/>
      <c r="D697" s="7" t="n"/>
      <c r="E697" s="7" t="n"/>
      <c r="F697" s="7" t="n"/>
      <c r="G697" s="7" t="n"/>
      <c r="K697" s="7" t="n"/>
      <c r="L697" s="7" t="n"/>
    </row>
    <row r="698" ht="15.75" customHeight="1" s="209">
      <c r="A698" s="7" t="n"/>
      <c r="B698" s="7" t="n"/>
      <c r="C698" s="7" t="n"/>
      <c r="D698" s="7" t="n"/>
      <c r="E698" s="7" t="n"/>
      <c r="F698" s="7" t="n"/>
      <c r="G698" s="7" t="n"/>
      <c r="K698" s="7" t="n"/>
      <c r="L698" s="7" t="n"/>
    </row>
    <row r="699" ht="15.75" customHeight="1" s="209">
      <c r="A699" s="7" t="n"/>
      <c r="B699" s="7" t="n"/>
      <c r="C699" s="7" t="n"/>
      <c r="D699" s="7" t="n"/>
      <c r="E699" s="7" t="n"/>
      <c r="F699" s="7" t="n"/>
      <c r="G699" s="7" t="n"/>
      <c r="K699" s="7" t="n"/>
      <c r="L699" s="7" t="n"/>
    </row>
    <row r="700" ht="15.75" customHeight="1" s="209">
      <c r="A700" s="7" t="n"/>
      <c r="B700" s="7" t="n"/>
      <c r="C700" s="7" t="n"/>
      <c r="D700" s="7" t="n"/>
      <c r="E700" s="7" t="n"/>
      <c r="F700" s="7" t="n"/>
      <c r="G700" s="7" t="n"/>
      <c r="K700" s="7" t="n"/>
      <c r="L700" s="7" t="n"/>
    </row>
    <row r="701" ht="15.75" customHeight="1" s="209">
      <c r="A701" s="7" t="n"/>
      <c r="B701" s="7" t="n"/>
      <c r="C701" s="7" t="n"/>
      <c r="D701" s="7" t="n"/>
      <c r="E701" s="7" t="n"/>
      <c r="F701" s="7" t="n"/>
      <c r="G701" s="7" t="n"/>
      <c r="K701" s="7" t="n"/>
      <c r="L701" s="7" t="n"/>
    </row>
    <row r="702" ht="15.75" customHeight="1" s="209">
      <c r="A702" s="7" t="n"/>
      <c r="B702" s="7" t="n"/>
      <c r="C702" s="7" t="n"/>
      <c r="D702" s="7" t="n"/>
      <c r="E702" s="7" t="n"/>
      <c r="F702" s="7" t="n"/>
      <c r="G702" s="7" t="n"/>
      <c r="K702" s="7" t="n"/>
      <c r="L702" s="7" t="n"/>
    </row>
    <row r="703" ht="15.75" customHeight="1" s="209">
      <c r="A703" s="7" t="n"/>
      <c r="B703" s="7" t="n"/>
      <c r="C703" s="7" t="n"/>
      <c r="D703" s="7" t="n"/>
      <c r="E703" s="7" t="n"/>
      <c r="F703" s="7" t="n"/>
      <c r="G703" s="7" t="n"/>
      <c r="K703" s="7" t="n"/>
      <c r="L703" s="7" t="n"/>
    </row>
    <row r="704" ht="15.75" customHeight="1" s="209">
      <c r="A704" s="7" t="n"/>
      <c r="B704" s="7" t="n"/>
      <c r="C704" s="7" t="n"/>
      <c r="D704" s="7" t="n"/>
      <c r="E704" s="7" t="n"/>
      <c r="F704" s="7" t="n"/>
      <c r="G704" s="7" t="n"/>
      <c r="K704" s="7" t="n"/>
      <c r="L704" s="7" t="n"/>
    </row>
    <row r="705" ht="15.75" customHeight="1" s="209">
      <c r="A705" s="7" t="n"/>
      <c r="B705" s="7" t="n"/>
      <c r="C705" s="7" t="n"/>
      <c r="D705" s="7" t="n"/>
      <c r="E705" s="7" t="n"/>
      <c r="F705" s="7" t="n"/>
      <c r="G705" s="7" t="n"/>
      <c r="K705" s="7" t="n"/>
      <c r="L705" s="7" t="n"/>
    </row>
    <row r="706" ht="15.75" customHeight="1" s="209">
      <c r="A706" s="7" t="n"/>
      <c r="B706" s="7" t="n"/>
      <c r="C706" s="7" t="n"/>
      <c r="D706" s="7" t="n"/>
      <c r="E706" s="7" t="n"/>
      <c r="F706" s="7" t="n"/>
      <c r="G706" s="7" t="n"/>
      <c r="K706" s="7" t="n"/>
      <c r="L706" s="7" t="n"/>
    </row>
    <row r="707" ht="15.75" customHeight="1" s="209">
      <c r="A707" s="7" t="n"/>
      <c r="B707" s="7" t="n"/>
      <c r="C707" s="7" t="n"/>
      <c r="D707" s="7" t="n"/>
      <c r="E707" s="7" t="n"/>
      <c r="F707" s="7" t="n"/>
      <c r="G707" s="7" t="n"/>
      <c r="K707" s="7" t="n"/>
      <c r="L707" s="7" t="n"/>
    </row>
    <row r="708" ht="15.75" customHeight="1" s="209">
      <c r="A708" s="7" t="n"/>
      <c r="B708" s="7" t="n"/>
      <c r="C708" s="7" t="n"/>
      <c r="D708" s="7" t="n"/>
      <c r="E708" s="7" t="n"/>
      <c r="F708" s="7" t="n"/>
      <c r="G708" s="7" t="n"/>
      <c r="K708" s="7" t="n"/>
      <c r="L708" s="7" t="n"/>
    </row>
    <row r="709" ht="15.75" customHeight="1" s="209">
      <c r="A709" s="7" t="n"/>
      <c r="B709" s="7" t="n"/>
      <c r="C709" s="7" t="n"/>
      <c r="D709" s="7" t="n"/>
      <c r="E709" s="7" t="n"/>
      <c r="F709" s="7" t="n"/>
      <c r="G709" s="7" t="n"/>
      <c r="K709" s="7" t="n"/>
      <c r="L709" s="7" t="n"/>
    </row>
    <row r="710" ht="15.75" customHeight="1" s="209">
      <c r="A710" s="7" t="n"/>
      <c r="B710" s="7" t="n"/>
      <c r="C710" s="7" t="n"/>
      <c r="D710" s="7" t="n"/>
      <c r="E710" s="7" t="n"/>
      <c r="F710" s="7" t="n"/>
      <c r="G710" s="7" t="n"/>
      <c r="K710" s="7" t="n"/>
      <c r="L710" s="7" t="n"/>
    </row>
    <row r="711" ht="15.75" customHeight="1" s="209">
      <c r="A711" s="7" t="n"/>
      <c r="B711" s="7" t="n"/>
      <c r="C711" s="7" t="n"/>
      <c r="D711" s="7" t="n"/>
      <c r="E711" s="7" t="n"/>
      <c r="F711" s="7" t="n"/>
      <c r="G711" s="7" t="n"/>
      <c r="K711" s="7" t="n"/>
      <c r="L711" s="7" t="n"/>
    </row>
    <row r="712" ht="15.75" customHeight="1" s="209">
      <c r="A712" s="7" t="n"/>
      <c r="B712" s="7" t="n"/>
      <c r="C712" s="7" t="n"/>
      <c r="D712" s="7" t="n"/>
      <c r="E712" s="7" t="n"/>
      <c r="F712" s="7" t="n"/>
      <c r="G712" s="7" t="n"/>
      <c r="K712" s="7" t="n"/>
      <c r="L712" s="7" t="n"/>
    </row>
    <row r="713" ht="15.75" customHeight="1" s="209">
      <c r="A713" s="7" t="n"/>
      <c r="B713" s="7" t="n"/>
      <c r="C713" s="7" t="n"/>
      <c r="D713" s="7" t="n"/>
      <c r="E713" s="7" t="n"/>
      <c r="F713" s="7" t="n"/>
      <c r="G713" s="7" t="n"/>
      <c r="K713" s="7" t="n"/>
      <c r="L713" s="7" t="n"/>
    </row>
    <row r="714" ht="15.75" customHeight="1" s="209">
      <c r="A714" s="7" t="n"/>
      <c r="B714" s="7" t="n"/>
      <c r="C714" s="7" t="n"/>
      <c r="D714" s="7" t="n"/>
      <c r="E714" s="7" t="n"/>
      <c r="F714" s="7" t="n"/>
      <c r="G714" s="7" t="n"/>
      <c r="K714" s="7" t="n"/>
      <c r="L714" s="7" t="n"/>
    </row>
    <row r="715" ht="15.75" customHeight="1" s="209">
      <c r="A715" s="7" t="n"/>
      <c r="B715" s="7" t="n"/>
      <c r="C715" s="7" t="n"/>
      <c r="D715" s="7" t="n"/>
      <c r="E715" s="7" t="n"/>
      <c r="F715" s="7" t="n"/>
      <c r="G715" s="7" t="n"/>
      <c r="K715" s="7" t="n"/>
      <c r="L715" s="7" t="n"/>
    </row>
    <row r="716" ht="15.75" customHeight="1" s="209">
      <c r="A716" s="7" t="n"/>
      <c r="B716" s="7" t="n"/>
      <c r="C716" s="7" t="n"/>
      <c r="D716" s="7" t="n"/>
      <c r="E716" s="7" t="n"/>
      <c r="F716" s="7" t="n"/>
      <c r="G716" s="7" t="n"/>
      <c r="K716" s="7" t="n"/>
      <c r="L716" s="7" t="n"/>
    </row>
    <row r="717" ht="15.75" customHeight="1" s="209">
      <c r="A717" s="7" t="n"/>
      <c r="B717" s="7" t="n"/>
      <c r="C717" s="7" t="n"/>
      <c r="D717" s="7" t="n"/>
      <c r="E717" s="7" t="n"/>
      <c r="F717" s="7" t="n"/>
      <c r="G717" s="7" t="n"/>
      <c r="K717" s="7" t="n"/>
      <c r="L717" s="7" t="n"/>
    </row>
    <row r="718" ht="15.75" customHeight="1" s="209">
      <c r="A718" s="7" t="n"/>
      <c r="B718" s="7" t="n"/>
      <c r="C718" s="7" t="n"/>
      <c r="D718" s="7" t="n"/>
      <c r="E718" s="7" t="n"/>
      <c r="F718" s="7" t="n"/>
      <c r="G718" s="7" t="n"/>
      <c r="K718" s="7" t="n"/>
      <c r="L718" s="7" t="n"/>
    </row>
    <row r="719" ht="15.75" customHeight="1" s="209">
      <c r="A719" s="7" t="n"/>
      <c r="B719" s="7" t="n"/>
      <c r="C719" s="7" t="n"/>
      <c r="D719" s="7" t="n"/>
      <c r="E719" s="7" t="n"/>
      <c r="F719" s="7" t="n"/>
      <c r="G719" s="7" t="n"/>
      <c r="K719" s="7" t="n"/>
      <c r="L719" s="7" t="n"/>
    </row>
    <row r="720" ht="15.75" customHeight="1" s="209">
      <c r="A720" s="7" t="n"/>
      <c r="B720" s="7" t="n"/>
      <c r="C720" s="7" t="n"/>
      <c r="D720" s="7" t="n"/>
      <c r="E720" s="7" t="n"/>
      <c r="F720" s="7" t="n"/>
      <c r="G720" s="7" t="n"/>
      <c r="K720" s="7" t="n"/>
      <c r="L720" s="7" t="n"/>
    </row>
    <row r="721" ht="15.75" customHeight="1" s="209">
      <c r="A721" s="7" t="n"/>
      <c r="B721" s="7" t="n"/>
      <c r="C721" s="7" t="n"/>
      <c r="D721" s="7" t="n"/>
      <c r="E721" s="7" t="n"/>
      <c r="F721" s="7" t="n"/>
      <c r="G721" s="7" t="n"/>
      <c r="K721" s="7" t="n"/>
      <c r="L721" s="7" t="n"/>
    </row>
    <row r="722" ht="15.75" customHeight="1" s="209">
      <c r="A722" s="7" t="n"/>
      <c r="B722" s="7" t="n"/>
      <c r="C722" s="7" t="n"/>
      <c r="D722" s="7" t="n"/>
      <c r="E722" s="7" t="n"/>
      <c r="F722" s="7" t="n"/>
      <c r="G722" s="7" t="n"/>
      <c r="K722" s="7" t="n"/>
      <c r="L722" s="7" t="n"/>
    </row>
    <row r="723" ht="15.75" customHeight="1" s="209">
      <c r="A723" s="7" t="n"/>
      <c r="B723" s="7" t="n"/>
      <c r="C723" s="7" t="n"/>
      <c r="D723" s="7" t="n"/>
      <c r="E723" s="7" t="n"/>
      <c r="F723" s="7" t="n"/>
      <c r="G723" s="7" t="n"/>
      <c r="K723" s="7" t="n"/>
      <c r="L723" s="7" t="n"/>
    </row>
    <row r="724" ht="15.75" customHeight="1" s="209">
      <c r="A724" s="7" t="n"/>
      <c r="B724" s="7" t="n"/>
      <c r="C724" s="7" t="n"/>
      <c r="D724" s="7" t="n"/>
      <c r="E724" s="7" t="n"/>
      <c r="F724" s="7" t="n"/>
      <c r="G724" s="7" t="n"/>
      <c r="K724" s="7" t="n"/>
      <c r="L724" s="7" t="n"/>
    </row>
    <row r="725" ht="15.75" customHeight="1" s="209">
      <c r="A725" s="7" t="n"/>
      <c r="B725" s="7" t="n"/>
      <c r="C725" s="7" t="n"/>
      <c r="D725" s="7" t="n"/>
      <c r="E725" s="7" t="n"/>
      <c r="F725" s="7" t="n"/>
      <c r="G725" s="7" t="n"/>
      <c r="K725" s="7" t="n"/>
      <c r="L725" s="7" t="n"/>
    </row>
    <row r="726" ht="15.75" customHeight="1" s="209">
      <c r="A726" s="7" t="n"/>
      <c r="B726" s="7" t="n"/>
      <c r="C726" s="7" t="n"/>
      <c r="D726" s="7" t="n"/>
      <c r="E726" s="7" t="n"/>
      <c r="F726" s="7" t="n"/>
      <c r="G726" s="7" t="n"/>
      <c r="K726" s="7" t="n"/>
      <c r="L726" s="7" t="n"/>
    </row>
    <row r="727" ht="15.75" customHeight="1" s="209">
      <c r="A727" s="7" t="n"/>
      <c r="B727" s="7" t="n"/>
      <c r="C727" s="7" t="n"/>
      <c r="D727" s="7" t="n"/>
      <c r="E727" s="7" t="n"/>
      <c r="F727" s="7" t="n"/>
      <c r="G727" s="7" t="n"/>
      <c r="K727" s="7" t="n"/>
      <c r="L727" s="7" t="n"/>
    </row>
    <row r="728" ht="15.75" customHeight="1" s="209">
      <c r="A728" s="7" t="n"/>
      <c r="B728" s="7" t="n"/>
      <c r="C728" s="7" t="n"/>
      <c r="D728" s="7" t="n"/>
      <c r="E728" s="7" t="n"/>
      <c r="F728" s="7" t="n"/>
      <c r="G728" s="7" t="n"/>
      <c r="K728" s="7" t="n"/>
      <c r="L728" s="7" t="n"/>
    </row>
    <row r="729" ht="15.75" customHeight="1" s="209">
      <c r="A729" s="7" t="n"/>
      <c r="B729" s="7" t="n"/>
      <c r="C729" s="7" t="n"/>
      <c r="D729" s="7" t="n"/>
      <c r="E729" s="7" t="n"/>
      <c r="F729" s="7" t="n"/>
      <c r="G729" s="7" t="n"/>
      <c r="K729" s="7" t="n"/>
      <c r="L729" s="7" t="n"/>
    </row>
    <row r="730" ht="15.75" customHeight="1" s="209">
      <c r="A730" s="7" t="n"/>
      <c r="B730" s="7" t="n"/>
      <c r="C730" s="7" t="n"/>
      <c r="D730" s="7" t="n"/>
      <c r="E730" s="7" t="n"/>
      <c r="F730" s="7" t="n"/>
      <c r="G730" s="7" t="n"/>
      <c r="K730" s="7" t="n"/>
      <c r="L730" s="7" t="n"/>
    </row>
    <row r="731" ht="15.75" customHeight="1" s="209">
      <c r="A731" s="7" t="n"/>
      <c r="B731" s="7" t="n"/>
      <c r="C731" s="7" t="n"/>
      <c r="D731" s="7" t="n"/>
      <c r="E731" s="7" t="n"/>
      <c r="F731" s="7" t="n"/>
      <c r="G731" s="7" t="n"/>
      <c r="K731" s="7" t="n"/>
      <c r="L731" s="7" t="n"/>
    </row>
    <row r="732" ht="15.75" customHeight="1" s="209">
      <c r="A732" s="7" t="n"/>
      <c r="B732" s="7" t="n"/>
      <c r="C732" s="7" t="n"/>
      <c r="D732" s="7" t="n"/>
      <c r="E732" s="7" t="n"/>
      <c r="F732" s="7" t="n"/>
      <c r="G732" s="7" t="n"/>
      <c r="K732" s="7" t="n"/>
      <c r="L732" s="7" t="n"/>
    </row>
    <row r="733" ht="15.75" customHeight="1" s="209">
      <c r="A733" s="7" t="n"/>
      <c r="B733" s="7" t="n"/>
      <c r="C733" s="7" t="n"/>
      <c r="D733" s="7" t="n"/>
      <c r="E733" s="7" t="n"/>
      <c r="F733" s="7" t="n"/>
      <c r="G733" s="7" t="n"/>
      <c r="K733" s="7" t="n"/>
      <c r="L733" s="7" t="n"/>
    </row>
    <row r="734" ht="15.75" customHeight="1" s="209">
      <c r="A734" s="7" t="n"/>
      <c r="B734" s="7" t="n"/>
      <c r="C734" s="7" t="n"/>
      <c r="D734" s="7" t="n"/>
      <c r="E734" s="7" t="n"/>
      <c r="F734" s="7" t="n"/>
      <c r="G734" s="7" t="n"/>
      <c r="K734" s="7" t="n"/>
      <c r="L734" s="7" t="n"/>
    </row>
    <row r="735" ht="15.75" customHeight="1" s="209">
      <c r="A735" s="7" t="n"/>
      <c r="B735" s="7" t="n"/>
      <c r="C735" s="7" t="n"/>
      <c r="D735" s="7" t="n"/>
      <c r="E735" s="7" t="n"/>
      <c r="F735" s="7" t="n"/>
      <c r="G735" s="7" t="n"/>
      <c r="K735" s="7" t="n"/>
      <c r="L735" s="7" t="n"/>
    </row>
    <row r="736" ht="15.75" customHeight="1" s="209">
      <c r="A736" s="7" t="n"/>
      <c r="B736" s="7" t="n"/>
      <c r="C736" s="7" t="n"/>
      <c r="D736" s="7" t="n"/>
      <c r="E736" s="7" t="n"/>
      <c r="F736" s="7" t="n"/>
      <c r="G736" s="7" t="n"/>
      <c r="K736" s="7" t="n"/>
      <c r="L736" s="7" t="n"/>
    </row>
    <row r="737" ht="15.75" customHeight="1" s="209">
      <c r="A737" s="7" t="n"/>
      <c r="B737" s="7" t="n"/>
      <c r="C737" s="7" t="n"/>
      <c r="D737" s="7" t="n"/>
      <c r="E737" s="7" t="n"/>
      <c r="F737" s="7" t="n"/>
      <c r="G737" s="7" t="n"/>
      <c r="K737" s="7" t="n"/>
      <c r="L737" s="7" t="n"/>
    </row>
    <row r="738" ht="15.75" customHeight="1" s="209">
      <c r="A738" s="7" t="n"/>
      <c r="B738" s="7" t="n"/>
      <c r="C738" s="7" t="n"/>
      <c r="D738" s="7" t="n"/>
      <c r="E738" s="7" t="n"/>
      <c r="F738" s="7" t="n"/>
      <c r="G738" s="7" t="n"/>
      <c r="K738" s="7" t="n"/>
      <c r="L738" s="7" t="n"/>
    </row>
    <row r="739" ht="15.75" customHeight="1" s="209">
      <c r="A739" s="7" t="n"/>
      <c r="B739" s="7" t="n"/>
      <c r="C739" s="7" t="n"/>
      <c r="D739" s="7" t="n"/>
      <c r="E739" s="7" t="n"/>
      <c r="F739" s="7" t="n"/>
      <c r="G739" s="7" t="n"/>
      <c r="K739" s="7" t="n"/>
      <c r="L739" s="7" t="n"/>
    </row>
    <row r="740" ht="15.75" customHeight="1" s="209">
      <c r="A740" s="7" t="n"/>
      <c r="B740" s="7" t="n"/>
      <c r="C740" s="7" t="n"/>
      <c r="D740" s="7" t="n"/>
      <c r="E740" s="7" t="n"/>
      <c r="F740" s="7" t="n"/>
      <c r="G740" s="7" t="n"/>
      <c r="K740" s="7" t="n"/>
      <c r="L740" s="7" t="n"/>
    </row>
    <row r="741" ht="15.75" customHeight="1" s="209">
      <c r="A741" s="7" t="n"/>
      <c r="B741" s="7" t="n"/>
      <c r="C741" s="7" t="n"/>
      <c r="D741" s="7" t="n"/>
      <c r="E741" s="7" t="n"/>
      <c r="F741" s="7" t="n"/>
      <c r="G741" s="7" t="n"/>
      <c r="K741" s="7" t="n"/>
      <c r="L741" s="7" t="n"/>
    </row>
    <row r="742" ht="15.75" customHeight="1" s="209">
      <c r="A742" s="7" t="n"/>
      <c r="B742" s="7" t="n"/>
      <c r="C742" s="7" t="n"/>
      <c r="D742" s="7" t="n"/>
      <c r="E742" s="7" t="n"/>
      <c r="F742" s="7" t="n"/>
      <c r="G742" s="7" t="n"/>
      <c r="K742" s="7" t="n"/>
      <c r="L742" s="7" t="n"/>
    </row>
    <row r="743" ht="15.75" customHeight="1" s="209">
      <c r="A743" s="7" t="n"/>
      <c r="B743" s="7" t="n"/>
      <c r="C743" s="7" t="n"/>
      <c r="D743" s="7" t="n"/>
      <c r="E743" s="7" t="n"/>
      <c r="F743" s="7" t="n"/>
      <c r="G743" s="7" t="n"/>
      <c r="K743" s="7" t="n"/>
      <c r="L743" s="7" t="n"/>
    </row>
    <row r="744" ht="15.75" customHeight="1" s="209">
      <c r="A744" s="7" t="n"/>
      <c r="B744" s="7" t="n"/>
      <c r="C744" s="7" t="n"/>
      <c r="D744" s="7" t="n"/>
      <c r="E744" s="7" t="n"/>
      <c r="F744" s="7" t="n"/>
      <c r="G744" s="7" t="n"/>
      <c r="K744" s="7" t="n"/>
      <c r="L744" s="7" t="n"/>
    </row>
    <row r="745" ht="15.75" customHeight="1" s="209">
      <c r="A745" s="7" t="n"/>
      <c r="B745" s="7" t="n"/>
      <c r="C745" s="7" t="n"/>
      <c r="D745" s="7" t="n"/>
      <c r="E745" s="7" t="n"/>
      <c r="F745" s="7" t="n"/>
      <c r="G745" s="7" t="n"/>
      <c r="K745" s="7" t="n"/>
      <c r="L745" s="7" t="n"/>
    </row>
    <row r="746" ht="15.75" customHeight="1" s="209">
      <c r="A746" s="7" t="n"/>
      <c r="B746" s="7" t="n"/>
      <c r="C746" s="7" t="n"/>
      <c r="D746" s="7" t="n"/>
      <c r="E746" s="7" t="n"/>
      <c r="F746" s="7" t="n"/>
      <c r="G746" s="7" t="n"/>
      <c r="K746" s="7" t="n"/>
      <c r="L746" s="7" t="n"/>
    </row>
    <row r="747" ht="15.75" customHeight="1" s="209">
      <c r="A747" s="7" t="n"/>
      <c r="B747" s="7" t="n"/>
      <c r="C747" s="7" t="n"/>
      <c r="D747" s="7" t="n"/>
      <c r="E747" s="7" t="n"/>
      <c r="F747" s="7" t="n"/>
      <c r="G747" s="7" t="n"/>
      <c r="K747" s="7" t="n"/>
      <c r="L747" s="7" t="n"/>
    </row>
    <row r="748" ht="15.75" customHeight="1" s="209">
      <c r="A748" s="7" t="n"/>
      <c r="B748" s="7" t="n"/>
      <c r="C748" s="7" t="n"/>
      <c r="D748" s="7" t="n"/>
      <c r="E748" s="7" t="n"/>
      <c r="F748" s="7" t="n"/>
      <c r="G748" s="7" t="n"/>
      <c r="K748" s="7" t="n"/>
      <c r="L748" s="7" t="n"/>
    </row>
    <row r="749" ht="15.75" customHeight="1" s="209">
      <c r="A749" s="7" t="n"/>
      <c r="B749" s="7" t="n"/>
      <c r="C749" s="7" t="n"/>
      <c r="D749" s="7" t="n"/>
      <c r="E749" s="7" t="n"/>
      <c r="F749" s="7" t="n"/>
      <c r="G749" s="7" t="n"/>
      <c r="K749" s="7" t="n"/>
      <c r="L749" s="7" t="n"/>
    </row>
    <row r="750" ht="15.75" customHeight="1" s="209">
      <c r="A750" s="7" t="n"/>
      <c r="B750" s="7" t="n"/>
      <c r="C750" s="7" t="n"/>
      <c r="D750" s="7" t="n"/>
      <c r="E750" s="7" t="n"/>
      <c r="F750" s="7" t="n"/>
      <c r="G750" s="7" t="n"/>
      <c r="K750" s="7" t="n"/>
      <c r="L750" s="7" t="n"/>
    </row>
    <row r="751" ht="15.75" customHeight="1" s="209">
      <c r="A751" s="7" t="n"/>
      <c r="B751" s="7" t="n"/>
      <c r="C751" s="7" t="n"/>
      <c r="D751" s="7" t="n"/>
      <c r="E751" s="7" t="n"/>
      <c r="F751" s="7" t="n"/>
      <c r="G751" s="7" t="n"/>
      <c r="K751" s="7" t="n"/>
      <c r="L751" s="7" t="n"/>
    </row>
    <row r="752" ht="15.75" customHeight="1" s="209">
      <c r="A752" s="7" t="n"/>
      <c r="B752" s="7" t="n"/>
      <c r="C752" s="7" t="n"/>
      <c r="D752" s="7" t="n"/>
      <c r="E752" s="7" t="n"/>
      <c r="F752" s="7" t="n"/>
      <c r="G752" s="7" t="n"/>
      <c r="K752" s="7" t="n"/>
      <c r="L752" s="7" t="n"/>
    </row>
    <row r="753" ht="15.75" customHeight="1" s="209">
      <c r="A753" s="7" t="n"/>
      <c r="B753" s="7" t="n"/>
      <c r="C753" s="7" t="n"/>
      <c r="D753" s="7" t="n"/>
      <c r="E753" s="7" t="n"/>
      <c r="F753" s="7" t="n"/>
      <c r="G753" s="7" t="n"/>
      <c r="K753" s="7" t="n"/>
      <c r="L753" s="7" t="n"/>
    </row>
    <row r="754" ht="15.75" customHeight="1" s="209">
      <c r="A754" s="7" t="n"/>
      <c r="B754" s="7" t="n"/>
      <c r="C754" s="7" t="n"/>
      <c r="D754" s="7" t="n"/>
      <c r="E754" s="7" t="n"/>
      <c r="F754" s="7" t="n"/>
      <c r="G754" s="7" t="n"/>
      <c r="K754" s="7" t="n"/>
      <c r="L754" s="7" t="n"/>
    </row>
    <row r="755" ht="15.75" customHeight="1" s="209">
      <c r="A755" s="7" t="n"/>
      <c r="B755" s="7" t="n"/>
      <c r="C755" s="7" t="n"/>
      <c r="D755" s="7" t="n"/>
      <c r="E755" s="7" t="n"/>
      <c r="F755" s="7" t="n"/>
      <c r="G755" s="7" t="n"/>
      <c r="K755" s="7" t="n"/>
      <c r="L755" s="7" t="n"/>
    </row>
    <row r="756" ht="15.75" customHeight="1" s="209">
      <c r="A756" s="7" t="n"/>
      <c r="B756" s="7" t="n"/>
      <c r="C756" s="7" t="n"/>
      <c r="D756" s="7" t="n"/>
      <c r="E756" s="7" t="n"/>
      <c r="F756" s="7" t="n"/>
      <c r="G756" s="7" t="n"/>
      <c r="K756" s="7" t="n"/>
      <c r="L756" s="7" t="n"/>
    </row>
    <row r="757" ht="15.75" customHeight="1" s="209">
      <c r="A757" s="7" t="n"/>
      <c r="B757" s="7" t="n"/>
      <c r="C757" s="7" t="n"/>
      <c r="D757" s="7" t="n"/>
      <c r="E757" s="7" t="n"/>
      <c r="F757" s="7" t="n"/>
      <c r="G757" s="7" t="n"/>
      <c r="K757" s="7" t="n"/>
      <c r="L757" s="7" t="n"/>
    </row>
    <row r="758" ht="15.75" customHeight="1" s="209">
      <c r="A758" s="7" t="n"/>
      <c r="B758" s="7" t="n"/>
      <c r="C758" s="7" t="n"/>
      <c r="D758" s="7" t="n"/>
      <c r="E758" s="7" t="n"/>
      <c r="F758" s="7" t="n"/>
      <c r="G758" s="7" t="n"/>
      <c r="K758" s="7" t="n"/>
      <c r="L758" s="7" t="n"/>
    </row>
    <row r="759" ht="15.75" customHeight="1" s="209">
      <c r="A759" s="7" t="n"/>
      <c r="B759" s="7" t="n"/>
      <c r="C759" s="7" t="n"/>
      <c r="D759" s="7" t="n"/>
      <c r="E759" s="7" t="n"/>
      <c r="F759" s="7" t="n"/>
      <c r="G759" s="7" t="n"/>
      <c r="K759" s="7" t="n"/>
      <c r="L759" s="7" t="n"/>
    </row>
    <row r="760" ht="15.75" customHeight="1" s="209">
      <c r="A760" s="7" t="n"/>
      <c r="B760" s="7" t="n"/>
      <c r="C760" s="7" t="n"/>
      <c r="D760" s="7" t="n"/>
      <c r="E760" s="7" t="n"/>
      <c r="F760" s="7" t="n"/>
      <c r="G760" s="7" t="n"/>
      <c r="K760" s="7" t="n"/>
      <c r="L760" s="7" t="n"/>
    </row>
    <row r="761" ht="15.75" customHeight="1" s="209">
      <c r="A761" s="7" t="n"/>
      <c r="B761" s="7" t="n"/>
      <c r="C761" s="7" t="n"/>
      <c r="D761" s="7" t="n"/>
      <c r="E761" s="7" t="n"/>
      <c r="F761" s="7" t="n"/>
      <c r="G761" s="7" t="n"/>
      <c r="K761" s="7" t="n"/>
      <c r="L761" s="7" t="n"/>
    </row>
    <row r="762" ht="15.75" customHeight="1" s="209">
      <c r="A762" s="7" t="n"/>
      <c r="B762" s="7" t="n"/>
      <c r="C762" s="7" t="n"/>
      <c r="D762" s="7" t="n"/>
      <c r="E762" s="7" t="n"/>
      <c r="F762" s="7" t="n"/>
      <c r="G762" s="7" t="n"/>
      <c r="K762" s="7" t="n"/>
      <c r="L762" s="7" t="n"/>
    </row>
    <row r="763" ht="15.75" customHeight="1" s="209">
      <c r="A763" s="7" t="n"/>
      <c r="B763" s="7" t="n"/>
      <c r="C763" s="7" t="n"/>
      <c r="D763" s="7" t="n"/>
      <c r="E763" s="7" t="n"/>
      <c r="F763" s="7" t="n"/>
      <c r="G763" s="7" t="n"/>
      <c r="K763" s="7" t="n"/>
      <c r="L763" s="7" t="n"/>
    </row>
    <row r="764" ht="15.75" customHeight="1" s="209">
      <c r="A764" s="7" t="n"/>
      <c r="B764" s="7" t="n"/>
      <c r="C764" s="7" t="n"/>
      <c r="D764" s="7" t="n"/>
      <c r="E764" s="7" t="n"/>
      <c r="F764" s="7" t="n"/>
      <c r="G764" s="7" t="n"/>
      <c r="K764" s="7" t="n"/>
      <c r="L764" s="7" t="n"/>
    </row>
    <row r="765" ht="15.75" customHeight="1" s="209">
      <c r="A765" s="7" t="n"/>
      <c r="B765" s="7" t="n"/>
      <c r="C765" s="7" t="n"/>
      <c r="D765" s="7" t="n"/>
      <c r="E765" s="7" t="n"/>
      <c r="F765" s="7" t="n"/>
      <c r="G765" s="7" t="n"/>
      <c r="K765" s="7" t="n"/>
      <c r="L765" s="7" t="n"/>
    </row>
    <row r="766" ht="15.75" customHeight="1" s="209">
      <c r="A766" s="7" t="n"/>
      <c r="B766" s="7" t="n"/>
      <c r="C766" s="7" t="n"/>
      <c r="D766" s="7" t="n"/>
      <c r="E766" s="7" t="n"/>
      <c r="F766" s="7" t="n"/>
      <c r="G766" s="7" t="n"/>
      <c r="K766" s="7" t="n"/>
      <c r="L766" s="7" t="n"/>
    </row>
    <row r="767" ht="15.75" customHeight="1" s="209">
      <c r="A767" s="7" t="n"/>
      <c r="B767" s="7" t="n"/>
      <c r="C767" s="7" t="n"/>
      <c r="D767" s="7" t="n"/>
      <c r="E767" s="7" t="n"/>
      <c r="F767" s="7" t="n"/>
      <c r="G767" s="7" t="n"/>
      <c r="K767" s="7" t="n"/>
      <c r="L767" s="7" t="n"/>
    </row>
    <row r="768" ht="15.75" customHeight="1" s="209">
      <c r="A768" s="7" t="n"/>
      <c r="B768" s="7" t="n"/>
      <c r="C768" s="7" t="n"/>
      <c r="D768" s="7" t="n"/>
      <c r="E768" s="7" t="n"/>
      <c r="F768" s="7" t="n"/>
      <c r="G768" s="7" t="n"/>
      <c r="K768" s="7" t="n"/>
      <c r="L768" s="7" t="n"/>
    </row>
    <row r="769" ht="15.75" customHeight="1" s="209">
      <c r="A769" s="7" t="n"/>
      <c r="B769" s="7" t="n"/>
      <c r="C769" s="7" t="n"/>
      <c r="D769" s="7" t="n"/>
      <c r="E769" s="7" t="n"/>
      <c r="F769" s="7" t="n"/>
      <c r="G769" s="7" t="n"/>
      <c r="K769" s="7" t="n"/>
      <c r="L769" s="7" t="n"/>
    </row>
    <row r="770" ht="15.75" customHeight="1" s="209">
      <c r="A770" s="7" t="n"/>
      <c r="B770" s="7" t="n"/>
      <c r="C770" s="7" t="n"/>
      <c r="D770" s="7" t="n"/>
      <c r="E770" s="7" t="n"/>
      <c r="F770" s="7" t="n"/>
      <c r="G770" s="7" t="n"/>
      <c r="K770" s="7" t="n"/>
      <c r="L770" s="7" t="n"/>
    </row>
    <row r="771" ht="15.75" customHeight="1" s="209">
      <c r="A771" s="7" t="n"/>
      <c r="B771" s="7" t="n"/>
      <c r="C771" s="7" t="n"/>
      <c r="D771" s="7" t="n"/>
      <c r="E771" s="7" t="n"/>
      <c r="F771" s="7" t="n"/>
      <c r="G771" s="7" t="n"/>
      <c r="K771" s="7" t="n"/>
      <c r="L771" s="7" t="n"/>
    </row>
    <row r="772" ht="15.75" customHeight="1" s="209">
      <c r="A772" s="7" t="n"/>
      <c r="B772" s="7" t="n"/>
      <c r="C772" s="7" t="n"/>
      <c r="D772" s="7" t="n"/>
      <c r="E772" s="7" t="n"/>
      <c r="F772" s="7" t="n"/>
      <c r="G772" s="7" t="n"/>
      <c r="K772" s="7" t="n"/>
      <c r="L772" s="7" t="n"/>
    </row>
    <row r="773" ht="15.75" customHeight="1" s="209">
      <c r="A773" s="7" t="n"/>
      <c r="B773" s="7" t="n"/>
      <c r="C773" s="7" t="n"/>
      <c r="D773" s="7" t="n"/>
      <c r="E773" s="7" t="n"/>
      <c r="F773" s="7" t="n"/>
      <c r="G773" s="7" t="n"/>
      <c r="K773" s="7" t="n"/>
      <c r="L773" s="7" t="n"/>
    </row>
    <row r="774" ht="15.75" customHeight="1" s="209">
      <c r="A774" s="7" t="n"/>
      <c r="B774" s="7" t="n"/>
      <c r="C774" s="7" t="n"/>
      <c r="D774" s="7" t="n"/>
      <c r="E774" s="7" t="n"/>
      <c r="F774" s="7" t="n"/>
      <c r="G774" s="7" t="n"/>
      <c r="K774" s="7" t="n"/>
      <c r="L774" s="7" t="n"/>
    </row>
    <row r="775" ht="15.75" customHeight="1" s="209">
      <c r="A775" s="7" t="n"/>
      <c r="B775" s="7" t="n"/>
      <c r="C775" s="7" t="n"/>
      <c r="D775" s="7" t="n"/>
      <c r="E775" s="7" t="n"/>
      <c r="F775" s="7" t="n"/>
      <c r="G775" s="7" t="n"/>
      <c r="K775" s="7" t="n"/>
      <c r="L775" s="7" t="n"/>
    </row>
    <row r="776" ht="15.75" customHeight="1" s="209">
      <c r="A776" s="7" t="n"/>
      <c r="B776" s="7" t="n"/>
      <c r="C776" s="7" t="n"/>
      <c r="D776" s="7" t="n"/>
      <c r="E776" s="7" t="n"/>
      <c r="F776" s="7" t="n"/>
      <c r="G776" s="7" t="n"/>
      <c r="K776" s="7" t="n"/>
      <c r="L776" s="7" t="n"/>
    </row>
    <row r="777" ht="15.75" customHeight="1" s="209">
      <c r="A777" s="7" t="n"/>
      <c r="B777" s="7" t="n"/>
      <c r="C777" s="7" t="n"/>
      <c r="D777" s="7" t="n"/>
      <c r="E777" s="7" t="n"/>
      <c r="F777" s="7" t="n"/>
      <c r="G777" s="7" t="n"/>
      <c r="K777" s="7" t="n"/>
      <c r="L777" s="7" t="n"/>
    </row>
    <row r="778" ht="15.75" customHeight="1" s="209">
      <c r="A778" s="7" t="n"/>
      <c r="B778" s="7" t="n"/>
      <c r="C778" s="7" t="n"/>
      <c r="D778" s="7" t="n"/>
      <c r="E778" s="7" t="n"/>
      <c r="F778" s="7" t="n"/>
      <c r="G778" s="7" t="n"/>
      <c r="K778" s="7" t="n"/>
      <c r="L778" s="7" t="n"/>
    </row>
    <row r="779" ht="15.75" customHeight="1" s="209">
      <c r="A779" s="7" t="n"/>
      <c r="B779" s="7" t="n"/>
      <c r="C779" s="7" t="n"/>
      <c r="D779" s="7" t="n"/>
      <c r="E779" s="7" t="n"/>
      <c r="F779" s="7" t="n"/>
      <c r="G779" s="7" t="n"/>
      <c r="K779" s="7" t="n"/>
      <c r="L779" s="7" t="n"/>
    </row>
    <row r="780" ht="15.75" customHeight="1" s="209">
      <c r="A780" s="7" t="n"/>
      <c r="B780" s="7" t="n"/>
      <c r="C780" s="7" t="n"/>
      <c r="D780" s="7" t="n"/>
      <c r="E780" s="7" t="n"/>
      <c r="F780" s="7" t="n"/>
      <c r="G780" s="7" t="n"/>
      <c r="K780" s="7" t="n"/>
      <c r="L780" s="7" t="n"/>
    </row>
    <row r="781" ht="15.75" customHeight="1" s="209">
      <c r="A781" s="7" t="n"/>
      <c r="B781" s="7" t="n"/>
      <c r="C781" s="7" t="n"/>
      <c r="D781" s="7" t="n"/>
      <c r="E781" s="7" t="n"/>
      <c r="F781" s="7" t="n"/>
      <c r="G781" s="7" t="n"/>
      <c r="K781" s="7" t="n"/>
      <c r="L781" s="7" t="n"/>
    </row>
    <row r="782" ht="15.75" customHeight="1" s="209">
      <c r="A782" s="7" t="n"/>
      <c r="B782" s="7" t="n"/>
      <c r="C782" s="7" t="n"/>
      <c r="D782" s="7" t="n"/>
      <c r="E782" s="7" t="n"/>
      <c r="F782" s="7" t="n"/>
      <c r="G782" s="7" t="n"/>
      <c r="K782" s="7" t="n"/>
      <c r="L782" s="7" t="n"/>
    </row>
    <row r="783" ht="15.75" customHeight="1" s="209">
      <c r="A783" s="7" t="n"/>
      <c r="B783" s="7" t="n"/>
      <c r="C783" s="7" t="n"/>
      <c r="D783" s="7" t="n"/>
      <c r="E783" s="7" t="n"/>
      <c r="F783" s="7" t="n"/>
      <c r="G783" s="7" t="n"/>
      <c r="K783" s="7" t="n"/>
      <c r="L783" s="7" t="n"/>
    </row>
    <row r="784" ht="15.75" customHeight="1" s="209">
      <c r="A784" s="7" t="n"/>
      <c r="B784" s="7" t="n"/>
      <c r="C784" s="7" t="n"/>
      <c r="D784" s="7" t="n"/>
      <c r="E784" s="7" t="n"/>
      <c r="F784" s="7" t="n"/>
      <c r="G784" s="7" t="n"/>
      <c r="K784" s="7" t="n"/>
      <c r="L784" s="7" t="n"/>
    </row>
    <row r="785" ht="15.75" customHeight="1" s="209">
      <c r="A785" s="7" t="n"/>
      <c r="B785" s="7" t="n"/>
      <c r="C785" s="7" t="n"/>
      <c r="D785" s="7" t="n"/>
      <c r="E785" s="7" t="n"/>
      <c r="F785" s="7" t="n"/>
      <c r="G785" s="7" t="n"/>
      <c r="K785" s="7" t="n"/>
      <c r="L785" s="7" t="n"/>
    </row>
    <row r="786" ht="15.75" customHeight="1" s="209">
      <c r="A786" s="7" t="n"/>
      <c r="B786" s="7" t="n"/>
      <c r="C786" s="7" t="n"/>
      <c r="D786" s="7" t="n"/>
      <c r="E786" s="7" t="n"/>
      <c r="F786" s="7" t="n"/>
      <c r="G786" s="7" t="n"/>
      <c r="K786" s="7" t="n"/>
      <c r="L786" s="7" t="n"/>
    </row>
    <row r="787" ht="15.75" customHeight="1" s="209">
      <c r="A787" s="7" t="n"/>
      <c r="B787" s="7" t="n"/>
      <c r="C787" s="7" t="n"/>
      <c r="D787" s="7" t="n"/>
      <c r="E787" s="7" t="n"/>
      <c r="F787" s="7" t="n"/>
      <c r="G787" s="7" t="n"/>
      <c r="K787" s="7" t="n"/>
      <c r="L787" s="7" t="n"/>
    </row>
    <row r="788" ht="15.75" customHeight="1" s="209">
      <c r="A788" s="7" t="n"/>
      <c r="B788" s="7" t="n"/>
      <c r="C788" s="7" t="n"/>
      <c r="D788" s="7" t="n"/>
      <c r="E788" s="7" t="n"/>
      <c r="F788" s="7" t="n"/>
      <c r="G788" s="7" t="n"/>
      <c r="K788" s="7" t="n"/>
      <c r="L788" s="7" t="n"/>
    </row>
    <row r="789" ht="15.75" customHeight="1" s="209">
      <c r="A789" s="7" t="n"/>
      <c r="B789" s="7" t="n"/>
      <c r="C789" s="7" t="n"/>
      <c r="D789" s="7" t="n"/>
      <c r="E789" s="7" t="n"/>
      <c r="F789" s="7" t="n"/>
      <c r="G789" s="7" t="n"/>
      <c r="K789" s="7" t="n"/>
      <c r="L789" s="7" t="n"/>
    </row>
    <row r="790" ht="15.75" customHeight="1" s="209">
      <c r="A790" s="7" t="n"/>
      <c r="B790" s="7" t="n"/>
      <c r="C790" s="7" t="n"/>
      <c r="D790" s="7" t="n"/>
      <c r="E790" s="7" t="n"/>
      <c r="F790" s="7" t="n"/>
      <c r="G790" s="7" t="n"/>
      <c r="K790" s="7" t="n"/>
      <c r="L790" s="7" t="n"/>
    </row>
    <row r="791" ht="15.75" customHeight="1" s="209">
      <c r="A791" s="7" t="n"/>
      <c r="B791" s="7" t="n"/>
      <c r="C791" s="7" t="n"/>
      <c r="D791" s="7" t="n"/>
      <c r="E791" s="7" t="n"/>
      <c r="F791" s="7" t="n"/>
      <c r="G791" s="7" t="n"/>
      <c r="K791" s="7" t="n"/>
      <c r="L791" s="7" t="n"/>
    </row>
    <row r="792" ht="15.75" customHeight="1" s="209">
      <c r="A792" s="7" t="n"/>
      <c r="B792" s="7" t="n"/>
      <c r="C792" s="7" t="n"/>
      <c r="D792" s="7" t="n"/>
      <c r="E792" s="7" t="n"/>
      <c r="F792" s="7" t="n"/>
      <c r="G792" s="7" t="n"/>
      <c r="K792" s="7" t="n"/>
      <c r="L792" s="7" t="n"/>
    </row>
    <row r="793" ht="15.75" customHeight="1" s="209">
      <c r="A793" s="7" t="n"/>
      <c r="B793" s="7" t="n"/>
      <c r="C793" s="7" t="n"/>
      <c r="D793" s="7" t="n"/>
      <c r="E793" s="7" t="n"/>
      <c r="F793" s="7" t="n"/>
      <c r="G793" s="7" t="n"/>
      <c r="K793" s="7" t="n"/>
      <c r="L793" s="7" t="n"/>
    </row>
    <row r="794" ht="15.75" customHeight="1" s="209">
      <c r="A794" s="7" t="n"/>
      <c r="B794" s="7" t="n"/>
      <c r="C794" s="7" t="n"/>
      <c r="D794" s="7" t="n"/>
      <c r="E794" s="7" t="n"/>
      <c r="F794" s="7" t="n"/>
      <c r="G794" s="7" t="n"/>
      <c r="K794" s="7" t="n"/>
      <c r="L794" s="7" t="n"/>
    </row>
    <row r="795" ht="15.75" customHeight="1" s="209">
      <c r="A795" s="7" t="n"/>
      <c r="B795" s="7" t="n"/>
      <c r="C795" s="7" t="n"/>
      <c r="D795" s="7" t="n"/>
      <c r="E795" s="7" t="n"/>
      <c r="F795" s="7" t="n"/>
      <c r="G795" s="7" t="n"/>
      <c r="K795" s="7" t="n"/>
      <c r="L795" s="7" t="n"/>
    </row>
    <row r="796" ht="15.75" customHeight="1" s="209">
      <c r="A796" s="7" t="n"/>
      <c r="B796" s="7" t="n"/>
      <c r="C796" s="7" t="n"/>
      <c r="D796" s="7" t="n"/>
      <c r="E796" s="7" t="n"/>
      <c r="F796" s="7" t="n"/>
      <c r="G796" s="7" t="n"/>
      <c r="K796" s="7" t="n"/>
      <c r="L796" s="7" t="n"/>
    </row>
    <row r="797" ht="15.75" customHeight="1" s="209">
      <c r="A797" s="7" t="n"/>
      <c r="B797" s="7" t="n"/>
      <c r="C797" s="7" t="n"/>
      <c r="D797" s="7" t="n"/>
      <c r="E797" s="7" t="n"/>
      <c r="F797" s="7" t="n"/>
      <c r="G797" s="7" t="n"/>
      <c r="K797" s="7" t="n"/>
      <c r="L797" s="7" t="n"/>
    </row>
    <row r="798" ht="15.75" customHeight="1" s="209">
      <c r="A798" s="7" t="n"/>
      <c r="B798" s="7" t="n"/>
      <c r="C798" s="7" t="n"/>
      <c r="D798" s="7" t="n"/>
      <c r="E798" s="7" t="n"/>
      <c r="F798" s="7" t="n"/>
      <c r="G798" s="7" t="n"/>
      <c r="K798" s="7" t="n"/>
      <c r="L798" s="7" t="n"/>
    </row>
    <row r="799" ht="15.75" customHeight="1" s="209">
      <c r="A799" s="7" t="n"/>
      <c r="B799" s="7" t="n"/>
      <c r="C799" s="7" t="n"/>
      <c r="D799" s="7" t="n"/>
      <c r="E799" s="7" t="n"/>
      <c r="F799" s="7" t="n"/>
      <c r="G799" s="7" t="n"/>
      <c r="K799" s="7" t="n"/>
      <c r="L799" s="7" t="n"/>
    </row>
    <row r="800" ht="15.75" customHeight="1" s="209">
      <c r="A800" s="7" t="n"/>
      <c r="B800" s="7" t="n"/>
      <c r="C800" s="7" t="n"/>
      <c r="D800" s="7" t="n"/>
      <c r="E800" s="7" t="n"/>
      <c r="F800" s="7" t="n"/>
      <c r="G800" s="7" t="n"/>
      <c r="K800" s="7" t="n"/>
      <c r="L800" s="7" t="n"/>
    </row>
    <row r="801" ht="15.75" customHeight="1" s="209">
      <c r="A801" s="7" t="n"/>
      <c r="B801" s="7" t="n"/>
      <c r="C801" s="7" t="n"/>
      <c r="D801" s="7" t="n"/>
      <c r="E801" s="7" t="n"/>
      <c r="F801" s="7" t="n"/>
      <c r="G801" s="7" t="n"/>
      <c r="K801" s="7" t="n"/>
      <c r="L801" s="7" t="n"/>
    </row>
    <row r="802" ht="15.75" customHeight="1" s="209">
      <c r="A802" s="7" t="n"/>
      <c r="B802" s="7" t="n"/>
      <c r="C802" s="7" t="n"/>
      <c r="D802" s="7" t="n"/>
      <c r="E802" s="7" t="n"/>
      <c r="F802" s="7" t="n"/>
      <c r="G802" s="7" t="n"/>
      <c r="K802" s="7" t="n"/>
      <c r="L802" s="7" t="n"/>
    </row>
    <row r="803" ht="15.75" customHeight="1" s="209">
      <c r="A803" s="7" t="n"/>
      <c r="B803" s="7" t="n"/>
      <c r="C803" s="7" t="n"/>
      <c r="D803" s="7" t="n"/>
      <c r="E803" s="7" t="n"/>
      <c r="F803" s="7" t="n"/>
      <c r="G803" s="7" t="n"/>
      <c r="K803" s="7" t="n"/>
      <c r="L803" s="7" t="n"/>
    </row>
    <row r="804" ht="15.75" customHeight="1" s="209">
      <c r="A804" s="7" t="n"/>
      <c r="B804" s="7" t="n"/>
      <c r="C804" s="7" t="n"/>
      <c r="D804" s="7" t="n"/>
      <c r="E804" s="7" t="n"/>
      <c r="F804" s="7" t="n"/>
      <c r="G804" s="7" t="n"/>
      <c r="K804" s="7" t="n"/>
      <c r="L804" s="7" t="n"/>
    </row>
    <row r="805" ht="15.75" customHeight="1" s="209">
      <c r="A805" s="7" t="n"/>
      <c r="B805" s="7" t="n"/>
      <c r="C805" s="7" t="n"/>
      <c r="D805" s="7" t="n"/>
      <c r="E805" s="7" t="n"/>
      <c r="F805" s="7" t="n"/>
      <c r="G805" s="7" t="n"/>
      <c r="K805" s="7" t="n"/>
      <c r="L805" s="7" t="n"/>
    </row>
    <row r="806" ht="15.75" customHeight="1" s="209">
      <c r="A806" s="7" t="n"/>
      <c r="B806" s="7" t="n"/>
      <c r="C806" s="7" t="n"/>
      <c r="D806" s="7" t="n"/>
      <c r="E806" s="7" t="n"/>
      <c r="F806" s="7" t="n"/>
      <c r="G806" s="7" t="n"/>
      <c r="K806" s="7" t="n"/>
      <c r="L806" s="7" t="n"/>
    </row>
    <row r="807" ht="15.75" customHeight="1" s="209">
      <c r="A807" s="7" t="n"/>
      <c r="B807" s="7" t="n"/>
      <c r="C807" s="7" t="n"/>
      <c r="D807" s="7" t="n"/>
      <c r="E807" s="7" t="n"/>
      <c r="F807" s="7" t="n"/>
      <c r="G807" s="7" t="n"/>
      <c r="K807" s="7" t="n"/>
      <c r="L807" s="7" t="n"/>
    </row>
    <row r="808" ht="15.75" customHeight="1" s="209">
      <c r="A808" s="7" t="n"/>
      <c r="B808" s="7" t="n"/>
      <c r="C808" s="7" t="n"/>
      <c r="D808" s="7" t="n"/>
      <c r="E808" s="7" t="n"/>
      <c r="F808" s="7" t="n"/>
      <c r="G808" s="7" t="n"/>
      <c r="K808" s="7" t="n"/>
      <c r="L808" s="7" t="n"/>
    </row>
    <row r="809" ht="15.75" customHeight="1" s="209">
      <c r="A809" s="7" t="n"/>
      <c r="B809" s="7" t="n"/>
      <c r="C809" s="7" t="n"/>
      <c r="D809" s="7" t="n"/>
      <c r="E809" s="7" t="n"/>
      <c r="F809" s="7" t="n"/>
      <c r="G809" s="7" t="n"/>
      <c r="K809" s="7" t="n"/>
      <c r="L809" s="7" t="n"/>
    </row>
    <row r="810" ht="15.75" customHeight="1" s="209">
      <c r="A810" s="7" t="n"/>
      <c r="B810" s="7" t="n"/>
      <c r="C810" s="7" t="n"/>
      <c r="D810" s="7" t="n"/>
      <c r="E810" s="7" t="n"/>
      <c r="F810" s="7" t="n"/>
      <c r="G810" s="7" t="n"/>
      <c r="K810" s="7" t="n"/>
      <c r="L810" s="7" t="n"/>
    </row>
    <row r="811" ht="15.75" customHeight="1" s="209">
      <c r="A811" s="7" t="n"/>
      <c r="B811" s="7" t="n"/>
      <c r="C811" s="7" t="n"/>
      <c r="D811" s="7" t="n"/>
      <c r="E811" s="7" t="n"/>
      <c r="F811" s="7" t="n"/>
      <c r="G811" s="7" t="n"/>
      <c r="K811" s="7" t="n"/>
      <c r="L811" s="7" t="n"/>
    </row>
    <row r="812" ht="15.75" customHeight="1" s="209">
      <c r="A812" s="7" t="n"/>
      <c r="B812" s="7" t="n"/>
      <c r="C812" s="7" t="n"/>
      <c r="D812" s="7" t="n"/>
      <c r="E812" s="7" t="n"/>
      <c r="F812" s="7" t="n"/>
      <c r="G812" s="7" t="n"/>
      <c r="K812" s="7" t="n"/>
      <c r="L812" s="7" t="n"/>
    </row>
    <row r="813" ht="15.75" customHeight="1" s="209">
      <c r="A813" s="7" t="n"/>
      <c r="B813" s="7" t="n"/>
      <c r="C813" s="7" t="n"/>
      <c r="D813" s="7" t="n"/>
      <c r="E813" s="7" t="n"/>
      <c r="F813" s="7" t="n"/>
      <c r="G813" s="7" t="n"/>
      <c r="K813" s="7" t="n"/>
      <c r="L813" s="7" t="n"/>
    </row>
    <row r="814" ht="15.75" customHeight="1" s="209">
      <c r="A814" s="7" t="n"/>
      <c r="B814" s="7" t="n"/>
      <c r="C814" s="7" t="n"/>
      <c r="D814" s="7" t="n"/>
      <c r="E814" s="7" t="n"/>
      <c r="F814" s="7" t="n"/>
      <c r="G814" s="7" t="n"/>
      <c r="K814" s="7" t="n"/>
      <c r="L814" s="7" t="n"/>
    </row>
    <row r="815" ht="15.75" customHeight="1" s="209">
      <c r="A815" s="7" t="n"/>
      <c r="B815" s="7" t="n"/>
      <c r="C815" s="7" t="n"/>
      <c r="D815" s="7" t="n"/>
      <c r="E815" s="7" t="n"/>
      <c r="F815" s="7" t="n"/>
      <c r="G815" s="7" t="n"/>
      <c r="K815" s="7" t="n"/>
      <c r="L815" s="7" t="n"/>
    </row>
    <row r="816" ht="15.75" customHeight="1" s="209">
      <c r="A816" s="7" t="n"/>
      <c r="B816" s="7" t="n"/>
      <c r="C816" s="7" t="n"/>
      <c r="D816" s="7" t="n"/>
      <c r="E816" s="7" t="n"/>
      <c r="F816" s="7" t="n"/>
      <c r="G816" s="7" t="n"/>
      <c r="K816" s="7" t="n"/>
      <c r="L816" s="7" t="n"/>
    </row>
    <row r="817" ht="15.75" customHeight="1" s="209">
      <c r="A817" s="7" t="n"/>
      <c r="B817" s="7" t="n"/>
      <c r="C817" s="7" t="n"/>
      <c r="D817" s="7" t="n"/>
      <c r="E817" s="7" t="n"/>
      <c r="F817" s="7" t="n"/>
      <c r="G817" s="7" t="n"/>
      <c r="K817" s="7" t="n"/>
      <c r="L817" s="7" t="n"/>
    </row>
    <row r="818" ht="15.75" customHeight="1" s="209">
      <c r="A818" s="7" t="n"/>
      <c r="B818" s="7" t="n"/>
      <c r="C818" s="7" t="n"/>
      <c r="D818" s="7" t="n"/>
      <c r="E818" s="7" t="n"/>
      <c r="F818" s="7" t="n"/>
      <c r="G818" s="7" t="n"/>
      <c r="K818" s="7" t="n"/>
      <c r="L818" s="7" t="n"/>
    </row>
    <row r="819" ht="15.75" customHeight="1" s="209">
      <c r="A819" s="7" t="n"/>
      <c r="B819" s="7" t="n"/>
      <c r="C819" s="7" t="n"/>
      <c r="D819" s="7" t="n"/>
      <c r="E819" s="7" t="n"/>
      <c r="F819" s="7" t="n"/>
      <c r="G819" s="7" t="n"/>
      <c r="K819" s="7" t="n"/>
      <c r="L819" s="7" t="n"/>
    </row>
    <row r="820" ht="15.75" customHeight="1" s="209">
      <c r="A820" s="7" t="n"/>
      <c r="B820" s="7" t="n"/>
      <c r="C820" s="7" t="n"/>
      <c r="D820" s="7" t="n"/>
      <c r="E820" s="7" t="n"/>
      <c r="F820" s="7" t="n"/>
      <c r="G820" s="7" t="n"/>
      <c r="K820" s="7" t="n"/>
      <c r="L820" s="7" t="n"/>
    </row>
    <row r="821" ht="15.75" customHeight="1" s="209">
      <c r="A821" s="7" t="n"/>
      <c r="B821" s="7" t="n"/>
      <c r="C821" s="7" t="n"/>
      <c r="D821" s="7" t="n"/>
      <c r="E821" s="7" t="n"/>
      <c r="F821" s="7" t="n"/>
      <c r="G821" s="7" t="n"/>
      <c r="K821" s="7" t="n"/>
      <c r="L821" s="7" t="n"/>
    </row>
    <row r="822" ht="15.75" customHeight="1" s="209">
      <c r="A822" s="7" t="n"/>
      <c r="B822" s="7" t="n"/>
      <c r="C822" s="7" t="n"/>
      <c r="D822" s="7" t="n"/>
      <c r="E822" s="7" t="n"/>
      <c r="F822" s="7" t="n"/>
      <c r="G822" s="7" t="n"/>
      <c r="K822" s="7" t="n"/>
      <c r="L822" s="7" t="n"/>
    </row>
    <row r="823" ht="15.75" customHeight="1" s="209">
      <c r="A823" s="7" t="n"/>
      <c r="B823" s="7" t="n"/>
      <c r="C823" s="7" t="n"/>
      <c r="D823" s="7" t="n"/>
      <c r="E823" s="7" t="n"/>
      <c r="F823" s="7" t="n"/>
      <c r="G823" s="7" t="n"/>
      <c r="K823" s="7" t="n"/>
      <c r="L823" s="7" t="n"/>
    </row>
    <row r="824" ht="15.75" customHeight="1" s="209">
      <c r="A824" s="7" t="n"/>
      <c r="B824" s="7" t="n"/>
      <c r="C824" s="7" t="n"/>
      <c r="D824" s="7" t="n"/>
      <c r="E824" s="7" t="n"/>
      <c r="F824" s="7" t="n"/>
      <c r="G824" s="7" t="n"/>
      <c r="K824" s="7" t="n"/>
      <c r="L824" s="7" t="n"/>
    </row>
    <row r="825" ht="15.75" customHeight="1" s="209">
      <c r="A825" s="7" t="n"/>
      <c r="B825" s="7" t="n"/>
      <c r="C825" s="7" t="n"/>
      <c r="D825" s="7" t="n"/>
      <c r="E825" s="7" t="n"/>
      <c r="F825" s="7" t="n"/>
      <c r="G825" s="7" t="n"/>
      <c r="K825" s="7" t="n"/>
      <c r="L825" s="7" t="n"/>
    </row>
    <row r="826" ht="15.75" customHeight="1" s="209">
      <c r="A826" s="7" t="n"/>
      <c r="B826" s="7" t="n"/>
      <c r="C826" s="7" t="n"/>
      <c r="D826" s="7" t="n"/>
      <c r="E826" s="7" t="n"/>
      <c r="F826" s="7" t="n"/>
      <c r="G826" s="7" t="n"/>
      <c r="K826" s="7" t="n"/>
      <c r="L826" s="7" t="n"/>
    </row>
    <row r="827" ht="15.75" customHeight="1" s="209">
      <c r="A827" s="7" t="n"/>
      <c r="B827" s="7" t="n"/>
      <c r="C827" s="7" t="n"/>
      <c r="D827" s="7" t="n"/>
      <c r="E827" s="7" t="n"/>
      <c r="F827" s="7" t="n"/>
      <c r="G827" s="7" t="n"/>
      <c r="K827" s="7" t="n"/>
      <c r="L827" s="7" t="n"/>
    </row>
    <row r="828" ht="15.75" customHeight="1" s="209">
      <c r="A828" s="7" t="n"/>
      <c r="B828" s="7" t="n"/>
      <c r="C828" s="7" t="n"/>
      <c r="D828" s="7" t="n"/>
      <c r="E828" s="7" t="n"/>
      <c r="F828" s="7" t="n"/>
      <c r="G828" s="7" t="n"/>
      <c r="K828" s="7" t="n"/>
      <c r="L828" s="7" t="n"/>
    </row>
    <row r="829" ht="15.75" customHeight="1" s="209">
      <c r="A829" s="7" t="n"/>
      <c r="B829" s="7" t="n"/>
      <c r="C829" s="7" t="n"/>
      <c r="D829" s="7" t="n"/>
      <c r="E829" s="7" t="n"/>
      <c r="F829" s="7" t="n"/>
      <c r="G829" s="7" t="n"/>
      <c r="K829" s="7" t="n"/>
      <c r="L829" s="7" t="n"/>
    </row>
    <row r="830" ht="15.75" customHeight="1" s="209">
      <c r="A830" s="7" t="n"/>
      <c r="B830" s="7" t="n"/>
      <c r="C830" s="7" t="n"/>
      <c r="D830" s="7" t="n"/>
      <c r="E830" s="7" t="n"/>
      <c r="F830" s="7" t="n"/>
      <c r="G830" s="7" t="n"/>
      <c r="K830" s="7" t="n"/>
      <c r="L830" s="7" t="n"/>
    </row>
    <row r="831" ht="15.75" customHeight="1" s="209">
      <c r="A831" s="7" t="n"/>
      <c r="B831" s="7" t="n"/>
      <c r="C831" s="7" t="n"/>
      <c r="D831" s="7" t="n"/>
      <c r="E831" s="7" t="n"/>
      <c r="F831" s="7" t="n"/>
      <c r="G831" s="7" t="n"/>
      <c r="K831" s="7" t="n"/>
      <c r="L831" s="7" t="n"/>
    </row>
    <row r="832" ht="15.75" customHeight="1" s="209">
      <c r="A832" s="7" t="n"/>
      <c r="B832" s="7" t="n"/>
      <c r="C832" s="7" t="n"/>
      <c r="D832" s="7" t="n"/>
      <c r="E832" s="7" t="n"/>
      <c r="F832" s="7" t="n"/>
      <c r="G832" s="7" t="n"/>
      <c r="K832" s="7" t="n"/>
      <c r="L832" s="7" t="n"/>
    </row>
    <row r="833" ht="15.75" customHeight="1" s="209">
      <c r="A833" s="7" t="n"/>
      <c r="B833" s="7" t="n"/>
      <c r="C833" s="7" t="n"/>
      <c r="D833" s="7" t="n"/>
      <c r="E833" s="7" t="n"/>
      <c r="F833" s="7" t="n"/>
      <c r="G833" s="7" t="n"/>
      <c r="K833" s="7" t="n"/>
      <c r="L833" s="7" t="n"/>
    </row>
    <row r="834" ht="15.75" customHeight="1" s="209">
      <c r="A834" s="7" t="n"/>
      <c r="B834" s="7" t="n"/>
      <c r="C834" s="7" t="n"/>
      <c r="D834" s="7" t="n"/>
      <c r="E834" s="7" t="n"/>
      <c r="F834" s="7" t="n"/>
      <c r="G834" s="7" t="n"/>
      <c r="K834" s="7" t="n"/>
      <c r="L834" s="7" t="n"/>
    </row>
    <row r="835" ht="15.75" customHeight="1" s="209">
      <c r="A835" s="7" t="n"/>
      <c r="B835" s="7" t="n"/>
      <c r="C835" s="7" t="n"/>
      <c r="D835" s="7" t="n"/>
      <c r="E835" s="7" t="n"/>
      <c r="F835" s="7" t="n"/>
      <c r="G835" s="7" t="n"/>
      <c r="K835" s="7" t="n"/>
      <c r="L835" s="7" t="n"/>
    </row>
    <row r="836" ht="15.75" customHeight="1" s="209">
      <c r="A836" s="7" t="n"/>
      <c r="B836" s="7" t="n"/>
      <c r="C836" s="7" t="n"/>
      <c r="D836" s="7" t="n"/>
      <c r="E836" s="7" t="n"/>
      <c r="F836" s="7" t="n"/>
      <c r="G836" s="7" t="n"/>
      <c r="K836" s="7" t="n"/>
      <c r="L836" s="7" t="n"/>
    </row>
    <row r="837" ht="15.75" customHeight="1" s="209">
      <c r="A837" s="7" t="n"/>
      <c r="B837" s="7" t="n"/>
      <c r="C837" s="7" t="n"/>
      <c r="D837" s="7" t="n"/>
      <c r="E837" s="7" t="n"/>
      <c r="F837" s="7" t="n"/>
      <c r="G837" s="7" t="n"/>
      <c r="K837" s="7" t="n"/>
      <c r="L837" s="7" t="n"/>
    </row>
    <row r="838" ht="15.75" customHeight="1" s="209">
      <c r="A838" s="7" t="n"/>
      <c r="B838" s="7" t="n"/>
      <c r="C838" s="7" t="n"/>
      <c r="D838" s="7" t="n"/>
      <c r="E838" s="7" t="n"/>
      <c r="F838" s="7" t="n"/>
      <c r="G838" s="7" t="n"/>
      <c r="K838" s="7" t="n"/>
      <c r="L838" s="7" t="n"/>
    </row>
    <row r="839" ht="15.75" customHeight="1" s="209">
      <c r="A839" s="7" t="n"/>
      <c r="B839" s="7" t="n"/>
      <c r="C839" s="7" t="n"/>
      <c r="D839" s="7" t="n"/>
      <c r="E839" s="7" t="n"/>
      <c r="F839" s="7" t="n"/>
      <c r="G839" s="7" t="n"/>
      <c r="K839" s="7" t="n"/>
      <c r="L839" s="7" t="n"/>
    </row>
    <row r="840" ht="15.75" customHeight="1" s="209">
      <c r="A840" s="7" t="n"/>
      <c r="B840" s="7" t="n"/>
      <c r="C840" s="7" t="n"/>
      <c r="D840" s="7" t="n"/>
      <c r="E840" s="7" t="n"/>
      <c r="F840" s="7" t="n"/>
      <c r="G840" s="7" t="n"/>
      <c r="K840" s="7" t="n"/>
      <c r="L840" s="7" t="n"/>
    </row>
    <row r="841" ht="15.75" customHeight="1" s="209">
      <c r="A841" s="7" t="n"/>
      <c r="B841" s="7" t="n"/>
      <c r="C841" s="7" t="n"/>
      <c r="D841" s="7" t="n"/>
      <c r="E841" s="7" t="n"/>
      <c r="F841" s="7" t="n"/>
      <c r="G841" s="7" t="n"/>
      <c r="K841" s="7" t="n"/>
      <c r="L841" s="7" t="n"/>
    </row>
    <row r="842" ht="15.75" customHeight="1" s="209">
      <c r="A842" s="7" t="n"/>
      <c r="B842" s="7" t="n"/>
      <c r="C842" s="7" t="n"/>
      <c r="D842" s="7" t="n"/>
      <c r="E842" s="7" t="n"/>
      <c r="F842" s="7" t="n"/>
      <c r="G842" s="7" t="n"/>
      <c r="K842" s="7" t="n"/>
      <c r="L842" s="7" t="n"/>
    </row>
    <row r="843" ht="15.75" customHeight="1" s="209">
      <c r="A843" s="7" t="n"/>
      <c r="B843" s="7" t="n"/>
      <c r="C843" s="7" t="n"/>
      <c r="D843" s="7" t="n"/>
      <c r="E843" s="7" t="n"/>
      <c r="F843" s="7" t="n"/>
      <c r="G843" s="7" t="n"/>
      <c r="K843" s="7" t="n"/>
      <c r="L843" s="7" t="n"/>
    </row>
    <row r="844" ht="15.75" customHeight="1" s="209">
      <c r="A844" s="7" t="n"/>
      <c r="B844" s="7" t="n"/>
      <c r="C844" s="7" t="n"/>
      <c r="D844" s="7" t="n"/>
      <c r="E844" s="7" t="n"/>
      <c r="F844" s="7" t="n"/>
      <c r="G844" s="7" t="n"/>
      <c r="K844" s="7" t="n"/>
      <c r="L844" s="7" t="n"/>
    </row>
    <row r="845" ht="15.75" customHeight="1" s="209">
      <c r="A845" s="7" t="n"/>
      <c r="B845" s="7" t="n"/>
      <c r="C845" s="7" t="n"/>
      <c r="D845" s="7" t="n"/>
      <c r="E845" s="7" t="n"/>
      <c r="F845" s="7" t="n"/>
      <c r="G845" s="7" t="n"/>
      <c r="K845" s="7" t="n"/>
      <c r="L845" s="7" t="n"/>
    </row>
    <row r="846" ht="15.75" customHeight="1" s="209">
      <c r="A846" s="7" t="n"/>
      <c r="B846" s="7" t="n"/>
      <c r="C846" s="7" t="n"/>
      <c r="D846" s="7" t="n"/>
      <c r="E846" s="7" t="n"/>
      <c r="F846" s="7" t="n"/>
      <c r="G846" s="7" t="n"/>
      <c r="K846" s="7" t="n"/>
      <c r="L846" s="7" t="n"/>
    </row>
    <row r="847" ht="15.75" customHeight="1" s="209">
      <c r="A847" s="7" t="n"/>
      <c r="B847" s="7" t="n"/>
      <c r="C847" s="7" t="n"/>
      <c r="D847" s="7" t="n"/>
      <c r="E847" s="7" t="n"/>
      <c r="F847" s="7" t="n"/>
      <c r="G847" s="7" t="n"/>
      <c r="K847" s="7" t="n"/>
      <c r="L847" s="7" t="n"/>
    </row>
    <row r="848" ht="15.75" customHeight="1" s="209">
      <c r="A848" s="7" t="n"/>
      <c r="B848" s="7" t="n"/>
      <c r="C848" s="7" t="n"/>
      <c r="D848" s="7" t="n"/>
      <c r="E848" s="7" t="n"/>
      <c r="F848" s="7" t="n"/>
      <c r="G848" s="7" t="n"/>
      <c r="K848" s="7" t="n"/>
      <c r="L848" s="7" t="n"/>
    </row>
    <row r="849" ht="15.75" customHeight="1" s="209">
      <c r="A849" s="7" t="n"/>
      <c r="B849" s="7" t="n"/>
      <c r="C849" s="7" t="n"/>
      <c r="D849" s="7" t="n"/>
      <c r="E849" s="7" t="n"/>
      <c r="F849" s="7" t="n"/>
      <c r="G849" s="7" t="n"/>
      <c r="K849" s="7" t="n"/>
      <c r="L849" s="7" t="n"/>
    </row>
    <row r="850" ht="15.75" customHeight="1" s="209">
      <c r="A850" s="7" t="n"/>
      <c r="B850" s="7" t="n"/>
      <c r="C850" s="7" t="n"/>
      <c r="D850" s="7" t="n"/>
      <c r="E850" s="7" t="n"/>
      <c r="F850" s="7" t="n"/>
      <c r="G850" s="7" t="n"/>
      <c r="K850" s="7" t="n"/>
      <c r="L850" s="7" t="n"/>
    </row>
    <row r="851" ht="15.75" customHeight="1" s="209">
      <c r="A851" s="7" t="n"/>
      <c r="B851" s="7" t="n"/>
      <c r="C851" s="7" t="n"/>
      <c r="D851" s="7" t="n"/>
      <c r="E851" s="7" t="n"/>
      <c r="F851" s="7" t="n"/>
      <c r="G851" s="7" t="n"/>
      <c r="K851" s="7" t="n"/>
      <c r="L851" s="7" t="n"/>
    </row>
    <row r="852" ht="15.75" customHeight="1" s="209">
      <c r="A852" s="7" t="n"/>
      <c r="B852" s="7" t="n"/>
      <c r="C852" s="7" t="n"/>
      <c r="D852" s="7" t="n"/>
      <c r="E852" s="7" t="n"/>
      <c r="F852" s="7" t="n"/>
      <c r="G852" s="7" t="n"/>
      <c r="K852" s="7" t="n"/>
      <c r="L852" s="7" t="n"/>
    </row>
    <row r="853" ht="15.75" customHeight="1" s="209">
      <c r="A853" s="7" t="n"/>
      <c r="B853" s="7" t="n"/>
      <c r="C853" s="7" t="n"/>
      <c r="D853" s="7" t="n"/>
      <c r="E853" s="7" t="n"/>
      <c r="F853" s="7" t="n"/>
      <c r="G853" s="7" t="n"/>
      <c r="K853" s="7" t="n"/>
      <c r="L853" s="7" t="n"/>
    </row>
    <row r="854" ht="15.75" customHeight="1" s="209">
      <c r="A854" s="7" t="n"/>
      <c r="B854" s="7" t="n"/>
      <c r="C854" s="7" t="n"/>
      <c r="D854" s="7" t="n"/>
      <c r="E854" s="7" t="n"/>
      <c r="F854" s="7" t="n"/>
      <c r="G854" s="7" t="n"/>
      <c r="K854" s="7" t="n"/>
      <c r="L854" s="7" t="n"/>
    </row>
    <row r="855" ht="15.75" customHeight="1" s="209">
      <c r="A855" s="7" t="n"/>
      <c r="B855" s="7" t="n"/>
      <c r="C855" s="7" t="n"/>
      <c r="D855" s="7" t="n"/>
      <c r="E855" s="7" t="n"/>
      <c r="F855" s="7" t="n"/>
      <c r="G855" s="7" t="n"/>
      <c r="K855" s="7" t="n"/>
      <c r="L855" s="7" t="n"/>
    </row>
    <row r="856" ht="15.75" customHeight="1" s="209">
      <c r="A856" s="7" t="n"/>
      <c r="B856" s="7" t="n"/>
      <c r="C856" s="7" t="n"/>
      <c r="D856" s="7" t="n"/>
      <c r="E856" s="7" t="n"/>
      <c r="F856" s="7" t="n"/>
      <c r="G856" s="7" t="n"/>
      <c r="K856" s="7" t="n"/>
      <c r="L856" s="7" t="n"/>
    </row>
    <row r="857" ht="15.75" customHeight="1" s="209">
      <c r="A857" s="7" t="n"/>
      <c r="B857" s="7" t="n"/>
      <c r="C857" s="7" t="n"/>
      <c r="D857" s="7" t="n"/>
      <c r="E857" s="7" t="n"/>
      <c r="F857" s="7" t="n"/>
      <c r="G857" s="7" t="n"/>
      <c r="K857" s="7" t="n"/>
      <c r="L857" s="7" t="n"/>
    </row>
    <row r="858" ht="15.75" customHeight="1" s="209">
      <c r="A858" s="7" t="n"/>
      <c r="B858" s="7" t="n"/>
      <c r="C858" s="7" t="n"/>
      <c r="D858" s="7" t="n"/>
      <c r="E858" s="7" t="n"/>
      <c r="F858" s="7" t="n"/>
      <c r="G858" s="7" t="n"/>
      <c r="K858" s="7" t="n"/>
      <c r="L858" s="7" t="n"/>
    </row>
    <row r="859" ht="15.75" customHeight="1" s="209">
      <c r="A859" s="7" t="n"/>
      <c r="B859" s="7" t="n"/>
      <c r="C859" s="7" t="n"/>
      <c r="D859" s="7" t="n"/>
      <c r="E859" s="7" t="n"/>
      <c r="F859" s="7" t="n"/>
      <c r="G859" s="7" t="n"/>
      <c r="K859" s="7" t="n"/>
      <c r="L859" s="7" t="n"/>
    </row>
    <row r="860" ht="15.75" customHeight="1" s="209">
      <c r="A860" s="7" t="n"/>
      <c r="B860" s="7" t="n"/>
      <c r="C860" s="7" t="n"/>
      <c r="D860" s="7" t="n"/>
      <c r="E860" s="7" t="n"/>
      <c r="F860" s="7" t="n"/>
      <c r="G860" s="7" t="n"/>
      <c r="K860" s="7" t="n"/>
      <c r="L860" s="7" t="n"/>
    </row>
    <row r="861" ht="15.75" customHeight="1" s="209">
      <c r="A861" s="7" t="n"/>
      <c r="B861" s="7" t="n"/>
      <c r="C861" s="7" t="n"/>
      <c r="D861" s="7" t="n"/>
      <c r="E861" s="7" t="n"/>
      <c r="F861" s="7" t="n"/>
      <c r="G861" s="7" t="n"/>
      <c r="K861" s="7" t="n"/>
      <c r="L861" s="7" t="n"/>
    </row>
    <row r="862" ht="15.75" customHeight="1" s="209">
      <c r="A862" s="7" t="n"/>
      <c r="B862" s="7" t="n"/>
      <c r="C862" s="7" t="n"/>
      <c r="D862" s="7" t="n"/>
      <c r="E862" s="7" t="n"/>
      <c r="F862" s="7" t="n"/>
      <c r="G862" s="7" t="n"/>
      <c r="K862" s="7" t="n"/>
      <c r="L862" s="7" t="n"/>
    </row>
    <row r="863" ht="15.75" customHeight="1" s="209">
      <c r="A863" s="7" t="n"/>
      <c r="B863" s="7" t="n"/>
      <c r="C863" s="7" t="n"/>
      <c r="D863" s="7" t="n"/>
      <c r="E863" s="7" t="n"/>
      <c r="F863" s="7" t="n"/>
      <c r="G863" s="7" t="n"/>
      <c r="K863" s="7" t="n"/>
      <c r="L863" s="7" t="n"/>
    </row>
    <row r="864" ht="15.75" customHeight="1" s="209">
      <c r="A864" s="7" t="n"/>
      <c r="B864" s="7" t="n"/>
      <c r="C864" s="7" t="n"/>
      <c r="D864" s="7" t="n"/>
      <c r="E864" s="7" t="n"/>
      <c r="F864" s="7" t="n"/>
      <c r="G864" s="7" t="n"/>
      <c r="K864" s="7" t="n"/>
      <c r="L864" s="7" t="n"/>
    </row>
    <row r="865" ht="15.75" customHeight="1" s="209">
      <c r="A865" s="7" t="n"/>
      <c r="B865" s="7" t="n"/>
      <c r="C865" s="7" t="n"/>
      <c r="D865" s="7" t="n"/>
      <c r="E865" s="7" t="n"/>
      <c r="F865" s="7" t="n"/>
      <c r="G865" s="7" t="n"/>
      <c r="K865" s="7" t="n"/>
      <c r="L865" s="7" t="n"/>
    </row>
    <row r="866" ht="15.75" customHeight="1" s="209">
      <c r="A866" s="7" t="n"/>
      <c r="B866" s="7" t="n"/>
      <c r="C866" s="7" t="n"/>
      <c r="D866" s="7" t="n"/>
      <c r="E866" s="7" t="n"/>
      <c r="F866" s="7" t="n"/>
      <c r="G866" s="7" t="n"/>
      <c r="K866" s="7" t="n"/>
      <c r="L866" s="7" t="n"/>
    </row>
    <row r="867" ht="15.75" customHeight="1" s="209">
      <c r="A867" s="7" t="n"/>
      <c r="B867" s="7" t="n"/>
      <c r="C867" s="7" t="n"/>
      <c r="D867" s="7" t="n"/>
      <c r="E867" s="7" t="n"/>
      <c r="F867" s="7" t="n"/>
      <c r="G867" s="7" t="n"/>
      <c r="K867" s="7" t="n"/>
      <c r="L867" s="7" t="n"/>
    </row>
    <row r="868" ht="15.75" customHeight="1" s="209">
      <c r="A868" s="7" t="n"/>
      <c r="B868" s="7" t="n"/>
      <c r="C868" s="7" t="n"/>
      <c r="D868" s="7" t="n"/>
      <c r="E868" s="7" t="n"/>
      <c r="F868" s="7" t="n"/>
      <c r="G868" s="7" t="n"/>
      <c r="K868" s="7" t="n"/>
      <c r="L868" s="7" t="n"/>
    </row>
    <row r="869" ht="15.75" customHeight="1" s="209">
      <c r="A869" s="7" t="n"/>
      <c r="B869" s="7" t="n"/>
      <c r="C869" s="7" t="n"/>
      <c r="D869" s="7" t="n"/>
      <c r="E869" s="7" t="n"/>
      <c r="F869" s="7" t="n"/>
      <c r="G869" s="7" t="n"/>
      <c r="K869" s="7" t="n"/>
      <c r="L869" s="7" t="n"/>
    </row>
    <row r="870" ht="15.75" customHeight="1" s="209">
      <c r="A870" s="7" t="n"/>
      <c r="B870" s="7" t="n"/>
      <c r="C870" s="7" t="n"/>
      <c r="D870" s="7" t="n"/>
      <c r="E870" s="7" t="n"/>
      <c r="F870" s="7" t="n"/>
      <c r="G870" s="7" t="n"/>
      <c r="K870" s="7" t="n"/>
      <c r="L870" s="7" t="n"/>
    </row>
    <row r="871" ht="15.75" customHeight="1" s="209">
      <c r="A871" s="7" t="n"/>
      <c r="B871" s="7" t="n"/>
      <c r="C871" s="7" t="n"/>
      <c r="D871" s="7" t="n"/>
      <c r="E871" s="7" t="n"/>
      <c r="F871" s="7" t="n"/>
      <c r="G871" s="7" t="n"/>
      <c r="K871" s="7" t="n"/>
      <c r="L871" s="7" t="n"/>
    </row>
    <row r="872" ht="15.75" customHeight="1" s="209">
      <c r="A872" s="7" t="n"/>
      <c r="B872" s="7" t="n"/>
      <c r="C872" s="7" t="n"/>
      <c r="D872" s="7" t="n"/>
      <c r="E872" s="7" t="n"/>
      <c r="F872" s="7" t="n"/>
      <c r="G872" s="7" t="n"/>
      <c r="K872" s="7" t="n"/>
      <c r="L872" s="7" t="n"/>
    </row>
    <row r="873" ht="15.75" customHeight="1" s="209">
      <c r="A873" s="7" t="n"/>
      <c r="B873" s="7" t="n"/>
      <c r="C873" s="7" t="n"/>
      <c r="D873" s="7" t="n"/>
      <c r="E873" s="7" t="n"/>
      <c r="F873" s="7" t="n"/>
      <c r="G873" s="7" t="n"/>
      <c r="K873" s="7" t="n"/>
      <c r="L873" s="7" t="n"/>
    </row>
    <row r="874" ht="15.75" customHeight="1" s="209">
      <c r="A874" s="7" t="n"/>
      <c r="B874" s="7" t="n"/>
      <c r="C874" s="7" t="n"/>
      <c r="D874" s="7" t="n"/>
      <c r="E874" s="7" t="n"/>
      <c r="F874" s="7" t="n"/>
      <c r="G874" s="7" t="n"/>
      <c r="K874" s="7" t="n"/>
      <c r="L874" s="7" t="n"/>
    </row>
    <row r="875" ht="15.75" customHeight="1" s="209">
      <c r="A875" s="7" t="n"/>
      <c r="B875" s="7" t="n"/>
      <c r="C875" s="7" t="n"/>
      <c r="D875" s="7" t="n"/>
      <c r="E875" s="7" t="n"/>
      <c r="F875" s="7" t="n"/>
      <c r="G875" s="7" t="n"/>
      <c r="K875" s="7" t="n"/>
      <c r="L875" s="7" t="n"/>
    </row>
    <row r="876" ht="15.75" customHeight="1" s="209">
      <c r="A876" s="7" t="n"/>
      <c r="B876" s="7" t="n"/>
      <c r="C876" s="7" t="n"/>
      <c r="D876" s="7" t="n"/>
      <c r="E876" s="7" t="n"/>
      <c r="F876" s="7" t="n"/>
      <c r="G876" s="7" t="n"/>
      <c r="K876" s="7" t="n"/>
      <c r="L876" s="7" t="n"/>
    </row>
    <row r="877" ht="15.75" customHeight="1" s="209">
      <c r="A877" s="7" t="n"/>
      <c r="B877" s="7" t="n"/>
      <c r="C877" s="7" t="n"/>
      <c r="D877" s="7" t="n"/>
      <c r="E877" s="7" t="n"/>
      <c r="F877" s="7" t="n"/>
      <c r="G877" s="7" t="n"/>
      <c r="K877" s="7" t="n"/>
      <c r="L877" s="7" t="n"/>
    </row>
    <row r="878" ht="15.75" customHeight="1" s="209">
      <c r="A878" s="7" t="n"/>
      <c r="B878" s="7" t="n"/>
      <c r="C878" s="7" t="n"/>
      <c r="D878" s="7" t="n"/>
      <c r="E878" s="7" t="n"/>
      <c r="F878" s="7" t="n"/>
      <c r="G878" s="7" t="n"/>
      <c r="K878" s="7" t="n"/>
      <c r="L878" s="7" t="n"/>
    </row>
    <row r="879" ht="15.75" customHeight="1" s="209">
      <c r="A879" s="7" t="n"/>
      <c r="B879" s="7" t="n"/>
      <c r="C879" s="7" t="n"/>
      <c r="D879" s="7" t="n"/>
      <c r="E879" s="7" t="n"/>
      <c r="F879" s="7" t="n"/>
      <c r="G879" s="7" t="n"/>
      <c r="K879" s="7" t="n"/>
      <c r="L879" s="7" t="n"/>
    </row>
    <row r="880" ht="15.75" customHeight="1" s="209">
      <c r="A880" s="7" t="n"/>
      <c r="B880" s="7" t="n"/>
      <c r="C880" s="7" t="n"/>
      <c r="D880" s="7" t="n"/>
      <c r="E880" s="7" t="n"/>
      <c r="F880" s="7" t="n"/>
      <c r="G880" s="7" t="n"/>
      <c r="K880" s="7" t="n"/>
      <c r="L880" s="7" t="n"/>
    </row>
    <row r="881" ht="15.75" customHeight="1" s="209">
      <c r="A881" s="7" t="n"/>
      <c r="B881" s="7" t="n"/>
      <c r="C881" s="7" t="n"/>
      <c r="D881" s="7" t="n"/>
      <c r="E881" s="7" t="n"/>
      <c r="F881" s="7" t="n"/>
      <c r="G881" s="7" t="n"/>
      <c r="K881" s="7" t="n"/>
      <c r="L881" s="7" t="n"/>
    </row>
    <row r="882" ht="15.75" customHeight="1" s="209">
      <c r="A882" s="7" t="n"/>
      <c r="B882" s="7" t="n"/>
      <c r="C882" s="7" t="n"/>
      <c r="D882" s="7" t="n"/>
      <c r="E882" s="7" t="n"/>
      <c r="F882" s="7" t="n"/>
      <c r="G882" s="7" t="n"/>
      <c r="K882" s="7" t="n"/>
      <c r="L882" s="7" t="n"/>
    </row>
    <row r="883" ht="15.75" customHeight="1" s="209">
      <c r="A883" s="7" t="n"/>
      <c r="B883" s="7" t="n"/>
      <c r="C883" s="7" t="n"/>
      <c r="D883" s="7" t="n"/>
      <c r="E883" s="7" t="n"/>
      <c r="F883" s="7" t="n"/>
      <c r="G883" s="7" t="n"/>
      <c r="K883" s="7" t="n"/>
      <c r="L883" s="7" t="n"/>
    </row>
    <row r="884" ht="15.75" customHeight="1" s="209">
      <c r="A884" s="7" t="n"/>
      <c r="B884" s="7" t="n"/>
      <c r="C884" s="7" t="n"/>
      <c r="D884" s="7" t="n"/>
      <c r="E884" s="7" t="n"/>
      <c r="F884" s="7" t="n"/>
      <c r="G884" s="7" t="n"/>
      <c r="K884" s="7" t="n"/>
      <c r="L884" s="7" t="n"/>
    </row>
    <row r="885" ht="15.75" customHeight="1" s="209">
      <c r="A885" s="7" t="n"/>
      <c r="B885" s="7" t="n"/>
      <c r="C885" s="7" t="n"/>
      <c r="D885" s="7" t="n"/>
      <c r="E885" s="7" t="n"/>
      <c r="F885" s="7" t="n"/>
      <c r="G885" s="7" t="n"/>
      <c r="K885" s="7" t="n"/>
      <c r="L885" s="7" t="n"/>
    </row>
    <row r="886" ht="15.75" customHeight="1" s="209">
      <c r="A886" s="7" t="n"/>
      <c r="B886" s="7" t="n"/>
      <c r="C886" s="7" t="n"/>
      <c r="D886" s="7" t="n"/>
      <c r="E886" s="7" t="n"/>
      <c r="F886" s="7" t="n"/>
      <c r="G886" s="7" t="n"/>
      <c r="K886" s="7" t="n"/>
      <c r="L886" s="7" t="n"/>
    </row>
    <row r="887" ht="15.75" customHeight="1" s="209">
      <c r="A887" s="7" t="n"/>
      <c r="B887" s="7" t="n"/>
      <c r="C887" s="7" t="n"/>
      <c r="D887" s="7" t="n"/>
      <c r="E887" s="7" t="n"/>
      <c r="F887" s="7" t="n"/>
      <c r="G887" s="7" t="n"/>
      <c r="K887" s="7" t="n"/>
      <c r="L887" s="7" t="n"/>
    </row>
    <row r="888" ht="15.75" customHeight="1" s="209">
      <c r="A888" s="7" t="n"/>
      <c r="B888" s="7" t="n"/>
      <c r="C888" s="7" t="n"/>
      <c r="D888" s="7" t="n"/>
      <c r="E888" s="7" t="n"/>
      <c r="F888" s="7" t="n"/>
      <c r="G888" s="7" t="n"/>
      <c r="K888" s="7" t="n"/>
      <c r="L888" s="7" t="n"/>
    </row>
    <row r="889" ht="15.75" customHeight="1" s="209">
      <c r="A889" s="7" t="n"/>
      <c r="B889" s="7" t="n"/>
      <c r="C889" s="7" t="n"/>
      <c r="D889" s="7" t="n"/>
      <c r="E889" s="7" t="n"/>
      <c r="F889" s="7" t="n"/>
      <c r="G889" s="7" t="n"/>
      <c r="K889" s="7" t="n"/>
      <c r="L889" s="7" t="n"/>
    </row>
    <row r="890" ht="15.75" customHeight="1" s="209">
      <c r="A890" s="7" t="n"/>
      <c r="B890" s="7" t="n"/>
      <c r="C890" s="7" t="n"/>
      <c r="D890" s="7" t="n"/>
      <c r="E890" s="7" t="n"/>
      <c r="F890" s="7" t="n"/>
      <c r="G890" s="7" t="n"/>
      <c r="K890" s="7" t="n"/>
      <c r="L890" s="7" t="n"/>
    </row>
    <row r="891" ht="15.75" customHeight="1" s="209">
      <c r="A891" s="7" t="n"/>
      <c r="B891" s="7" t="n"/>
      <c r="C891" s="7" t="n"/>
      <c r="D891" s="7" t="n"/>
      <c r="E891" s="7" t="n"/>
      <c r="F891" s="7" t="n"/>
      <c r="G891" s="7" t="n"/>
      <c r="K891" s="7" t="n"/>
      <c r="L891" s="7" t="n"/>
    </row>
    <row r="892" ht="15.75" customHeight="1" s="209">
      <c r="A892" s="7" t="n"/>
      <c r="B892" s="7" t="n"/>
      <c r="C892" s="7" t="n"/>
      <c r="D892" s="7" t="n"/>
      <c r="E892" s="7" t="n"/>
      <c r="F892" s="7" t="n"/>
      <c r="G892" s="7" t="n"/>
      <c r="K892" s="7" t="n"/>
      <c r="L892" s="7" t="n"/>
    </row>
    <row r="893" ht="15.75" customHeight="1" s="209">
      <c r="A893" s="7" t="n"/>
      <c r="B893" s="7" t="n"/>
      <c r="C893" s="7" t="n"/>
      <c r="D893" s="7" t="n"/>
      <c r="E893" s="7" t="n"/>
      <c r="F893" s="7" t="n"/>
      <c r="G893" s="7" t="n"/>
      <c r="K893" s="7" t="n"/>
      <c r="L893" s="7" t="n"/>
    </row>
    <row r="894" ht="15.75" customHeight="1" s="209">
      <c r="A894" s="7" t="n"/>
      <c r="B894" s="7" t="n"/>
      <c r="C894" s="7" t="n"/>
      <c r="D894" s="7" t="n"/>
      <c r="E894" s="7" t="n"/>
      <c r="F894" s="7" t="n"/>
      <c r="G894" s="7" t="n"/>
      <c r="K894" s="7" t="n"/>
      <c r="L894" s="7" t="n"/>
    </row>
    <row r="895" ht="15.75" customHeight="1" s="209">
      <c r="A895" s="7" t="n"/>
      <c r="B895" s="7" t="n"/>
      <c r="C895" s="7" t="n"/>
      <c r="D895" s="7" t="n"/>
      <c r="E895" s="7" t="n"/>
      <c r="F895" s="7" t="n"/>
      <c r="G895" s="7" t="n"/>
      <c r="K895" s="7" t="n"/>
      <c r="L895" s="7" t="n"/>
    </row>
    <row r="896" ht="15.75" customHeight="1" s="209">
      <c r="A896" s="7" t="n"/>
      <c r="B896" s="7" t="n"/>
      <c r="C896" s="7" t="n"/>
      <c r="D896" s="7" t="n"/>
      <c r="E896" s="7" t="n"/>
      <c r="F896" s="7" t="n"/>
      <c r="G896" s="7" t="n"/>
      <c r="K896" s="7" t="n"/>
      <c r="L896" s="7" t="n"/>
    </row>
    <row r="897" ht="15.75" customHeight="1" s="209">
      <c r="A897" s="7" t="n"/>
      <c r="B897" s="7" t="n"/>
      <c r="C897" s="7" t="n"/>
      <c r="D897" s="7" t="n"/>
      <c r="E897" s="7" t="n"/>
      <c r="F897" s="7" t="n"/>
      <c r="G897" s="7" t="n"/>
      <c r="K897" s="7" t="n"/>
      <c r="L897" s="7" t="n"/>
    </row>
    <row r="898" ht="15.75" customHeight="1" s="209">
      <c r="A898" s="7" t="n"/>
      <c r="B898" s="7" t="n"/>
      <c r="C898" s="7" t="n"/>
      <c r="D898" s="7" t="n"/>
      <c r="E898" s="7" t="n"/>
      <c r="F898" s="7" t="n"/>
      <c r="G898" s="7" t="n"/>
      <c r="K898" s="7" t="n"/>
      <c r="L898" s="7" t="n"/>
    </row>
    <row r="899" ht="15.75" customHeight="1" s="209">
      <c r="A899" s="7" t="n"/>
      <c r="B899" s="7" t="n"/>
      <c r="C899" s="7" t="n"/>
      <c r="D899" s="7" t="n"/>
      <c r="E899" s="7" t="n"/>
      <c r="F899" s="7" t="n"/>
      <c r="G899" s="7" t="n"/>
      <c r="K899" s="7" t="n"/>
      <c r="L899" s="7" t="n"/>
    </row>
    <row r="900" ht="15.75" customHeight="1" s="209">
      <c r="A900" s="7" t="n"/>
      <c r="B900" s="7" t="n"/>
      <c r="C900" s="7" t="n"/>
      <c r="D900" s="7" t="n"/>
      <c r="E900" s="7" t="n"/>
      <c r="F900" s="7" t="n"/>
      <c r="G900" s="7" t="n"/>
      <c r="K900" s="7" t="n"/>
      <c r="L900" s="7" t="n"/>
    </row>
    <row r="901" ht="15.75" customHeight="1" s="209">
      <c r="A901" s="7" t="n"/>
      <c r="B901" s="7" t="n"/>
      <c r="C901" s="7" t="n"/>
      <c r="D901" s="7" t="n"/>
      <c r="E901" s="7" t="n"/>
      <c r="F901" s="7" t="n"/>
      <c r="G901" s="7" t="n"/>
      <c r="K901" s="7" t="n"/>
      <c r="L901" s="7" t="n"/>
    </row>
    <row r="902" ht="15.75" customHeight="1" s="209">
      <c r="A902" s="7" t="n"/>
      <c r="B902" s="7" t="n"/>
      <c r="C902" s="7" t="n"/>
      <c r="D902" s="7" t="n"/>
      <c r="E902" s="7" t="n"/>
      <c r="F902" s="7" t="n"/>
      <c r="G902" s="7" t="n"/>
      <c r="K902" s="7" t="n"/>
      <c r="L902" s="7" t="n"/>
    </row>
    <row r="903" ht="15.75" customHeight="1" s="209">
      <c r="A903" s="7" t="n"/>
      <c r="B903" s="7" t="n"/>
      <c r="C903" s="7" t="n"/>
      <c r="D903" s="7" t="n"/>
      <c r="E903" s="7" t="n"/>
      <c r="F903" s="7" t="n"/>
      <c r="G903" s="7" t="n"/>
      <c r="K903" s="7" t="n"/>
      <c r="L903" s="7" t="n"/>
    </row>
    <row r="904" ht="15.75" customHeight="1" s="209">
      <c r="A904" s="7" t="n"/>
      <c r="B904" s="7" t="n"/>
      <c r="C904" s="7" t="n"/>
      <c r="D904" s="7" t="n"/>
      <c r="E904" s="7" t="n"/>
      <c r="F904" s="7" t="n"/>
      <c r="G904" s="7" t="n"/>
      <c r="K904" s="7" t="n"/>
      <c r="L904" s="7" t="n"/>
    </row>
    <row r="905" ht="15.75" customHeight="1" s="209">
      <c r="A905" s="7" t="n"/>
      <c r="B905" s="7" t="n"/>
      <c r="C905" s="7" t="n"/>
      <c r="D905" s="7" t="n"/>
      <c r="E905" s="7" t="n"/>
      <c r="F905" s="7" t="n"/>
      <c r="G905" s="7" t="n"/>
      <c r="K905" s="7" t="n"/>
      <c r="L905" s="7" t="n"/>
    </row>
    <row r="906" ht="15.75" customHeight="1" s="209">
      <c r="A906" s="7" t="n"/>
      <c r="B906" s="7" t="n"/>
      <c r="C906" s="7" t="n"/>
      <c r="D906" s="7" t="n"/>
      <c r="E906" s="7" t="n"/>
      <c r="F906" s="7" t="n"/>
      <c r="G906" s="7" t="n"/>
      <c r="K906" s="7" t="n"/>
      <c r="L906" s="7" t="n"/>
    </row>
    <row r="907" ht="15.75" customHeight="1" s="209">
      <c r="A907" s="7" t="n"/>
      <c r="B907" s="7" t="n"/>
      <c r="C907" s="7" t="n"/>
      <c r="D907" s="7" t="n"/>
      <c r="E907" s="7" t="n"/>
      <c r="F907" s="7" t="n"/>
      <c r="G907" s="7" t="n"/>
      <c r="K907" s="7" t="n"/>
      <c r="L907" s="7" t="n"/>
    </row>
    <row r="908" ht="15.75" customHeight="1" s="209">
      <c r="A908" s="7" t="n"/>
      <c r="B908" s="7" t="n"/>
      <c r="C908" s="7" t="n"/>
      <c r="D908" s="7" t="n"/>
      <c r="E908" s="7" t="n"/>
      <c r="F908" s="7" t="n"/>
      <c r="G908" s="7" t="n"/>
      <c r="K908" s="7" t="n"/>
      <c r="L908" s="7" t="n"/>
    </row>
    <row r="909" ht="15.75" customHeight="1" s="209">
      <c r="A909" s="7" t="n"/>
      <c r="B909" s="7" t="n"/>
      <c r="C909" s="7" t="n"/>
      <c r="D909" s="7" t="n"/>
      <c r="E909" s="7" t="n"/>
      <c r="F909" s="7" t="n"/>
      <c r="G909" s="7" t="n"/>
      <c r="K909" s="7" t="n"/>
      <c r="L909" s="7" t="n"/>
    </row>
    <row r="910" ht="15.75" customHeight="1" s="209">
      <c r="A910" s="7" t="n"/>
      <c r="B910" s="7" t="n"/>
      <c r="C910" s="7" t="n"/>
      <c r="D910" s="7" t="n"/>
      <c r="E910" s="7" t="n"/>
      <c r="F910" s="7" t="n"/>
      <c r="G910" s="7" t="n"/>
      <c r="K910" s="7" t="n"/>
      <c r="L910" s="7" t="n"/>
    </row>
    <row r="911" ht="15.75" customHeight="1" s="209">
      <c r="A911" s="7" t="n"/>
      <c r="B911" s="7" t="n"/>
      <c r="C911" s="7" t="n"/>
      <c r="D911" s="7" t="n"/>
      <c r="E911" s="7" t="n"/>
      <c r="F911" s="7" t="n"/>
      <c r="G911" s="7" t="n"/>
      <c r="K911" s="7" t="n"/>
      <c r="L911" s="7" t="n"/>
    </row>
    <row r="912" ht="15.75" customHeight="1" s="209">
      <c r="A912" s="7" t="n"/>
      <c r="B912" s="7" t="n"/>
      <c r="C912" s="7" t="n"/>
      <c r="D912" s="7" t="n"/>
      <c r="E912" s="7" t="n"/>
      <c r="F912" s="7" t="n"/>
      <c r="G912" s="7" t="n"/>
      <c r="K912" s="7" t="n"/>
      <c r="L912" s="7" t="n"/>
    </row>
    <row r="913" ht="15.75" customHeight="1" s="209">
      <c r="A913" s="7" t="n"/>
      <c r="B913" s="7" t="n"/>
      <c r="C913" s="7" t="n"/>
      <c r="D913" s="7" t="n"/>
      <c r="E913" s="7" t="n"/>
      <c r="F913" s="7" t="n"/>
      <c r="G913" s="7" t="n"/>
      <c r="K913" s="7" t="n"/>
      <c r="L913" s="7" t="n"/>
    </row>
    <row r="914" ht="15.75" customHeight="1" s="209">
      <c r="A914" s="7" t="n"/>
      <c r="B914" s="7" t="n"/>
      <c r="C914" s="7" t="n"/>
      <c r="D914" s="7" t="n"/>
      <c r="E914" s="7" t="n"/>
      <c r="F914" s="7" t="n"/>
      <c r="G914" s="7" t="n"/>
      <c r="K914" s="7" t="n"/>
      <c r="L914" s="7" t="n"/>
    </row>
    <row r="915" ht="15.75" customHeight="1" s="209">
      <c r="A915" s="7" t="n"/>
      <c r="B915" s="7" t="n"/>
      <c r="C915" s="7" t="n"/>
      <c r="D915" s="7" t="n"/>
      <c r="E915" s="7" t="n"/>
      <c r="F915" s="7" t="n"/>
      <c r="G915" s="7" t="n"/>
      <c r="K915" s="7" t="n"/>
      <c r="L915" s="7" t="n"/>
    </row>
    <row r="916" ht="15.75" customHeight="1" s="209">
      <c r="A916" s="7" t="n"/>
      <c r="B916" s="7" t="n"/>
      <c r="C916" s="7" t="n"/>
      <c r="D916" s="7" t="n"/>
      <c r="E916" s="7" t="n"/>
      <c r="F916" s="7" t="n"/>
      <c r="G916" s="7" t="n"/>
      <c r="K916" s="7" t="n"/>
      <c r="L916" s="7" t="n"/>
    </row>
    <row r="917" ht="15.75" customHeight="1" s="209">
      <c r="A917" s="7" t="n"/>
      <c r="B917" s="7" t="n"/>
      <c r="C917" s="7" t="n"/>
      <c r="D917" s="7" t="n"/>
      <c r="E917" s="7" t="n"/>
      <c r="F917" s="7" t="n"/>
      <c r="G917" s="7" t="n"/>
      <c r="K917" s="7" t="n"/>
      <c r="L917" s="7" t="n"/>
    </row>
    <row r="918" ht="15.75" customHeight="1" s="209">
      <c r="A918" s="7" t="n"/>
      <c r="B918" s="7" t="n"/>
      <c r="C918" s="7" t="n"/>
      <c r="D918" s="7" t="n"/>
      <c r="E918" s="7" t="n"/>
      <c r="F918" s="7" t="n"/>
      <c r="G918" s="7" t="n"/>
      <c r="K918" s="7" t="n"/>
      <c r="L918" s="7" t="n"/>
    </row>
    <row r="919" ht="15.75" customHeight="1" s="209">
      <c r="A919" s="7" t="n"/>
      <c r="B919" s="7" t="n"/>
      <c r="C919" s="7" t="n"/>
      <c r="D919" s="7" t="n"/>
      <c r="E919" s="7" t="n"/>
      <c r="F919" s="7" t="n"/>
      <c r="G919" s="7" t="n"/>
      <c r="K919" s="7" t="n"/>
      <c r="L919" s="7" t="n"/>
    </row>
    <row r="920" ht="15.75" customHeight="1" s="209">
      <c r="A920" s="7" t="n"/>
      <c r="B920" s="7" t="n"/>
      <c r="C920" s="7" t="n"/>
      <c r="D920" s="7" t="n"/>
      <c r="E920" s="7" t="n"/>
      <c r="F920" s="7" t="n"/>
      <c r="G920" s="7" t="n"/>
      <c r="K920" s="7" t="n"/>
      <c r="L920" s="7" t="n"/>
    </row>
    <row r="921" ht="15.75" customHeight="1" s="209">
      <c r="A921" s="7" t="n"/>
      <c r="B921" s="7" t="n"/>
      <c r="C921" s="7" t="n"/>
      <c r="D921" s="7" t="n"/>
      <c r="E921" s="7" t="n"/>
      <c r="F921" s="7" t="n"/>
      <c r="G921" s="7" t="n"/>
      <c r="K921" s="7" t="n"/>
      <c r="L921" s="7" t="n"/>
    </row>
    <row r="922" ht="15.75" customHeight="1" s="209">
      <c r="A922" s="7" t="n"/>
      <c r="B922" s="7" t="n"/>
      <c r="C922" s="7" t="n"/>
      <c r="D922" s="7" t="n"/>
      <c r="E922" s="7" t="n"/>
      <c r="F922" s="7" t="n"/>
      <c r="G922" s="7" t="n"/>
      <c r="K922" s="7" t="n"/>
      <c r="L922" s="7" t="n"/>
    </row>
    <row r="923" ht="15.75" customHeight="1" s="209">
      <c r="A923" s="7" t="n"/>
      <c r="B923" s="7" t="n"/>
      <c r="C923" s="7" t="n"/>
      <c r="D923" s="7" t="n"/>
      <c r="E923" s="7" t="n"/>
      <c r="F923" s="7" t="n"/>
      <c r="G923" s="7" t="n"/>
      <c r="K923" s="7" t="n"/>
      <c r="L923" s="7" t="n"/>
    </row>
    <row r="924" ht="15.75" customHeight="1" s="209">
      <c r="A924" s="7" t="n"/>
      <c r="B924" s="7" t="n"/>
      <c r="C924" s="7" t="n"/>
      <c r="D924" s="7" t="n"/>
      <c r="E924" s="7" t="n"/>
      <c r="F924" s="7" t="n"/>
      <c r="G924" s="7" t="n"/>
      <c r="K924" s="7" t="n"/>
      <c r="L924" s="7" t="n"/>
    </row>
    <row r="925" ht="15.75" customHeight="1" s="209">
      <c r="A925" s="7" t="n"/>
      <c r="B925" s="7" t="n"/>
      <c r="C925" s="7" t="n"/>
      <c r="D925" s="7" t="n"/>
      <c r="E925" s="7" t="n"/>
      <c r="F925" s="7" t="n"/>
      <c r="G925" s="7" t="n"/>
      <c r="K925" s="7" t="n"/>
      <c r="L925" s="7" t="n"/>
    </row>
    <row r="926" ht="15.75" customHeight="1" s="209">
      <c r="A926" s="7" t="n"/>
      <c r="B926" s="7" t="n"/>
      <c r="C926" s="7" t="n"/>
      <c r="D926" s="7" t="n"/>
      <c r="E926" s="7" t="n"/>
      <c r="F926" s="7" t="n"/>
      <c r="G926" s="7" t="n"/>
      <c r="K926" s="7" t="n"/>
      <c r="L926" s="7" t="n"/>
    </row>
    <row r="927" ht="15.75" customHeight="1" s="209">
      <c r="A927" s="7" t="n"/>
      <c r="B927" s="7" t="n"/>
      <c r="C927" s="7" t="n"/>
      <c r="D927" s="7" t="n"/>
      <c r="E927" s="7" t="n"/>
      <c r="F927" s="7" t="n"/>
      <c r="G927" s="7" t="n"/>
      <c r="K927" s="7" t="n"/>
      <c r="L927" s="7" t="n"/>
    </row>
    <row r="928" ht="15.75" customHeight="1" s="209">
      <c r="A928" s="7" t="n"/>
      <c r="B928" s="7" t="n"/>
      <c r="C928" s="7" t="n"/>
      <c r="D928" s="7" t="n"/>
      <c r="E928" s="7" t="n"/>
      <c r="F928" s="7" t="n"/>
      <c r="G928" s="7" t="n"/>
      <c r="K928" s="7" t="n"/>
      <c r="L928" s="7" t="n"/>
    </row>
    <row r="929" ht="15.75" customHeight="1" s="209">
      <c r="A929" s="7" t="n"/>
      <c r="B929" s="7" t="n"/>
      <c r="C929" s="7" t="n"/>
      <c r="D929" s="7" t="n"/>
      <c r="E929" s="7" t="n"/>
      <c r="F929" s="7" t="n"/>
      <c r="G929" s="7" t="n"/>
      <c r="K929" s="7" t="n"/>
      <c r="L929" s="7" t="n"/>
    </row>
    <row r="930" ht="15.75" customHeight="1" s="209">
      <c r="A930" s="7" t="n"/>
      <c r="B930" s="7" t="n"/>
      <c r="C930" s="7" t="n"/>
      <c r="D930" s="7" t="n"/>
      <c r="E930" s="7" t="n"/>
      <c r="F930" s="7" t="n"/>
      <c r="G930" s="7" t="n"/>
      <c r="K930" s="7" t="n"/>
      <c r="L930" s="7" t="n"/>
    </row>
    <row r="931" ht="15.75" customHeight="1" s="209">
      <c r="A931" s="7" t="n"/>
      <c r="B931" s="7" t="n"/>
      <c r="C931" s="7" t="n"/>
      <c r="D931" s="7" t="n"/>
      <c r="E931" s="7" t="n"/>
      <c r="F931" s="7" t="n"/>
      <c r="G931" s="7" t="n"/>
      <c r="K931" s="7" t="n"/>
      <c r="L931" s="7" t="n"/>
    </row>
    <row r="932" ht="15.75" customHeight="1" s="209">
      <c r="A932" s="7" t="n"/>
      <c r="B932" s="7" t="n"/>
      <c r="C932" s="7" t="n"/>
      <c r="D932" s="7" t="n"/>
      <c r="E932" s="7" t="n"/>
      <c r="F932" s="7" t="n"/>
      <c r="G932" s="7" t="n"/>
      <c r="K932" s="7" t="n"/>
      <c r="L932" s="7" t="n"/>
    </row>
    <row r="933" ht="15.75" customHeight="1" s="209">
      <c r="A933" s="7" t="n"/>
      <c r="B933" s="7" t="n"/>
      <c r="C933" s="7" t="n"/>
      <c r="D933" s="7" t="n"/>
      <c r="E933" s="7" t="n"/>
      <c r="F933" s="7" t="n"/>
      <c r="G933" s="7" t="n"/>
      <c r="K933" s="7" t="n"/>
      <c r="L933" s="7" t="n"/>
    </row>
    <row r="934" ht="15.75" customHeight="1" s="209">
      <c r="A934" s="7" t="n"/>
      <c r="B934" s="7" t="n"/>
      <c r="C934" s="7" t="n"/>
      <c r="D934" s="7" t="n"/>
      <c r="E934" s="7" t="n"/>
      <c r="F934" s="7" t="n"/>
      <c r="G934" s="7" t="n"/>
      <c r="K934" s="7" t="n"/>
      <c r="L934" s="7" t="n"/>
    </row>
    <row r="935" ht="15.75" customHeight="1" s="209">
      <c r="A935" s="7" t="n"/>
      <c r="B935" s="7" t="n"/>
      <c r="C935" s="7" t="n"/>
      <c r="D935" s="7" t="n"/>
      <c r="E935" s="7" t="n"/>
      <c r="F935" s="7" t="n"/>
      <c r="G935" s="7" t="n"/>
      <c r="K935" s="7" t="n"/>
      <c r="L935" s="7" t="n"/>
    </row>
    <row r="936" ht="15.75" customHeight="1" s="209">
      <c r="A936" s="7" t="n"/>
      <c r="B936" s="7" t="n"/>
      <c r="C936" s="7" t="n"/>
      <c r="D936" s="7" t="n"/>
      <c r="E936" s="7" t="n"/>
      <c r="F936" s="7" t="n"/>
      <c r="G936" s="7" t="n"/>
      <c r="K936" s="7" t="n"/>
      <c r="L936" s="7" t="n"/>
    </row>
    <row r="937" ht="15.75" customHeight="1" s="209">
      <c r="A937" s="7" t="n"/>
      <c r="B937" s="7" t="n"/>
      <c r="C937" s="7" t="n"/>
      <c r="D937" s="7" t="n"/>
      <c r="E937" s="7" t="n"/>
      <c r="F937" s="7" t="n"/>
      <c r="G937" s="7" t="n"/>
      <c r="K937" s="7" t="n"/>
      <c r="L937" s="7" t="n"/>
    </row>
    <row r="938" ht="15.75" customHeight="1" s="209">
      <c r="A938" s="7" t="n"/>
      <c r="B938" s="7" t="n"/>
      <c r="C938" s="7" t="n"/>
      <c r="D938" s="7" t="n"/>
      <c r="E938" s="7" t="n"/>
      <c r="F938" s="7" t="n"/>
      <c r="G938" s="7" t="n"/>
      <c r="K938" s="7" t="n"/>
      <c r="L938" s="7" t="n"/>
    </row>
    <row r="939" ht="15.75" customHeight="1" s="209">
      <c r="A939" s="7" t="n"/>
      <c r="B939" s="7" t="n"/>
      <c r="C939" s="7" t="n"/>
      <c r="D939" s="7" t="n"/>
      <c r="E939" s="7" t="n"/>
      <c r="F939" s="7" t="n"/>
      <c r="G939" s="7" t="n"/>
      <c r="K939" s="7" t="n"/>
      <c r="L939" s="7" t="n"/>
    </row>
    <row r="940" ht="15.75" customHeight="1" s="209">
      <c r="A940" s="7" t="n"/>
      <c r="B940" s="7" t="n"/>
      <c r="C940" s="7" t="n"/>
      <c r="D940" s="7" t="n"/>
      <c r="E940" s="7" t="n"/>
      <c r="F940" s="7" t="n"/>
      <c r="G940" s="7" t="n"/>
      <c r="K940" s="7" t="n"/>
      <c r="L940" s="7" t="n"/>
    </row>
    <row r="941" ht="15.75" customHeight="1" s="209">
      <c r="A941" s="7" t="n"/>
      <c r="B941" s="7" t="n"/>
      <c r="C941" s="7" t="n"/>
      <c r="D941" s="7" t="n"/>
      <c r="E941" s="7" t="n"/>
      <c r="F941" s="7" t="n"/>
      <c r="G941" s="7" t="n"/>
      <c r="K941" s="7" t="n"/>
      <c r="L941" s="7" t="n"/>
    </row>
    <row r="942" ht="15.75" customHeight="1" s="209">
      <c r="A942" s="7" t="n"/>
      <c r="B942" s="7" t="n"/>
      <c r="C942" s="7" t="n"/>
      <c r="D942" s="7" t="n"/>
      <c r="E942" s="7" t="n"/>
      <c r="F942" s="7" t="n"/>
      <c r="G942" s="7" t="n"/>
      <c r="K942" s="7" t="n"/>
      <c r="L942" s="7" t="n"/>
    </row>
    <row r="943" ht="15.75" customHeight="1" s="209">
      <c r="A943" s="7" t="n"/>
      <c r="B943" s="7" t="n"/>
      <c r="C943" s="7" t="n"/>
      <c r="D943" s="7" t="n"/>
      <c r="E943" s="7" t="n"/>
      <c r="F943" s="7" t="n"/>
      <c r="G943" s="7" t="n"/>
      <c r="K943" s="7" t="n"/>
      <c r="L943" s="7" t="n"/>
    </row>
    <row r="944" ht="15.75" customHeight="1" s="209">
      <c r="A944" s="7" t="n"/>
      <c r="B944" s="7" t="n"/>
      <c r="C944" s="7" t="n"/>
      <c r="D944" s="7" t="n"/>
      <c r="E944" s="7" t="n"/>
      <c r="F944" s="7" t="n"/>
      <c r="G944" s="7" t="n"/>
      <c r="K944" s="7" t="n"/>
      <c r="L944" s="7" t="n"/>
    </row>
    <row r="945" ht="15.75" customHeight="1" s="209">
      <c r="A945" s="7" t="n"/>
      <c r="B945" s="7" t="n"/>
      <c r="C945" s="7" t="n"/>
      <c r="D945" s="7" t="n"/>
      <c r="E945" s="7" t="n"/>
      <c r="F945" s="7" t="n"/>
      <c r="G945" s="7" t="n"/>
      <c r="K945" s="7" t="n"/>
      <c r="L945" s="7" t="n"/>
    </row>
    <row r="946" ht="15.75" customHeight="1" s="209">
      <c r="A946" s="7" t="n"/>
      <c r="B946" s="7" t="n"/>
      <c r="C946" s="7" t="n"/>
      <c r="D946" s="7" t="n"/>
      <c r="E946" s="7" t="n"/>
      <c r="F946" s="7" t="n"/>
      <c r="G946" s="7" t="n"/>
      <c r="K946" s="7" t="n"/>
      <c r="L946" s="7" t="n"/>
    </row>
    <row r="947" ht="15.75" customHeight="1" s="209">
      <c r="A947" s="7" t="n"/>
      <c r="B947" s="7" t="n"/>
      <c r="C947" s="7" t="n"/>
      <c r="D947" s="7" t="n"/>
      <c r="E947" s="7" t="n"/>
      <c r="F947" s="7" t="n"/>
      <c r="G947" s="7" t="n"/>
      <c r="K947" s="7" t="n"/>
      <c r="L947" s="7" t="n"/>
    </row>
    <row r="948" ht="15.75" customHeight="1" s="209">
      <c r="A948" s="7" t="n"/>
      <c r="B948" s="7" t="n"/>
      <c r="C948" s="7" t="n"/>
      <c r="D948" s="7" t="n"/>
      <c r="E948" s="7" t="n"/>
      <c r="F948" s="7" t="n"/>
      <c r="G948" s="7" t="n"/>
      <c r="K948" s="7" t="n"/>
      <c r="L948" s="7" t="n"/>
    </row>
    <row r="949" ht="15.75" customHeight="1" s="209">
      <c r="A949" s="7" t="n"/>
      <c r="B949" s="7" t="n"/>
      <c r="C949" s="7" t="n"/>
      <c r="D949" s="7" t="n"/>
      <c r="E949" s="7" t="n"/>
      <c r="F949" s="7" t="n"/>
      <c r="G949" s="7" t="n"/>
      <c r="K949" s="7" t="n"/>
      <c r="L949" s="7" t="n"/>
    </row>
    <row r="950" ht="15.75" customHeight="1" s="209">
      <c r="A950" s="7" t="n"/>
      <c r="B950" s="7" t="n"/>
      <c r="C950" s="7" t="n"/>
      <c r="D950" s="7" t="n"/>
      <c r="E950" s="7" t="n"/>
      <c r="F950" s="7" t="n"/>
      <c r="G950" s="7" t="n"/>
      <c r="K950" s="7" t="n"/>
      <c r="L950" s="7" t="n"/>
    </row>
    <row r="951" ht="15.75" customHeight="1" s="209">
      <c r="A951" s="7" t="n"/>
      <c r="B951" s="7" t="n"/>
      <c r="C951" s="7" t="n"/>
      <c r="D951" s="7" t="n"/>
      <c r="E951" s="7" t="n"/>
      <c r="F951" s="7" t="n"/>
      <c r="G951" s="7" t="n"/>
      <c r="K951" s="7" t="n"/>
      <c r="L951" s="7" t="n"/>
    </row>
    <row r="952" ht="15.75" customHeight="1" s="209">
      <c r="A952" s="7" t="n"/>
      <c r="B952" s="7" t="n"/>
      <c r="C952" s="7" t="n"/>
      <c r="D952" s="7" t="n"/>
      <c r="E952" s="7" t="n"/>
      <c r="F952" s="7" t="n"/>
      <c r="G952" s="7" t="n"/>
      <c r="K952" s="7" t="n"/>
      <c r="L952" s="7" t="n"/>
    </row>
    <row r="953" ht="15.75" customHeight="1" s="209">
      <c r="A953" s="7" t="n"/>
      <c r="B953" s="7" t="n"/>
      <c r="C953" s="7" t="n"/>
      <c r="D953" s="7" t="n"/>
      <c r="E953" s="7" t="n"/>
      <c r="F953" s="7" t="n"/>
      <c r="G953" s="7" t="n"/>
      <c r="K953" s="7" t="n"/>
      <c r="L953" s="7" t="n"/>
    </row>
    <row r="954" ht="15.75" customHeight="1" s="209">
      <c r="A954" s="7" t="n"/>
      <c r="B954" s="7" t="n"/>
      <c r="C954" s="7" t="n"/>
      <c r="D954" s="7" t="n"/>
      <c r="E954" s="7" t="n"/>
      <c r="F954" s="7" t="n"/>
      <c r="G954" s="7" t="n"/>
      <c r="K954" s="7" t="n"/>
      <c r="L954" s="7" t="n"/>
    </row>
    <row r="955" ht="15.75" customHeight="1" s="209">
      <c r="A955" s="7" t="n"/>
      <c r="B955" s="7" t="n"/>
      <c r="C955" s="7" t="n"/>
      <c r="D955" s="7" t="n"/>
      <c r="E955" s="7" t="n"/>
      <c r="F955" s="7" t="n"/>
      <c r="G955" s="7" t="n"/>
      <c r="K955" s="7" t="n"/>
      <c r="L955" s="7" t="n"/>
    </row>
    <row r="956" ht="15.75" customHeight="1" s="209">
      <c r="A956" s="7" t="n"/>
      <c r="B956" s="7" t="n"/>
      <c r="C956" s="7" t="n"/>
      <c r="D956" s="7" t="n"/>
      <c r="E956" s="7" t="n"/>
      <c r="F956" s="7" t="n"/>
      <c r="G956" s="7" t="n"/>
      <c r="K956" s="7" t="n"/>
      <c r="L956" s="7" t="n"/>
    </row>
    <row r="957" ht="15.75" customHeight="1" s="209">
      <c r="A957" s="7" t="n"/>
      <c r="B957" s="7" t="n"/>
      <c r="C957" s="7" t="n"/>
      <c r="D957" s="7" t="n"/>
      <c r="E957" s="7" t="n"/>
      <c r="F957" s="7" t="n"/>
      <c r="G957" s="7" t="n"/>
      <c r="K957" s="7" t="n"/>
      <c r="L957" s="7" t="n"/>
    </row>
    <row r="958" ht="15.75" customHeight="1" s="209">
      <c r="A958" s="7" t="n"/>
      <c r="B958" s="7" t="n"/>
      <c r="C958" s="7" t="n"/>
      <c r="D958" s="7" t="n"/>
      <c r="E958" s="7" t="n"/>
      <c r="F958" s="7" t="n"/>
      <c r="G958" s="7" t="n"/>
      <c r="K958" s="7" t="n"/>
      <c r="L958" s="7" t="n"/>
    </row>
    <row r="959" ht="15.75" customHeight="1" s="209">
      <c r="A959" s="7" t="n"/>
      <c r="B959" s="7" t="n"/>
      <c r="C959" s="7" t="n"/>
      <c r="D959" s="7" t="n"/>
      <c r="E959" s="7" t="n"/>
      <c r="F959" s="7" t="n"/>
      <c r="G959" s="7" t="n"/>
      <c r="K959" s="7" t="n"/>
      <c r="L959" s="7" t="n"/>
    </row>
    <row r="960" ht="15.75" customHeight="1" s="209">
      <c r="A960" s="7" t="n"/>
      <c r="B960" s="7" t="n"/>
      <c r="C960" s="7" t="n"/>
      <c r="D960" s="7" t="n"/>
      <c r="E960" s="7" t="n"/>
      <c r="F960" s="7" t="n"/>
      <c r="G960" s="7" t="n"/>
      <c r="K960" s="7" t="n"/>
      <c r="L960" s="7" t="n"/>
    </row>
    <row r="961" ht="15.75" customHeight="1" s="209">
      <c r="A961" s="7" t="n"/>
      <c r="B961" s="7" t="n"/>
      <c r="C961" s="7" t="n"/>
      <c r="D961" s="7" t="n"/>
      <c r="E961" s="7" t="n"/>
      <c r="F961" s="7" t="n"/>
      <c r="G961" s="7" t="n"/>
      <c r="K961" s="7" t="n"/>
      <c r="L961" s="7" t="n"/>
    </row>
    <row r="962" ht="15.75" customHeight="1" s="209">
      <c r="A962" s="7" t="n"/>
      <c r="B962" s="7" t="n"/>
      <c r="C962" s="7" t="n"/>
      <c r="D962" s="7" t="n"/>
      <c r="E962" s="7" t="n"/>
      <c r="F962" s="7" t="n"/>
      <c r="G962" s="7" t="n"/>
      <c r="K962" s="7" t="n"/>
      <c r="L962" s="7" t="n"/>
    </row>
    <row r="963" ht="15.75" customHeight="1" s="209">
      <c r="A963" s="7" t="n"/>
      <c r="B963" s="7" t="n"/>
      <c r="C963" s="7" t="n"/>
      <c r="D963" s="7" t="n"/>
      <c r="E963" s="7" t="n"/>
      <c r="F963" s="7" t="n"/>
      <c r="G963" s="7" t="n"/>
      <c r="K963" s="7" t="n"/>
      <c r="L963" s="7" t="n"/>
    </row>
    <row r="964" ht="15.75" customHeight="1" s="209">
      <c r="A964" s="7" t="n"/>
      <c r="B964" s="7" t="n"/>
      <c r="C964" s="7" t="n"/>
      <c r="D964" s="7" t="n"/>
      <c r="E964" s="7" t="n"/>
      <c r="F964" s="7" t="n"/>
      <c r="G964" s="7" t="n"/>
      <c r="K964" s="7" t="n"/>
      <c r="L964" s="7" t="n"/>
    </row>
    <row r="965" ht="15.75" customHeight="1" s="209">
      <c r="A965" s="7" t="n"/>
      <c r="B965" s="7" t="n"/>
      <c r="C965" s="7" t="n"/>
      <c r="D965" s="7" t="n"/>
      <c r="E965" s="7" t="n"/>
      <c r="F965" s="7" t="n"/>
      <c r="G965" s="7" t="n"/>
      <c r="K965" s="7" t="n"/>
      <c r="L965" s="7" t="n"/>
    </row>
    <row r="966" ht="15.75" customHeight="1" s="209">
      <c r="A966" s="7" t="n"/>
      <c r="B966" s="7" t="n"/>
      <c r="C966" s="7" t="n"/>
      <c r="D966" s="7" t="n"/>
      <c r="E966" s="7" t="n"/>
      <c r="F966" s="7" t="n"/>
      <c r="G966" s="7" t="n"/>
      <c r="K966" s="7" t="n"/>
      <c r="L966" s="7" t="n"/>
    </row>
    <row r="967" ht="15.75" customHeight="1" s="209">
      <c r="A967" s="7" t="n"/>
      <c r="B967" s="7" t="n"/>
      <c r="C967" s="7" t="n"/>
      <c r="D967" s="7" t="n"/>
      <c r="E967" s="7" t="n"/>
      <c r="F967" s="7" t="n"/>
      <c r="G967" s="7" t="n"/>
      <c r="K967" s="7" t="n"/>
      <c r="L967" s="7" t="n"/>
    </row>
    <row r="968" ht="15.75" customHeight="1" s="209">
      <c r="A968" s="7" t="n"/>
      <c r="B968" s="7" t="n"/>
      <c r="C968" s="7" t="n"/>
      <c r="D968" s="7" t="n"/>
      <c r="E968" s="7" t="n"/>
      <c r="F968" s="7" t="n"/>
      <c r="G968" s="7" t="n"/>
      <c r="K968" s="7" t="n"/>
      <c r="L968" s="7" t="n"/>
    </row>
    <row r="969" ht="15.75" customHeight="1" s="209">
      <c r="A969" s="7" t="n"/>
      <c r="B969" s="7" t="n"/>
      <c r="C969" s="7" t="n"/>
      <c r="D969" s="7" t="n"/>
      <c r="E969" s="7" t="n"/>
      <c r="F969" s="7" t="n"/>
      <c r="G969" s="7" t="n"/>
      <c r="K969" s="7" t="n"/>
      <c r="L969" s="7" t="n"/>
    </row>
    <row r="970" ht="15.75" customHeight="1" s="209">
      <c r="A970" s="7" t="n"/>
      <c r="B970" s="7" t="n"/>
      <c r="C970" s="7" t="n"/>
      <c r="D970" s="7" t="n"/>
      <c r="E970" s="7" t="n"/>
      <c r="F970" s="7" t="n"/>
      <c r="G970" s="7" t="n"/>
      <c r="K970" s="7" t="n"/>
      <c r="L970" s="7" t="n"/>
    </row>
    <row r="971" ht="15.75" customHeight="1" s="209">
      <c r="A971" s="7" t="n"/>
      <c r="B971" s="7" t="n"/>
      <c r="C971" s="7" t="n"/>
      <c r="D971" s="7" t="n"/>
      <c r="E971" s="7" t="n"/>
      <c r="F971" s="7" t="n"/>
      <c r="G971" s="7" t="n"/>
      <c r="K971" s="7" t="n"/>
      <c r="L971" s="7" t="n"/>
    </row>
    <row r="972" ht="15.75" customHeight="1" s="209">
      <c r="A972" s="7" t="n"/>
      <c r="B972" s="7" t="n"/>
      <c r="C972" s="7" t="n"/>
      <c r="D972" s="7" t="n"/>
      <c r="E972" s="7" t="n"/>
      <c r="F972" s="7" t="n"/>
      <c r="G972" s="7" t="n"/>
      <c r="K972" s="7" t="n"/>
      <c r="L972" s="7" t="n"/>
    </row>
    <row r="973" ht="15.75" customHeight="1" s="209">
      <c r="A973" s="7" t="n"/>
      <c r="B973" s="7" t="n"/>
      <c r="C973" s="7" t="n"/>
      <c r="D973" s="7" t="n"/>
      <c r="E973" s="7" t="n"/>
      <c r="F973" s="7" t="n"/>
      <c r="G973" s="7" t="n"/>
      <c r="K973" s="7" t="n"/>
      <c r="L973" s="7" t="n"/>
    </row>
    <row r="974" ht="15.75" customHeight="1" s="209">
      <c r="A974" s="7" t="n"/>
      <c r="B974" s="7" t="n"/>
      <c r="C974" s="7" t="n"/>
      <c r="D974" s="7" t="n"/>
      <c r="E974" s="7" t="n"/>
      <c r="F974" s="7" t="n"/>
      <c r="G974" s="7" t="n"/>
      <c r="K974" s="7" t="n"/>
      <c r="L974" s="7" t="n"/>
    </row>
    <row r="975" ht="15.75" customHeight="1" s="209">
      <c r="A975" s="7" t="n"/>
      <c r="B975" s="7" t="n"/>
      <c r="C975" s="7" t="n"/>
      <c r="D975" s="7" t="n"/>
      <c r="E975" s="7" t="n"/>
      <c r="F975" s="7" t="n"/>
      <c r="G975" s="7" t="n"/>
      <c r="K975" s="7" t="n"/>
      <c r="L975" s="7" t="n"/>
    </row>
    <row r="976" ht="15.75" customHeight="1" s="209">
      <c r="A976" s="7" t="n"/>
      <c r="B976" s="7" t="n"/>
      <c r="C976" s="7" t="n"/>
      <c r="D976" s="7" t="n"/>
      <c r="E976" s="7" t="n"/>
      <c r="F976" s="7" t="n"/>
      <c r="G976" s="7" t="n"/>
      <c r="K976" s="7" t="n"/>
      <c r="L976" s="7" t="n"/>
    </row>
    <row r="977" ht="15.75" customHeight="1" s="209">
      <c r="A977" s="7" t="n"/>
      <c r="B977" s="7" t="n"/>
      <c r="C977" s="7" t="n"/>
      <c r="D977" s="7" t="n"/>
      <c r="E977" s="7" t="n"/>
      <c r="F977" s="7" t="n"/>
      <c r="G977" s="7" t="n"/>
      <c r="K977" s="7" t="n"/>
      <c r="L977" s="7" t="n"/>
    </row>
    <row r="978" ht="15.75" customHeight="1" s="209">
      <c r="A978" s="7" t="n"/>
      <c r="B978" s="7" t="n"/>
      <c r="C978" s="7" t="n"/>
      <c r="D978" s="7" t="n"/>
      <c r="E978" s="7" t="n"/>
      <c r="F978" s="7" t="n"/>
      <c r="G978" s="7" t="n"/>
      <c r="K978" s="7" t="n"/>
      <c r="L978" s="7" t="n"/>
    </row>
    <row r="979" ht="15.75" customHeight="1" s="209">
      <c r="A979" s="7" t="n"/>
      <c r="B979" s="7" t="n"/>
      <c r="C979" s="7" t="n"/>
      <c r="D979" s="7" t="n"/>
      <c r="E979" s="7" t="n"/>
      <c r="F979" s="7" t="n"/>
      <c r="G979" s="7" t="n"/>
      <c r="K979" s="7" t="n"/>
      <c r="L979" s="7" t="n"/>
    </row>
    <row r="980" ht="15.75" customHeight="1" s="209">
      <c r="A980" s="7" t="n"/>
      <c r="B980" s="7" t="n"/>
      <c r="C980" s="7" t="n"/>
      <c r="D980" s="7" t="n"/>
      <c r="E980" s="7" t="n"/>
      <c r="F980" s="7" t="n"/>
      <c r="G980" s="7" t="n"/>
      <c r="K980" s="7" t="n"/>
      <c r="L980" s="7" t="n"/>
    </row>
    <row r="981" ht="15.75" customHeight="1" s="209">
      <c r="A981" s="7" t="n"/>
      <c r="B981" s="7" t="n"/>
      <c r="C981" s="7" t="n"/>
      <c r="D981" s="7" t="n"/>
      <c r="E981" s="7" t="n"/>
      <c r="F981" s="7" t="n"/>
      <c r="G981" s="7" t="n"/>
      <c r="K981" s="7" t="n"/>
      <c r="L981" s="7" t="n"/>
    </row>
    <row r="982" ht="15.75" customHeight="1" s="209">
      <c r="A982" s="7" t="n"/>
      <c r="B982" s="7" t="n"/>
      <c r="C982" s="7" t="n"/>
      <c r="D982" s="7" t="n"/>
      <c r="E982" s="7" t="n"/>
      <c r="F982" s="7" t="n"/>
      <c r="G982" s="7" t="n"/>
      <c r="K982" s="7" t="n"/>
      <c r="L982" s="7" t="n"/>
    </row>
    <row r="983" ht="15.75" customHeight="1" s="209">
      <c r="A983" s="7" t="n"/>
      <c r="B983" s="7" t="n"/>
      <c r="C983" s="7" t="n"/>
      <c r="D983" s="7" t="n"/>
      <c r="E983" s="7" t="n"/>
      <c r="F983" s="7" t="n"/>
      <c r="G983" s="7" t="n"/>
      <c r="K983" s="7" t="n"/>
      <c r="L983" s="7" t="n"/>
    </row>
    <row r="984" ht="15.75" customHeight="1" s="209">
      <c r="A984" s="7" t="n"/>
      <c r="B984" s="7" t="n"/>
      <c r="C984" s="7" t="n"/>
      <c r="D984" s="7" t="n"/>
      <c r="E984" s="7" t="n"/>
      <c r="F984" s="7" t="n"/>
      <c r="G984" s="7" t="n"/>
      <c r="K984" s="7" t="n"/>
      <c r="L984" s="7" t="n"/>
    </row>
    <row r="985" ht="15.75" customHeight="1" s="209">
      <c r="A985" s="7" t="n"/>
      <c r="B985" s="7" t="n"/>
      <c r="C985" s="7" t="n"/>
      <c r="D985" s="7" t="n"/>
      <c r="E985" s="7" t="n"/>
      <c r="F985" s="7" t="n"/>
      <c r="G985" s="7" t="n"/>
      <c r="K985" s="7" t="n"/>
      <c r="L985" s="7" t="n"/>
    </row>
    <row r="986" ht="15.75" customHeight="1" s="209">
      <c r="A986" s="7" t="n"/>
      <c r="B986" s="7" t="n"/>
      <c r="C986" s="7" t="n"/>
      <c r="D986" s="7" t="n"/>
      <c r="E986" s="7" t="n"/>
      <c r="F986" s="7" t="n"/>
      <c r="G986" s="7" t="n"/>
      <c r="K986" s="7" t="n"/>
      <c r="L986" s="7" t="n"/>
    </row>
    <row r="987" ht="15.75" customHeight="1" s="209">
      <c r="A987" s="7" t="n"/>
      <c r="B987" s="7" t="n"/>
      <c r="C987" s="7" t="n"/>
      <c r="D987" s="7" t="n"/>
      <c r="E987" s="7" t="n"/>
      <c r="F987" s="7" t="n"/>
      <c r="G987" s="7" t="n"/>
      <c r="K987" s="7" t="n"/>
      <c r="L987" s="7" t="n"/>
    </row>
    <row r="988" ht="15.75" customHeight="1" s="209">
      <c r="A988" s="7" t="n"/>
      <c r="B988" s="7" t="n"/>
      <c r="C988" s="7" t="n"/>
      <c r="D988" s="7" t="n"/>
      <c r="E988" s="7" t="n"/>
      <c r="F988" s="7" t="n"/>
      <c r="G988" s="7" t="n"/>
      <c r="K988" s="7" t="n"/>
      <c r="L988" s="7" t="n"/>
    </row>
    <row r="989" ht="15.75" customHeight="1" s="209">
      <c r="A989" s="7" t="n"/>
      <c r="B989" s="7" t="n"/>
      <c r="C989" s="7" t="n"/>
      <c r="D989" s="7" t="n"/>
      <c r="E989" s="7" t="n"/>
      <c r="F989" s="7" t="n"/>
      <c r="G989" s="7" t="n"/>
      <c r="K989" s="7" t="n"/>
      <c r="L989" s="7" t="n"/>
    </row>
    <row r="990" ht="15.75" customHeight="1" s="209">
      <c r="A990" s="7" t="n"/>
      <c r="B990" s="7" t="n"/>
      <c r="C990" s="7" t="n"/>
      <c r="D990" s="7" t="n"/>
      <c r="E990" s="7" t="n"/>
      <c r="F990" s="7" t="n"/>
      <c r="G990" s="7" t="n"/>
      <c r="K990" s="7" t="n"/>
      <c r="L990" s="7" t="n"/>
    </row>
    <row r="991" ht="15.75" customHeight="1" s="209">
      <c r="A991" s="7" t="n"/>
      <c r="B991" s="7" t="n"/>
      <c r="C991" s="7" t="n"/>
      <c r="D991" s="7" t="n"/>
      <c r="E991" s="7" t="n"/>
      <c r="F991" s="7" t="n"/>
      <c r="G991" s="7" t="n"/>
      <c r="K991" s="7" t="n"/>
      <c r="L991" s="7" t="n"/>
    </row>
    <row r="992" ht="15.75" customHeight="1" s="209">
      <c r="A992" s="7" t="n"/>
      <c r="B992" s="7" t="n"/>
      <c r="C992" s="7" t="n"/>
      <c r="D992" s="7" t="n"/>
      <c r="E992" s="7" t="n"/>
      <c r="F992" s="7" t="n"/>
      <c r="G992" s="7" t="n"/>
      <c r="K992" s="7" t="n"/>
      <c r="L992" s="7" t="n"/>
    </row>
    <row r="993" ht="15.75" customHeight="1" s="209">
      <c r="A993" s="7" t="n"/>
      <c r="B993" s="7" t="n"/>
      <c r="C993" s="7" t="n"/>
      <c r="D993" s="7" t="n"/>
      <c r="E993" s="7" t="n"/>
      <c r="F993" s="7" t="n"/>
      <c r="G993" s="7" t="n"/>
      <c r="K993" s="7" t="n"/>
      <c r="L993" s="7" t="n"/>
    </row>
    <row r="994" ht="15.75" customHeight="1" s="209">
      <c r="A994" s="7" t="n"/>
      <c r="B994" s="7" t="n"/>
      <c r="C994" s="7" t="n"/>
      <c r="D994" s="7" t="n"/>
      <c r="E994" s="7" t="n"/>
      <c r="F994" s="7" t="n"/>
      <c r="G994" s="7" t="n"/>
      <c r="K994" s="7" t="n"/>
      <c r="L994" s="7" t="n"/>
    </row>
    <row r="995" ht="15.75" customHeight="1" s="209">
      <c r="A995" s="7" t="n"/>
      <c r="B995" s="7" t="n"/>
      <c r="C995" s="7" t="n"/>
      <c r="D995" s="7" t="n"/>
      <c r="E995" s="7" t="n"/>
      <c r="F995" s="7" t="n"/>
      <c r="G995" s="7" t="n"/>
      <c r="K995" s="7" t="n"/>
      <c r="L995" s="7" t="n"/>
    </row>
    <row r="996" ht="15.75" customHeight="1" s="209">
      <c r="A996" s="7" t="n"/>
      <c r="B996" s="7" t="n"/>
      <c r="C996" s="7" t="n"/>
      <c r="D996" s="7" t="n"/>
      <c r="E996" s="7" t="n"/>
      <c r="F996" s="7" t="n"/>
      <c r="G996" s="7" t="n"/>
      <c r="K996" s="7" t="n"/>
      <c r="L996" s="7" t="n"/>
    </row>
    <row r="997" ht="15.75" customHeight="1" s="209">
      <c r="A997" s="7" t="n"/>
      <c r="B997" s="7" t="n"/>
      <c r="C997" s="7" t="n"/>
      <c r="D997" s="7" t="n"/>
      <c r="E997" s="7" t="n"/>
      <c r="F997" s="7" t="n"/>
      <c r="G997" s="7" t="n"/>
      <c r="K997" s="7" t="n"/>
      <c r="L997" s="7" t="n"/>
    </row>
    <row r="998" ht="15.75" customHeight="1" s="209">
      <c r="A998" s="7" t="n"/>
      <c r="B998" s="7" t="n"/>
      <c r="C998" s="7" t="n"/>
      <c r="D998" s="7" t="n"/>
      <c r="E998" s="7" t="n"/>
      <c r="F998" s="7" t="n"/>
      <c r="G998" s="7" t="n"/>
      <c r="K998" s="7" t="n"/>
      <c r="L998" s="7" t="n"/>
    </row>
    <row r="999" ht="15.75" customHeight="1" s="209">
      <c r="A999" s="7" t="n"/>
      <c r="B999" s="7" t="n"/>
      <c r="C999" s="7" t="n"/>
      <c r="D999" s="7" t="n"/>
      <c r="E999" s="7" t="n"/>
      <c r="F999" s="7" t="n"/>
      <c r="G999" s="7" t="n"/>
      <c r="K999" s="7" t="n"/>
      <c r="L999" s="7" t="n"/>
    </row>
    <row r="1000" ht="15.75" customHeight="1" s="209">
      <c r="A1000" s="7" t="n"/>
      <c r="B1000" s="7" t="n"/>
      <c r="C1000" s="7" t="n"/>
      <c r="D1000" s="7" t="n"/>
      <c r="E1000" s="7" t="n"/>
      <c r="F1000" s="7" t="n"/>
      <c r="G1000" s="7" t="n"/>
      <c r="K1000" s="7" t="n"/>
      <c r="L1000" s="7" t="n"/>
    </row>
  </sheetData>
  <mergeCells count="2">
    <mergeCell ref="A2:K2"/>
    <mergeCell ref="A1:K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2026-09-28T04:20:23Z</dcterms:created>
  <dcterms:modified xsi:type="dcterms:W3CDTF">2026-10-02T05:46:11Z</dcterms:modified>
</cp:coreProperties>
</file>